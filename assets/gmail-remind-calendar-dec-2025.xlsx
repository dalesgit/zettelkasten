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190" windowHeight="4750"/>
  </bookViews>
  <sheets>
    <sheet name="worksheet" sheetId="1" r:id="rId1"/>
    <sheet name="dhath-gawk" sheetId="2" r:id="rId2"/>
    <sheet name="cruise-2025" sheetId="3" r:id="rId3"/>
    <sheet name="yearly" sheetId="4" r:id="rId4"/>
    <sheet name="rem-scratch" sheetId="5" r:id="rId5"/>
    <sheet name="lesser-feasts" sheetId="6" r:id="rId6"/>
    <sheet name="holy-days" sheetId="7" r:id="rId7"/>
  </sheets>
  <definedNames>
    <definedName name="_xlnm.Sheet_Title" localSheetId="0">"worksheet"</definedName>
    <definedName name="_xlnm.Print_Area" localSheetId="0">#REF!</definedName>
    <definedName name="_xlnm.Sheet_Title" localSheetId="1">"dhath-gawk"</definedName>
    <definedName name="_xlnm.Print_Area" localSheetId="1">#REF!</definedName>
    <definedName name="_xlnm.Sheet_Title" localSheetId="2">"cruise-2025"</definedName>
    <definedName name="_xlnm.Print_Area" localSheetId="2">#REF!</definedName>
    <definedName name="_xlnm.Sheet_Title" localSheetId="3">"yearly"</definedName>
    <definedName name="_xlnm.Print_Area" localSheetId="3">#REF!</definedName>
    <definedName name="_xlnm.Sheet_Title" localSheetId="4">"rem-scratch"</definedName>
    <definedName name="_xlnm.Print_Area" localSheetId="4">#REF!</definedName>
    <definedName name="_xlnm.Sheet_Title" localSheetId="5">"lesser-feasts"</definedName>
    <definedName name="_xlnm.Print_Area" localSheetId="5">#REF!</definedName>
    <definedName name="_xlnm.Sheet_Title" localSheetId="6">"holy-days"</definedName>
    <definedName name="_xlnm.Print_Area" localSheetId="6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<sst xmlns="http://schemas.openxmlformats.org/spreadsheetml/2006/main" uniqueCount="3231" count="3231">
  <si>
    <t>Date</t>
  </si>
  <si>
    <t>Time</t>
  </si>
  <si>
    <t>Summary</t>
  </si>
  <si>
    <t>Text-date</t>
  </si>
  <si>
    <t>Text-time</t>
  </si>
  <si>
    <t>REM Text-date +2 MSG Summary %b%</t>
  </si>
  <si>
    <t>April Fool's Day   </t>
  </si>
  <si>
    <t>Apr 01 2025</t>
  </si>
  <si>
    <t>April</t>
  </si>
  <si>
    <t>Fool's</t>
  </si>
  <si>
    <t>Day</t>
  </si>
  <si>
    <t>REM Apr 01 2025 +2 AT 01:00 MSG April Fool's Day    %b%</t>
  </si>
  <si>
    <t>Jun 30</t>
  </si>
  <si>
    <t>Jul 01</t>
  </si>
  <si>
    <t>10:30</t>
  </si>
  <si>
    <t>Jul 02</t>
  </si>
  <si>
    <t>Jul 03</t>
  </si>
  <si>
    <t>13:00</t>
  </si>
  <si>
    <t>Jul 04</t>
  </si>
  <si>
    <t>DH to celebrate</t>
  </si>
  <si>
    <t>Jul 05</t>
  </si>
  <si>
    <t>17:00</t>
  </si>
  <si>
    <t>Jul 06</t>
  </si>
  <si>
    <t>10:00</t>
  </si>
  <si>
    <t>Jul 07</t>
  </si>
  <si>
    <t>Jul 25</t>
  </si>
  <si>
    <t>DH to preach</t>
  </si>
  <si>
    <t>Jul 26</t>
  </si>
  <si>
    <t>Jul 19</t>
  </si>
  <si>
    <t>Jul 20</t>
  </si>
  <si>
    <t>Oct 31</t>
  </si>
  <si>
    <t>11:30</t>
  </si>
  <si>
    <t>Nov 02</t>
  </si>
  <si>
    <t>Nov 03</t>
  </si>
  <si>
    <t>Nov 04</t>
  </si>
  <si>
    <t>Nov 05</t>
  </si>
  <si>
    <t>Nov 08</t>
  </si>
  <si>
    <t>Nov 13</t>
  </si>
  <si>
    <t>Dec 30</t>
  </si>
  <si>
    <t>00:00</t>
  </si>
  <si>
    <t>REM  +2 AT 00:00 MSG  %b%</t>
  </si>
  <si>
    <t>4/1/2008</t>
  </si>
  <si>
    <t>All day</t>
  </si>
  <si>
    <t>Apr 01</t>
  </si>
  <si>
    <t>REM Apr 01 +2 MSG April Fool's Day    %b%</t>
  </si>
  <si>
    <t>Clergy fellowship @ Kaneohe  </t>
  </si>
  <si>
    <t>Clergy</t>
  </si>
  <si>
    <t>fellowship</t>
  </si>
  <si>
    <t>@</t>
  </si>
  <si>
    <t>Kaneohe</t>
  </si>
  <si>
    <t>REM Apr 01 +2 MSG Clergy fellowship @ Kaneohe   %b%</t>
  </si>
  <si>
    <t>Angels at play chapel  </t>
  </si>
  <si>
    <t>Angels</t>
  </si>
  <si>
    <t>at</t>
  </si>
  <si>
    <t>play</t>
  </si>
  <si>
    <t>chapel</t>
  </si>
  <si>
    <t>REM Apr 01 +2 MSG Angels at play chapel   %b%</t>
  </si>
  <si>
    <t>Frederick Denison Maurice\; Priest\; 1872 </t>
  </si>
  <si>
    <t>Frederick</t>
  </si>
  <si>
    <t>Denison</t>
  </si>
  <si>
    <t>Maurice\;</t>
  </si>
  <si>
    <t>Priest\;</t>
  </si>
  <si>
    <t>REM Apr 01 +2 MSG Frederick Denison Maurice\; Priest\; 1872  %b%</t>
  </si>
  <si>
    <t>4/2/2008</t>
  </si>
  <si>
    <t>Class     </t>
  </si>
  <si>
    <t>Apr 02</t>
  </si>
  <si>
    <t>Class</t>
  </si>
  <si>
    <t>REM Apr 02 +2 MSG Class      %b%</t>
  </si>
  <si>
    <t>Eucharist     </t>
  </si>
  <si>
    <t>Eucharist</t>
  </si>
  <si>
    <t>REM Apr 02 +2 MSG Eucharist      %b%</t>
  </si>
  <si>
    <t>Soup &amp; Sandwich   </t>
  </si>
  <si>
    <t>Soup</t>
  </si>
  <si>
    <t>&amp;</t>
  </si>
  <si>
    <t>Sandwich</t>
  </si>
  <si>
    <t>REM Apr 02 +2 MSG Soup &amp; Sandwich    %b%</t>
  </si>
  <si>
    <t>James Lloyd Breck\; Priest\; 1876 </t>
  </si>
  <si>
    <t>James</t>
  </si>
  <si>
    <t>Lloyd</t>
  </si>
  <si>
    <t>Breck\;</t>
  </si>
  <si>
    <t>REM Apr 02 +2 MSG James Lloyd Breck\; Priest\; 1876  %b%</t>
  </si>
  <si>
    <t>4/3/2008</t>
  </si>
  <si>
    <t>Richard\; Bishop of Chichester\; 1253 </t>
  </si>
  <si>
    <t>Apr 03</t>
  </si>
  <si>
    <t>Richard\;</t>
  </si>
  <si>
    <t>Bishop</t>
  </si>
  <si>
    <t>of</t>
  </si>
  <si>
    <t>Chichester\;</t>
  </si>
  <si>
    <t>REM Apr 03 +2 MSG Richard\; Bishop of Chichester\; 1253  %b%</t>
  </si>
  <si>
    <t>4/4/2008</t>
  </si>
  <si>
    <t>Martin Luther King\; Jr.\; Civil Rights</t>
  </si>
  <si>
    <t>Apr 04</t>
  </si>
  <si>
    <t>Martin</t>
  </si>
  <si>
    <t>Luther</t>
  </si>
  <si>
    <t>King\;</t>
  </si>
  <si>
    <t>Jr.\;</t>
  </si>
  <si>
    <t>Civil</t>
  </si>
  <si>
    <t>Rights</t>
  </si>
  <si>
    <t>REM Apr 04 +2 MSG Martin Luther King\; Jr.\; Civil Rights %b%</t>
  </si>
  <si>
    <t>McCully Moiliili Neighborhood Board at Central</t>
  </si>
  <si>
    <t>McCully</t>
  </si>
  <si>
    <t>Moiliili</t>
  </si>
  <si>
    <t>Neighborhood</t>
  </si>
  <si>
    <t>Board</t>
  </si>
  <si>
    <t>Central</t>
  </si>
  <si>
    <t>REM Apr 04 +2 MSG McCully Moiliili Neighborhood Board at Central %b%</t>
  </si>
  <si>
    <t>4/5/2008</t>
  </si>
  <si>
    <t>Discipleship group    </t>
  </si>
  <si>
    <t>Apr 05</t>
  </si>
  <si>
    <t>Discipleship</t>
  </si>
  <si>
    <t>group</t>
  </si>
  <si>
    <t>REM Apr 05 +2 MSG Discipleship group     %b%</t>
  </si>
  <si>
    <t>Joan Chittister    </t>
  </si>
  <si>
    <t>Joan</t>
  </si>
  <si>
    <t>Chittister</t>
  </si>
  <si>
    <t>REM Apr 05 +2 MSG Joan Chittister     %b%</t>
  </si>
  <si>
    <t>4/6/2008</t>
  </si>
  <si>
    <t>Spring Forward    </t>
  </si>
  <si>
    <t>Apr 06</t>
  </si>
  <si>
    <t>Spring</t>
  </si>
  <si>
    <t>Forward</t>
  </si>
  <si>
    <t>REM Apr 06 +2 MSG Spring Forward     %b%</t>
  </si>
  <si>
    <t>REM Apr 06 +2 MSG Joan Chittister     %b%</t>
  </si>
  <si>
    <t>4/7/2008</t>
  </si>
  <si>
    <t>Joan Chittester at Rose Oratory (Chaminade)</t>
  </si>
  <si>
    <t>Apr 07</t>
  </si>
  <si>
    <t>Chittester</t>
  </si>
  <si>
    <t>Rose</t>
  </si>
  <si>
    <t>Oratory</t>
  </si>
  <si>
    <t>(Chaminade)</t>
  </si>
  <si>
    <t>REM Apr 07 +2 MSG Joan Chittester at Rose Oratory (Chaminade) %b%</t>
  </si>
  <si>
    <t>Tikhon\; Patriach of Russia and Confessor\;</t>
  </si>
  <si>
    <t>Tikhon\;</t>
  </si>
  <si>
    <t>Patriach</t>
  </si>
  <si>
    <t>Russia</t>
  </si>
  <si>
    <t>and</t>
  </si>
  <si>
    <t>Confessor\;</t>
  </si>
  <si>
    <t>...</t>
  </si>
  <si>
    <t>REM Apr 07 +2 MSG Tikhon\; Patriach of Russia and Confessor\; %b%</t>
  </si>
  <si>
    <t>the</t>
  </si>
  <si>
    <t>4/8/2008</t>
  </si>
  <si>
    <t>Apr 08</t>
  </si>
  <si>
    <t>William Augustus Muhlenberg\; Priest\; 1877 </t>
  </si>
  <si>
    <t>William</t>
  </si>
  <si>
    <t>Augustus</t>
  </si>
  <si>
    <t>Muhlenberg\;</t>
  </si>
  <si>
    <t>4/9/2008</t>
  </si>
  <si>
    <t>Apr 09</t>
  </si>
  <si>
    <t>Dietrich Bonhoeffer\; 1945   </t>
  </si>
  <si>
    <t>Dietrich</t>
  </si>
  <si>
    <t>Bonhoeffer\;</t>
  </si>
  <si>
    <t>4/10/2008</t>
  </si>
  <si>
    <t>William Law\; Priest\; 1761  </t>
  </si>
  <si>
    <t>Apr 10</t>
  </si>
  <si>
    <t>Law\;</t>
  </si>
  <si>
    <t>Bridget Payday    </t>
  </si>
  <si>
    <t>Bridget</t>
  </si>
  <si>
    <t>Payday</t>
  </si>
  <si>
    <t>Germa...</t>
  </si>
  <si>
    <t>4/11/2008</t>
  </si>
  <si>
    <t>George Augustus Selwyn\; Bishop of New</t>
  </si>
  <si>
    <t>Apr 11</t>
  </si>
  <si>
    <t>George</t>
  </si>
  <si>
    <t>Selwyn\;</t>
  </si>
  <si>
    <t>New</t>
  </si>
  <si>
    <t>Leader\;</t>
  </si>
  <si>
    <t>1968...</t>
  </si>
  <si>
    <t>4/12/2008</t>
  </si>
  <si>
    <t>Apr 12</t>
  </si>
  <si>
    <t>Emma at Waiau 1  </t>
  </si>
  <si>
    <t>Emma</t>
  </si>
  <si>
    <t>Waiau</t>
  </si>
  <si>
    <t>4/13/2008</t>
  </si>
  <si>
    <t>Emma at Kane'ohe District Park </t>
  </si>
  <si>
    <t>Apr 13</t>
  </si>
  <si>
    <t>Kane'ohe</t>
  </si>
  <si>
    <t>District</t>
  </si>
  <si>
    <t>Park</t>
  </si>
  <si>
    <t>4/15/2008</t>
  </si>
  <si>
    <t>Apr 15</t>
  </si>
  <si>
    <t>Taxes Due    </t>
  </si>
  <si>
    <t>Taxes</t>
  </si>
  <si>
    <t>Due</t>
  </si>
  <si>
    <t>4/16/2008</t>
  </si>
  <si>
    <t>Apr 16</t>
  </si>
  <si>
    <t>4/17/2008</t>
  </si>
  <si>
    <t>Dick Hubbard coach   </t>
  </si>
  <si>
    <t>Apr 17</t>
  </si>
  <si>
    <t>Dick</t>
  </si>
  <si>
    <t>Hubbard</t>
  </si>
  <si>
    <t>coach</t>
  </si>
  <si>
    <t>4/18/2008</t>
  </si>
  <si>
    <t>Vestry     </t>
  </si>
  <si>
    <t>Apr 18</t>
  </si>
  <si>
    <t>Vestry</t>
  </si>
  <si>
    <t>4/19/2008</t>
  </si>
  <si>
    <t>Apr 19</t>
  </si>
  <si>
    <t>Alphege\; Archbishop of Canterbury\; and Martyr\;</t>
  </si>
  <si>
    <t>Alphege\;</t>
  </si>
  <si>
    <t>Archbishop</t>
  </si>
  <si>
    <t>Canterbury\;</t>
  </si>
  <si>
    <t>Martyr\;</t>
  </si>
  <si>
    <t>4/20/2008</t>
  </si>
  <si>
    <t>concert celtic harp at UH </t>
  </si>
  <si>
    <t>Apr 20</t>
  </si>
  <si>
    <t>concert</t>
  </si>
  <si>
    <t>celtic</t>
  </si>
  <si>
    <t>harp</t>
  </si>
  <si>
    <t>UH</t>
  </si>
  <si>
    <t>4/21/2008</t>
  </si>
  <si>
    <t>Anselm\; Archbishop of Canterbury\; 1109 </t>
  </si>
  <si>
    <t>Apr 21</t>
  </si>
  <si>
    <t>Anselm\;</t>
  </si>
  <si>
    <t>101...</t>
  </si>
  <si>
    <t>4/22/2008</t>
  </si>
  <si>
    <t>Apr 22</t>
  </si>
  <si>
    <t>Cluster group at St. Tim's </t>
  </si>
  <si>
    <t>Cluster</t>
  </si>
  <si>
    <t>St.</t>
  </si>
  <si>
    <t>Tim's</t>
  </si>
  <si>
    <t>4/23/2008</t>
  </si>
  <si>
    <t>Apr 23</t>
  </si>
  <si>
    <t>Uni...</t>
  </si>
  <si>
    <t>4/24/2008</t>
  </si>
  <si>
    <t>Apr 24</t>
  </si>
  <si>
    <t>4/25/2008</t>
  </si>
  <si>
    <t>Saint Mark the Evangelist  </t>
  </si>
  <si>
    <t>Apr 25</t>
  </si>
  <si>
    <t>Saint</t>
  </si>
  <si>
    <t>Mark</t>
  </si>
  <si>
    <t>Evangelist</t>
  </si>
  <si>
    <t>4/26/2008</t>
  </si>
  <si>
    <t>Apr 26</t>
  </si>
  <si>
    <t>4/27/2008</t>
  </si>
  <si>
    <t>Apr 27</t>
  </si>
  <si>
    <t>4/28/2008</t>
  </si>
  <si>
    <t>Apr 28</t>
  </si>
  <si>
    <t>4/29/2008</t>
  </si>
  <si>
    <t>Catherine of Siena\; 1380  </t>
  </si>
  <si>
    <t>Apr 29</t>
  </si>
  <si>
    <t>Catherine</t>
  </si>
  <si>
    <t>Siena\;</t>
  </si>
  <si>
    <t>State</t>
  </si>
  <si>
    <t>tournament</t>
  </si>
  <si>
    <t>starts</t>
  </si>
  <si>
    <t>4/30/2008</t>
  </si>
  <si>
    <t>Apr 30</t>
  </si>
  <si>
    <t>5/1/2008</t>
  </si>
  <si>
    <t>Saint Philip and Saint James\; Apostles</t>
  </si>
  <si>
    <t>May 01</t>
  </si>
  <si>
    <t>Philip</t>
  </si>
  <si>
    <t>James\;</t>
  </si>
  <si>
    <t>Apostles</t>
  </si>
  <si>
    <t>Ascension Day    </t>
  </si>
  <si>
    <t>Ascension</t>
  </si>
  <si>
    <t>5/2/2008</t>
  </si>
  <si>
    <t>May 02</t>
  </si>
  <si>
    <t>Athanasius\; Bishop of Alexandria\; 373 </t>
  </si>
  <si>
    <t>Athanasius\;</t>
  </si>
  <si>
    <t>Alexandria\;</t>
  </si>
  <si>
    <t>5/3/2008</t>
  </si>
  <si>
    <t>Camp Conference at St. Mary's </t>
  </si>
  <si>
    <t>May 03</t>
  </si>
  <si>
    <t>Camp</t>
  </si>
  <si>
    <t>Conference</t>
  </si>
  <si>
    <t>Mary's</t>
  </si>
  <si>
    <t>5/4/2008</t>
  </si>
  <si>
    <t>Emma at Waipio 5  </t>
  </si>
  <si>
    <t>May 04</t>
  </si>
  <si>
    <t>Waipio</t>
  </si>
  <si>
    <t>Monnica\; Mother of Augustine of Hippo\;</t>
  </si>
  <si>
    <t>Monnica\;</t>
  </si>
  <si>
    <t>Mother</t>
  </si>
  <si>
    <t>Augustine</t>
  </si>
  <si>
    <t>Hippo\;</t>
  </si>
  <si>
    <t>Emma at Waiau 2  </t>
  </si>
  <si>
    <t>5/6/2008</t>
  </si>
  <si>
    <t>May 06</t>
  </si>
  <si>
    <t>5/7/2008</t>
  </si>
  <si>
    <t>May 07</t>
  </si>
  <si>
    <t>5/8/2008</t>
  </si>
  <si>
    <t>Dame Julian of Norwich\; c. 1417</t>
  </si>
  <si>
    <t>May 08</t>
  </si>
  <si>
    <t>Dame</t>
  </si>
  <si>
    <t>Julian</t>
  </si>
  <si>
    <t>Norwich\;</t>
  </si>
  <si>
    <t>c.</t>
  </si>
  <si>
    <t>Queen Emma Ball   </t>
  </si>
  <si>
    <t>Queen</t>
  </si>
  <si>
    <t>Ball</t>
  </si>
  <si>
    <t>Angel's at Play   </t>
  </si>
  <si>
    <t>Angel's</t>
  </si>
  <si>
    <t>Play</t>
  </si>
  <si>
    <t>5/9/2008</t>
  </si>
  <si>
    <t>Gregory of Nazianzus\; Bishop of Constantinople\;</t>
  </si>
  <si>
    <t>May 09</t>
  </si>
  <si>
    <t>Gregory</t>
  </si>
  <si>
    <t>Nazianzus\;</t>
  </si>
  <si>
    <t>Constantinople\;</t>
  </si>
  <si>
    <t>Meet Cal Furitsu   </t>
  </si>
  <si>
    <t>Meet</t>
  </si>
  <si>
    <t>Cal</t>
  </si>
  <si>
    <t>Furitsu</t>
  </si>
  <si>
    <t>5/10/2008</t>
  </si>
  <si>
    <t>May 10</t>
  </si>
  <si>
    <t>Waiau 3    </t>
  </si>
  <si>
    <t>5/11/2008</t>
  </si>
  <si>
    <t>Mother's Day    </t>
  </si>
  <si>
    <t>May 11</t>
  </si>
  <si>
    <t>Mother's</t>
  </si>
  <si>
    <t>Day of Pentecost   </t>
  </si>
  <si>
    <t>Pentecost</t>
  </si>
  <si>
    <t>Rehearsal at St. Andrew's  </t>
  </si>
  <si>
    <t>Rehearsal</t>
  </si>
  <si>
    <t>Andrew's</t>
  </si>
  <si>
    <t>5/12/2008</t>
  </si>
  <si>
    <t>Bridget's birthday    </t>
  </si>
  <si>
    <t>May 12</t>
  </si>
  <si>
    <t>Bridget's</t>
  </si>
  <si>
    <t>birthday</t>
  </si>
  <si>
    <t>5/13/2008</t>
  </si>
  <si>
    <t>May 13</t>
  </si>
  <si>
    <t>5/14/2008</t>
  </si>
  <si>
    <t>May 14</t>
  </si>
  <si>
    <t>Rhodesia\;</t>
  </si>
  <si>
    <t>5/15/2008</t>
  </si>
  <si>
    <t>May 15</t>
  </si>
  <si>
    <t>5/16/2008</t>
  </si>
  <si>
    <t>May 16</t>
  </si>
  <si>
    <t>Martyrs of Sudan\; 1983  </t>
  </si>
  <si>
    <t>Martyrs</t>
  </si>
  <si>
    <t>Sudan\;</t>
  </si>
  <si>
    <t>Jarrow\;</t>
  </si>
  <si>
    <t>7...</t>
  </si>
  <si>
    <t>5/17/2008</t>
  </si>
  <si>
    <t>May 17</t>
  </si>
  <si>
    <t>Casino\;</t>
  </si>
  <si>
    <t>5/18/2008</t>
  </si>
  <si>
    <t>Trinity Sunday    </t>
  </si>
  <si>
    <t>May 18</t>
  </si>
  <si>
    <t>Trinity</t>
  </si>
  <si>
    <t>Sunday</t>
  </si>
  <si>
    <t>5/19/2008</t>
  </si>
  <si>
    <t>Dunstan\; Archbishop of Canterbury\; 988 </t>
  </si>
  <si>
    <t>May 19</t>
  </si>
  <si>
    <t>Dunstan\;</t>
  </si>
  <si>
    <t>5/20/2008</t>
  </si>
  <si>
    <t>May 20</t>
  </si>
  <si>
    <t>Alcuin\; Deacon\; and Abbot of Tours\;</t>
  </si>
  <si>
    <t>Alcuin\;</t>
  </si>
  <si>
    <t>Deacon\;</t>
  </si>
  <si>
    <t>Abbot</t>
  </si>
  <si>
    <t>Tours\;</t>
  </si>
  <si>
    <t>5/21/2008</t>
  </si>
  <si>
    <t>May 21</t>
  </si>
  <si>
    <t>38...</t>
  </si>
  <si>
    <t>5/22/2008</t>
  </si>
  <si>
    <t>May 22</t>
  </si>
  <si>
    <t>5/23/2008</t>
  </si>
  <si>
    <t>Music practice    </t>
  </si>
  <si>
    <t>May 23</t>
  </si>
  <si>
    <t>Music</t>
  </si>
  <si>
    <t>practice</t>
  </si>
  <si>
    <t>Zealand\;</t>
  </si>
  <si>
    <t>and...</t>
  </si>
  <si>
    <t>5/24/2008</t>
  </si>
  <si>
    <t>Jackson Kemper\; First Missionary Bishop in</t>
  </si>
  <si>
    <t>May 24</t>
  </si>
  <si>
    <t>Jackson</t>
  </si>
  <si>
    <t>Kemper\;</t>
  </si>
  <si>
    <t>First</t>
  </si>
  <si>
    <t>Missionary</t>
  </si>
  <si>
    <t>in</t>
  </si>
  <si>
    <t>REM May 24 2008 MSG HYSA</t>
  </si>
  <si>
    <t>REM</t>
  </si>
  <si>
    <t>May</t>
  </si>
  <si>
    <t>MSG</t>
  </si>
  <si>
    <t>HYSA</t>
  </si>
  <si>
    <t>5/25/2008</t>
  </si>
  <si>
    <t>Bede\; the Venerable\; Priest\; and Monk</t>
  </si>
  <si>
    <t>May 25</t>
  </si>
  <si>
    <t>Bede\;</t>
  </si>
  <si>
    <t>Venerable\;</t>
  </si>
  <si>
    <t>Monk</t>
  </si>
  <si>
    <t>5/26/2008</t>
  </si>
  <si>
    <t>Memorial Day    </t>
  </si>
  <si>
    <t>May 26</t>
  </si>
  <si>
    <t>Memorial</t>
  </si>
  <si>
    <t>Augustine\; First Archbishop of Canterbury\; 605</t>
  </si>
  <si>
    <t>Augustine\;</t>
  </si>
  <si>
    <t>5/27/2008</t>
  </si>
  <si>
    <t>May 27</t>
  </si>
  <si>
    <t>5/28/2008</t>
  </si>
  <si>
    <t>May 28</t>
  </si>
  <si>
    <t>Baptist</t>
  </si>
  <si>
    <t>5/29/2008</t>
  </si>
  <si>
    <t>Finance comm    </t>
  </si>
  <si>
    <t>May 29</t>
  </si>
  <si>
    <t>Finance</t>
  </si>
  <si>
    <t>comm</t>
  </si>
  <si>
    <t>5/30/2008</t>
  </si>
  <si>
    <t>Angels graduation    </t>
  </si>
  <si>
    <t>May 30</t>
  </si>
  <si>
    <t>graduation</t>
  </si>
  <si>
    <t>5/31/2008</t>
  </si>
  <si>
    <t>The Visitation of the Virgin Mary</t>
  </si>
  <si>
    <t>May 31</t>
  </si>
  <si>
    <t>The</t>
  </si>
  <si>
    <t>Visitation</t>
  </si>
  <si>
    <t>Virgin</t>
  </si>
  <si>
    <t>Mary</t>
  </si>
  <si>
    <t>Ordination</t>
  </si>
  <si>
    <t>Holy</t>
  </si>
  <si>
    <t>Nativity\</t>
  </si>
  <si>
    <t>white</t>
  </si>
  <si>
    <t>Kelvin phone call   </t>
  </si>
  <si>
    <t>Kelvin</t>
  </si>
  <si>
    <t>phone</t>
  </si>
  <si>
    <t>call</t>
  </si>
  <si>
    <t>6/1/2008</t>
  </si>
  <si>
    <t>Justin\; Martyr at Rome\; c. 167</t>
  </si>
  <si>
    <t>Jun 01</t>
  </si>
  <si>
    <t>Justin\;</t>
  </si>
  <si>
    <t>Martyr</t>
  </si>
  <si>
    <t>Rome\;</t>
  </si>
  <si>
    <t>2nd service    </t>
  </si>
  <si>
    <t>2nd</t>
  </si>
  <si>
    <t>service</t>
  </si>
  <si>
    <t>6/2/2008</t>
  </si>
  <si>
    <t>The Martyrs of Lyons\; 177 </t>
  </si>
  <si>
    <t>Jun 02</t>
  </si>
  <si>
    <t>Lyons\;</t>
  </si>
  <si>
    <t>6/3/2008</t>
  </si>
  <si>
    <t>The Martyrs of Uganda\; 1886 </t>
  </si>
  <si>
    <t>Jun 03</t>
  </si>
  <si>
    <t>Uganda\;</t>
  </si>
  <si>
    <t>Sets Judy for lunch  </t>
  </si>
  <si>
    <t>Sets</t>
  </si>
  <si>
    <t>Judy</t>
  </si>
  <si>
    <t>for</t>
  </si>
  <si>
    <t>lunch</t>
  </si>
  <si>
    <t>stole</t>
  </si>
  <si>
    <t>6/4/2008</t>
  </si>
  <si>
    <t>Jun 04</t>
  </si>
  <si>
    <t>6/5/2008</t>
  </si>
  <si>
    <t>Boniface\; Archbishop of Mainz\; Missionary to</t>
  </si>
  <si>
    <t>Jun 05</t>
  </si>
  <si>
    <t>Boniface\;</t>
  </si>
  <si>
    <t>Mainz\;</t>
  </si>
  <si>
    <t>to</t>
  </si>
  <si>
    <t>East Hon. Group @ Holy Nativity</t>
  </si>
  <si>
    <t>East</t>
  </si>
  <si>
    <t>Hon.</t>
  </si>
  <si>
    <t>Group</t>
  </si>
  <si>
    <t>Nativity</t>
  </si>
  <si>
    <t>Charlene vacaton    </t>
  </si>
  <si>
    <t>Charlene</t>
  </si>
  <si>
    <t>vacaton</t>
  </si>
  <si>
    <t>Pablo     </t>
  </si>
  <si>
    <t>Pablo</t>
  </si>
  <si>
    <t>min</t>
  </si>
  <si>
    <t>6/6/2008</t>
  </si>
  <si>
    <t>Jun 06</t>
  </si>
  <si>
    <t>6/7/2008</t>
  </si>
  <si>
    <t>Jun 07</t>
  </si>
  <si>
    <t>6/9/2008</t>
  </si>
  <si>
    <t>Columba\; Abbot of Iona\; 597 </t>
  </si>
  <si>
    <t>Jun 09</t>
  </si>
  <si>
    <t>Columba\;</t>
  </si>
  <si>
    <t>Iona\;</t>
  </si>
  <si>
    <t>L Portland NW 217  </t>
  </si>
  <si>
    <t>L</t>
  </si>
  <si>
    <t>Portland</t>
  </si>
  <si>
    <t>NW</t>
  </si>
  <si>
    <t>6/10/2008</t>
  </si>
  <si>
    <t>Jun 10</t>
  </si>
  <si>
    <t>Ephrem of Edessa\; Syria\; Deacon\; 373</t>
  </si>
  <si>
    <t>Ephrem</t>
  </si>
  <si>
    <t>Edessa\;</t>
  </si>
  <si>
    <t>Syria\;</t>
  </si>
  <si>
    <t>Demo Ikon    </t>
  </si>
  <si>
    <t>Demo</t>
  </si>
  <si>
    <t>Ikon</t>
  </si>
  <si>
    <t>Ar Hon    </t>
  </si>
  <si>
    <t>Ar</t>
  </si>
  <si>
    <t>Hon</t>
  </si>
  <si>
    <t>6/11/2008</t>
  </si>
  <si>
    <t>Jun 11</t>
  </si>
  <si>
    <t>Saint Barnabas the Apostle  </t>
  </si>
  <si>
    <t>Barnabas</t>
  </si>
  <si>
    <t>Apostle</t>
  </si>
  <si>
    <t>slavery</t>
  </si>
  <si>
    <t>Office closed    </t>
  </si>
  <si>
    <t>Office</t>
  </si>
  <si>
    <t>closed</t>
  </si>
  <si>
    <t>Faculty mtg @ Seto  </t>
  </si>
  <si>
    <t>Faculty</t>
  </si>
  <si>
    <t>mtg</t>
  </si>
  <si>
    <t>Seto</t>
  </si>
  <si>
    <t>6/12/2008</t>
  </si>
  <si>
    <t>First day Summer School  </t>
  </si>
  <si>
    <t>Jun 12</t>
  </si>
  <si>
    <t>day</t>
  </si>
  <si>
    <t>Summer</t>
  </si>
  <si>
    <t>School</t>
  </si>
  <si>
    <t>Enmegahbowh\; Priest and Missionary\; 1902 </t>
  </si>
  <si>
    <t>Enmegahbowh\;</t>
  </si>
  <si>
    <t>Priest</t>
  </si>
  <si>
    <t>Missionary\;</t>
  </si>
  <si>
    <t>6/13/2008</t>
  </si>
  <si>
    <t>Friday the 13th is today. </t>
  </si>
  <si>
    <t>Jun 13</t>
  </si>
  <si>
    <t>Friday</t>
  </si>
  <si>
    <t>13th</t>
  </si>
  <si>
    <t>is</t>
  </si>
  <si>
    <t>today.</t>
  </si>
  <si>
    <t>Rehearsal and dinner   </t>
  </si>
  <si>
    <t>dinner</t>
  </si>
  <si>
    <t>Fly to Portland   </t>
  </si>
  <si>
    <t>Fly</t>
  </si>
  <si>
    <t>L Hon NW 218  </t>
  </si>
  <si>
    <t>Ar Portland    </t>
  </si>
  <si>
    <t>6/14/2008</t>
  </si>
  <si>
    <t>Miriam's Wedding    </t>
  </si>
  <si>
    <t>Jun 14</t>
  </si>
  <si>
    <t>Miriam's</t>
  </si>
  <si>
    <t>Wedding</t>
  </si>
  <si>
    <t>Basil the Great\; Bishop of Caesarea\;</t>
  </si>
  <si>
    <t>Basil</t>
  </si>
  <si>
    <t>Great\;</t>
  </si>
  <si>
    <t>Caesarea\;</t>
  </si>
  <si>
    <t>6/15/2008</t>
  </si>
  <si>
    <t>Father's Day    </t>
  </si>
  <si>
    <t>Jun 15</t>
  </si>
  <si>
    <t>Father's</t>
  </si>
  <si>
    <t>Brunch at time?   </t>
  </si>
  <si>
    <t>Brunch</t>
  </si>
  <si>
    <t>time?</t>
  </si>
  <si>
    <t>Evelyn Underhill\; 1941   </t>
  </si>
  <si>
    <t>Evelyn</t>
  </si>
  <si>
    <t>Underhill\;</t>
  </si>
  <si>
    <t>6/16/2008</t>
  </si>
  <si>
    <t>Joseph Butler\; Bishop of Durham\; 1752</t>
  </si>
  <si>
    <t>Jun 16</t>
  </si>
  <si>
    <t>Joseph</t>
  </si>
  <si>
    <t>Butler\;</t>
  </si>
  <si>
    <t>Durham\;</t>
  </si>
  <si>
    <t>Return home    </t>
  </si>
  <si>
    <t>Return</t>
  </si>
  <si>
    <t>home</t>
  </si>
  <si>
    <t>San Diego soccer team  </t>
  </si>
  <si>
    <t>San</t>
  </si>
  <si>
    <t>Diego</t>
  </si>
  <si>
    <t>soccer</t>
  </si>
  <si>
    <t>team</t>
  </si>
  <si>
    <t>6/17/2008</t>
  </si>
  <si>
    <t>Jun 17</t>
  </si>
  <si>
    <t>6/18/2008</t>
  </si>
  <si>
    <t>Jun 18</t>
  </si>
  <si>
    <t>Bernard Mizeki\; Catechist and Martyr in</t>
  </si>
  <si>
    <t>Bernard</t>
  </si>
  <si>
    <t>Mizeki\;</t>
  </si>
  <si>
    <t>Catechist</t>
  </si>
  <si>
    <t>6/19/2008</t>
  </si>
  <si>
    <t>Jun 19</t>
  </si>
  <si>
    <t>6/20/2008</t>
  </si>
  <si>
    <t>Jun 20</t>
  </si>
  <si>
    <t>6/21/2008</t>
  </si>
  <si>
    <t>Jun 21</t>
  </si>
  <si>
    <t>CAMPS MEETING    </t>
  </si>
  <si>
    <t>CAMPS</t>
  </si>
  <si>
    <t>MEETING</t>
  </si>
  <si>
    <t>6/22/2008</t>
  </si>
  <si>
    <t>Alban\; First Martyr of Britain\; c.</t>
  </si>
  <si>
    <t>Jun 22</t>
  </si>
  <si>
    <t>Alban\;</t>
  </si>
  <si>
    <t>Britain\;</t>
  </si>
  <si>
    <t>6/23/2008</t>
  </si>
  <si>
    <t>Emma depart for Seattle  </t>
  </si>
  <si>
    <t>Jun 23</t>
  </si>
  <si>
    <t>depart</t>
  </si>
  <si>
    <t>Seattle</t>
  </si>
  <si>
    <t>6/24/2008</t>
  </si>
  <si>
    <t>Jun 24</t>
  </si>
  <si>
    <t>The Nativity of Saint John the</t>
  </si>
  <si>
    <t>John</t>
  </si>
  <si>
    <t>Property comm mtg   </t>
  </si>
  <si>
    <t>Property</t>
  </si>
  <si>
    <t>6/25/2008</t>
  </si>
  <si>
    <t>Jun 25</t>
  </si>
  <si>
    <t>Meet w bishop etc re Waikiki</t>
  </si>
  <si>
    <t>w</t>
  </si>
  <si>
    <t>bishop</t>
  </si>
  <si>
    <t>etc</t>
  </si>
  <si>
    <t>re</t>
  </si>
  <si>
    <t>Waikiki</t>
  </si>
  <si>
    <t>6/28/2008</t>
  </si>
  <si>
    <t>Jun 28</t>
  </si>
  <si>
    <t>Irenaeus\; Bishop of Lyons\; c. 202</t>
  </si>
  <si>
    <t>Irenaeus\;</t>
  </si>
  <si>
    <t>$</t>
  </si>
  <si>
    <t>6/29/2008</t>
  </si>
  <si>
    <t>Saint Peter and Saint Paul\; Apostles</t>
  </si>
  <si>
    <t>Jun 29</t>
  </si>
  <si>
    <t>Peter</t>
  </si>
  <si>
    <t>Paul\;</t>
  </si>
  <si>
    <t>7/1/2008</t>
  </si>
  <si>
    <t>7/2/2008</t>
  </si>
  <si>
    <t>Emma depart for Honolulu  </t>
  </si>
  <si>
    <t>Honolulu</t>
  </si>
  <si>
    <t>(Thai)</t>
  </si>
  <si>
    <t>Meet w couple re rent chapel</t>
  </si>
  <si>
    <t>couple</t>
  </si>
  <si>
    <t>rent</t>
  </si>
  <si>
    <t>P U Emma   </t>
  </si>
  <si>
    <t>P</t>
  </si>
  <si>
    <t>U</t>
  </si>
  <si>
    <t>7/3/2008</t>
  </si>
  <si>
    <t>7/4/2008</t>
  </si>
  <si>
    <t>Independence Day    </t>
  </si>
  <si>
    <t>Independence</t>
  </si>
  <si>
    <t>7/5/2008</t>
  </si>
  <si>
    <t>7/8/2008</t>
  </si>
  <si>
    <t>Jul 08</t>
  </si>
  <si>
    <t>7/9/2008</t>
  </si>
  <si>
    <t>Jul 09</t>
  </si>
  <si>
    <t>7/11/2008</t>
  </si>
  <si>
    <t>Benedict of Nursia\; Abbot of Monte</t>
  </si>
  <si>
    <t>Jul 11</t>
  </si>
  <si>
    <t>Benedict</t>
  </si>
  <si>
    <t>Nursia\;</t>
  </si>
  <si>
    <t>Monte</t>
  </si>
  <si>
    <t>Meet w  re. Bus pass</t>
  </si>
  <si>
    <t>re.</t>
  </si>
  <si>
    <t>Bus</t>
  </si>
  <si>
    <t>pass</t>
  </si>
  <si>
    <t>olds</t>
  </si>
  <si>
    <t>7/12/2008</t>
  </si>
  <si>
    <t>Jul 12</t>
  </si>
  <si>
    <t>7/15/2008</t>
  </si>
  <si>
    <t>Jul 15</t>
  </si>
  <si>
    <t>Kokua</t>
  </si>
  <si>
    <t>O.</t>
  </si>
  <si>
    <t>East Honolulu    </t>
  </si>
  <si>
    <t>7/16/2008</t>
  </si>
  <si>
    <t>Yoshimura appointment for 3  </t>
  </si>
  <si>
    <t>Jul 16</t>
  </si>
  <si>
    <t>Yoshimura</t>
  </si>
  <si>
    <t>appointment</t>
  </si>
  <si>
    <t>Faculty mtg Seto Hall  </t>
  </si>
  <si>
    <t>Hall</t>
  </si>
  <si>
    <t>Straub</t>
  </si>
  <si>
    <t>7/17/2008</t>
  </si>
  <si>
    <t>Jul 17</t>
  </si>
  <si>
    <t>William White\; Bishop of Pennsylvania\; 1836</t>
  </si>
  <si>
    <t>White\;</t>
  </si>
  <si>
    <t>Pennsylvania\;</t>
  </si>
  <si>
    <t>7/18/2008</t>
  </si>
  <si>
    <t>Jul 18</t>
  </si>
  <si>
    <t>7/19/2008</t>
  </si>
  <si>
    <t>Macrina\; 379    </t>
  </si>
  <si>
    <t>Macrina\;</t>
  </si>
  <si>
    <t>7/20/2008</t>
  </si>
  <si>
    <t>Elizabeth Cady Stanton\; Amelia Bloomer\; Sojourner</t>
  </si>
  <si>
    <t>Elizabeth</t>
  </si>
  <si>
    <t>Cady</t>
  </si>
  <si>
    <t>Stanton\;</t>
  </si>
  <si>
    <t>Amelia</t>
  </si>
  <si>
    <t>Bloomer\;</t>
  </si>
  <si>
    <t>Sojourner</t>
  </si>
  <si>
    <t>7/21/2008</t>
  </si>
  <si>
    <t>Meet w  Maria  </t>
  </si>
  <si>
    <t>Jul 21</t>
  </si>
  <si>
    <t>Maria</t>
  </si>
  <si>
    <t>Family</t>
  </si>
  <si>
    <t>Promise</t>
  </si>
  <si>
    <t>7/22/2008</t>
  </si>
  <si>
    <t>Saint Mary Magdalene   </t>
  </si>
  <si>
    <t>Jul 22</t>
  </si>
  <si>
    <t>Magdalene</t>
  </si>
  <si>
    <t>7/23/2008</t>
  </si>
  <si>
    <t>Jul 23</t>
  </si>
  <si>
    <t>7/24/2008</t>
  </si>
  <si>
    <t>Thomas a Kempis\; Priest\; 1471 </t>
  </si>
  <si>
    <t>Jul 24</t>
  </si>
  <si>
    <t>Thomas</t>
  </si>
  <si>
    <t>a</t>
  </si>
  <si>
    <t>Kempis\;</t>
  </si>
  <si>
    <t>7/25/2008</t>
  </si>
  <si>
    <t>Saint James the Apostle  </t>
  </si>
  <si>
    <t>Resched Vestry    </t>
  </si>
  <si>
    <t>Resched</t>
  </si>
  <si>
    <t>Holt</t>
  </si>
  <si>
    <t>7/26/2008</t>
  </si>
  <si>
    <t>The Parents of the Blessed Virgin</t>
  </si>
  <si>
    <t>Parents</t>
  </si>
  <si>
    <t>Blessed</t>
  </si>
  <si>
    <t>7/27/2008</t>
  </si>
  <si>
    <t>William Reed Huntington\; Priest\; 1909 </t>
  </si>
  <si>
    <t>Jul 27</t>
  </si>
  <si>
    <t>Reed</t>
  </si>
  <si>
    <t>Huntington\;</t>
  </si>
  <si>
    <t>Pat</t>
  </si>
  <si>
    <t>7/29/2008</t>
  </si>
  <si>
    <t>Mary and Martha of Bethany </t>
  </si>
  <si>
    <t>Jul 29</t>
  </si>
  <si>
    <t>Martha</t>
  </si>
  <si>
    <t>Bethany</t>
  </si>
  <si>
    <t>7/30/2008</t>
  </si>
  <si>
    <t>Jul 30</t>
  </si>
  <si>
    <t>William Wilberforce\; 1833   </t>
  </si>
  <si>
    <t>Wilberforce\;</t>
  </si>
  <si>
    <t>7/31/2008</t>
  </si>
  <si>
    <t>Ignatius of Loyola\; 1556  </t>
  </si>
  <si>
    <t>Jul 31</t>
  </si>
  <si>
    <t>Ignatius</t>
  </si>
  <si>
    <t>Loyola\;</t>
  </si>
  <si>
    <t>Charlene vacation    </t>
  </si>
  <si>
    <t>vacation</t>
  </si>
  <si>
    <t>Orientation for Leen   </t>
  </si>
  <si>
    <t>Orientation</t>
  </si>
  <si>
    <t>Leen</t>
  </si>
  <si>
    <t>8/2/2008</t>
  </si>
  <si>
    <t>Barbara to house   </t>
  </si>
  <si>
    <t>Aug 02</t>
  </si>
  <si>
    <t>Barbara</t>
  </si>
  <si>
    <t>house</t>
  </si>
  <si>
    <t>8/9/2008</t>
  </si>
  <si>
    <t>Camps &amp; conference   </t>
  </si>
  <si>
    <t>Aug 09</t>
  </si>
  <si>
    <t>Camps</t>
  </si>
  <si>
    <t>conference</t>
  </si>
  <si>
    <t>8/10/2008</t>
  </si>
  <si>
    <t>Return NW #3138   </t>
  </si>
  <si>
    <t>Aug 10</t>
  </si>
  <si>
    <t>#3138</t>
  </si>
  <si>
    <t>Leen arrive    </t>
  </si>
  <si>
    <t>arrive</t>
  </si>
  <si>
    <t>Luau Frank Chun   </t>
  </si>
  <si>
    <t>Luau</t>
  </si>
  <si>
    <t>Frank</t>
  </si>
  <si>
    <t>Chun</t>
  </si>
  <si>
    <t>8/11/2008</t>
  </si>
  <si>
    <t>Michael Hom &amp; Mika  </t>
  </si>
  <si>
    <t>Aug 11</t>
  </si>
  <si>
    <t>Michael</t>
  </si>
  <si>
    <t>Hom</t>
  </si>
  <si>
    <t>Mika</t>
  </si>
  <si>
    <t>8/12/2008</t>
  </si>
  <si>
    <t>Family Promise night   </t>
  </si>
  <si>
    <t>Aug 12</t>
  </si>
  <si>
    <t>night</t>
  </si>
  <si>
    <t>8/13/2008</t>
  </si>
  <si>
    <t>Meet with Priory   </t>
  </si>
  <si>
    <t>Aug 13</t>
  </si>
  <si>
    <t>with</t>
  </si>
  <si>
    <t>Priory</t>
  </si>
  <si>
    <t>Meet Michael Mika   </t>
  </si>
  <si>
    <t>8/14/2008</t>
  </si>
  <si>
    <t>Apt Emma orthodontist Curtis Kamisugi? </t>
  </si>
  <si>
    <t>Aug 14</t>
  </si>
  <si>
    <t>Apt</t>
  </si>
  <si>
    <t>orthodontist</t>
  </si>
  <si>
    <t>Curtis</t>
  </si>
  <si>
    <t>Kamisugi?</t>
  </si>
  <si>
    <t>Appt fasting test Blane Chong </t>
  </si>
  <si>
    <t>Appt</t>
  </si>
  <si>
    <t>fasting</t>
  </si>
  <si>
    <t>test</t>
  </si>
  <si>
    <t>Blane</t>
  </si>
  <si>
    <t>Chong</t>
  </si>
  <si>
    <t>Lydia to AlaMoana to Elizabeth </t>
  </si>
  <si>
    <t>Lydia</t>
  </si>
  <si>
    <t>AlaMoana</t>
  </si>
  <si>
    <t>8/15/2008</t>
  </si>
  <si>
    <t>P u Lydia @ school </t>
  </si>
  <si>
    <t>Aug 15</t>
  </si>
  <si>
    <t>u</t>
  </si>
  <si>
    <t>school</t>
  </si>
  <si>
    <t>Leen tb checkup   </t>
  </si>
  <si>
    <t>tb</t>
  </si>
  <si>
    <t>checkup</t>
  </si>
  <si>
    <t>8/16/2008</t>
  </si>
  <si>
    <t>Clean sanctuary    </t>
  </si>
  <si>
    <t>Aug 16</t>
  </si>
  <si>
    <t>Clean</t>
  </si>
  <si>
    <t>sanctuary</t>
  </si>
  <si>
    <t>Lydia to tennis   </t>
  </si>
  <si>
    <t>tennis</t>
  </si>
  <si>
    <t>Lydia to tennis @Ke'ehi  </t>
  </si>
  <si>
    <t>@Ke'ehi</t>
  </si>
  <si>
    <t>8/17/2008</t>
  </si>
  <si>
    <t>Luncheon for Dara @ Maple Garden</t>
  </si>
  <si>
    <t>Aug 17</t>
  </si>
  <si>
    <t>Luncheon</t>
  </si>
  <si>
    <t>Dara</t>
  </si>
  <si>
    <t>Maple</t>
  </si>
  <si>
    <t>Garden</t>
  </si>
  <si>
    <t>Hathaway food @ Aloha hour </t>
  </si>
  <si>
    <t>Hathaway</t>
  </si>
  <si>
    <t>food</t>
  </si>
  <si>
    <t>Aloha</t>
  </si>
  <si>
    <t>hour</t>
  </si>
  <si>
    <t>8/19/2008</t>
  </si>
  <si>
    <t>Pick up Lydia   </t>
  </si>
  <si>
    <t>Aug 19</t>
  </si>
  <si>
    <t>Pick</t>
  </si>
  <si>
    <t>up</t>
  </si>
  <si>
    <t>Kumura     </t>
  </si>
  <si>
    <t>Kumura</t>
  </si>
  <si>
    <t>8/20/2008</t>
  </si>
  <si>
    <t>Lunch w  Bill Frank? </t>
  </si>
  <si>
    <t>Aug 20</t>
  </si>
  <si>
    <t>Lunch</t>
  </si>
  <si>
    <t>Bill</t>
  </si>
  <si>
    <t>Frank?</t>
  </si>
  <si>
    <t>8/21/2008</t>
  </si>
  <si>
    <t>East Honolulu @ Kaimuki  </t>
  </si>
  <si>
    <t>Aug 21</t>
  </si>
  <si>
    <t>Kaimuki</t>
  </si>
  <si>
    <t>Take girls to school  </t>
  </si>
  <si>
    <t>Take</t>
  </si>
  <si>
    <t>girls</t>
  </si>
  <si>
    <t>Fellowship     </t>
  </si>
  <si>
    <t>Aug 22</t>
  </si>
  <si>
    <t>Fellowship</t>
  </si>
  <si>
    <t>8/23/2008</t>
  </si>
  <si>
    <t>Clean gathering room   </t>
  </si>
  <si>
    <t>Aug 23</t>
  </si>
  <si>
    <t>gathering</t>
  </si>
  <si>
    <t>room</t>
  </si>
  <si>
    <t>Leen orientation @ Iolani cafeteria </t>
  </si>
  <si>
    <t>orientation</t>
  </si>
  <si>
    <t>Iolani</t>
  </si>
  <si>
    <t>cafeteria</t>
  </si>
  <si>
    <t>8/26/2008</t>
  </si>
  <si>
    <t>Dinner w  Michael  </t>
  </si>
  <si>
    <t>Aug 26</t>
  </si>
  <si>
    <t>Dinner</t>
  </si>
  <si>
    <t>8/29/2008</t>
  </si>
  <si>
    <t>Parents meeting @ Ke'ehi  </t>
  </si>
  <si>
    <t>Aug 29</t>
  </si>
  <si>
    <t>meeting</t>
  </si>
  <si>
    <t>Ke'ehi</t>
  </si>
  <si>
    <t>8/30/2008</t>
  </si>
  <si>
    <t>Dr. Masumoto for Emma  </t>
  </si>
  <si>
    <t>Aug 30</t>
  </si>
  <si>
    <t>Dr.</t>
  </si>
  <si>
    <t>Masumoto</t>
  </si>
  <si>
    <t>9/3/2008</t>
  </si>
  <si>
    <t>Sep 03</t>
  </si>
  <si>
    <t>Do a blessing service for angels</t>
  </si>
  <si>
    <t>Do</t>
  </si>
  <si>
    <t>blessing</t>
  </si>
  <si>
    <t>angels</t>
  </si>
  <si>
    <t>Healing</t>
  </si>
  <si>
    <t>Bible</t>
  </si>
  <si>
    <t>class</t>
  </si>
  <si>
    <t>9/6/2008</t>
  </si>
  <si>
    <t>Michael Hom wedding   </t>
  </si>
  <si>
    <t>Sep 06</t>
  </si>
  <si>
    <t>wedding</t>
  </si>
  <si>
    <t>Music rehearsal    </t>
  </si>
  <si>
    <t>rehearsal</t>
  </si>
  <si>
    <t>9/13/2008</t>
  </si>
  <si>
    <t>Camps &amp; conference w  Dept</t>
  </si>
  <si>
    <t>Sep 13</t>
  </si>
  <si>
    <t>Dept</t>
  </si>
  <si>
    <t>9/16/2008</t>
  </si>
  <si>
    <t>East Honolulu @ St. Tim's </t>
  </si>
  <si>
    <t>Sep 16</t>
  </si>
  <si>
    <t>9/17/2008</t>
  </si>
  <si>
    <t>Sep 17</t>
  </si>
  <si>
    <t>Tom</t>
  </si>
  <si>
    <t>from</t>
  </si>
  <si>
    <t>Sep 18</t>
  </si>
  <si>
    <t>Convocation</t>
  </si>
  <si>
    <t>9/19/2008</t>
  </si>
  <si>
    <t>Conf @ UH Christian response to</t>
  </si>
  <si>
    <t>Sep 19</t>
  </si>
  <si>
    <t>Conf</t>
  </si>
  <si>
    <t>Christian</t>
  </si>
  <si>
    <t>response</t>
  </si>
  <si>
    <t>9/20/2008</t>
  </si>
  <si>
    <t>Sep 20</t>
  </si>
  <si>
    <t>Possible</t>
  </si>
  <si>
    <t>baptism</t>
  </si>
  <si>
    <t>Altar</t>
  </si>
  <si>
    <t>Guild</t>
  </si>
  <si>
    <t>9/21/2008</t>
  </si>
  <si>
    <t>Sep 21</t>
  </si>
  <si>
    <t>Chang</t>
  </si>
  <si>
    <t>Sep 23</t>
  </si>
  <si>
    <t>9/26/2008</t>
  </si>
  <si>
    <t>Blane Chong for flu shot </t>
  </si>
  <si>
    <t>Sep 26</t>
  </si>
  <si>
    <t>flu</t>
  </si>
  <si>
    <t>shot</t>
  </si>
  <si>
    <t>Meeting</t>
  </si>
  <si>
    <t>9/27/2008</t>
  </si>
  <si>
    <t>Lydia tennis Kam   </t>
  </si>
  <si>
    <t>Sep 27</t>
  </si>
  <si>
    <t>Kam</t>
  </si>
  <si>
    <t>New Beginning formation   </t>
  </si>
  <si>
    <t>Beginning</t>
  </si>
  <si>
    <t>formation</t>
  </si>
  <si>
    <t>Stewardship workshop @ St. George's </t>
  </si>
  <si>
    <t>Stewardship</t>
  </si>
  <si>
    <t>workshop</t>
  </si>
  <si>
    <t>George's</t>
  </si>
  <si>
    <t>9/28/2008</t>
  </si>
  <si>
    <t>Clergy Retreat    </t>
  </si>
  <si>
    <t>Sep 28</t>
  </si>
  <si>
    <t>Retreat</t>
  </si>
  <si>
    <t>9/30/2008</t>
  </si>
  <si>
    <t>Dr. Scott Masunaga for Emma </t>
  </si>
  <si>
    <t>Sep 30</t>
  </si>
  <si>
    <t>Scott</t>
  </si>
  <si>
    <t>Masunaga</t>
  </si>
  <si>
    <t>New Beginnings    </t>
  </si>
  <si>
    <t>Oct 03</t>
  </si>
  <si>
    <t>Beginnings</t>
  </si>
  <si>
    <t>10/9/2008</t>
  </si>
  <si>
    <t>Roy Brooks re. Partners in Deve't</t>
  </si>
  <si>
    <t>Oct 09</t>
  </si>
  <si>
    <t>Roy</t>
  </si>
  <si>
    <t>Brooks</t>
  </si>
  <si>
    <t>Partners</t>
  </si>
  <si>
    <t>Deve't</t>
  </si>
  <si>
    <t>Read w  Angels @ Play</t>
  </si>
  <si>
    <t>Read</t>
  </si>
  <si>
    <t>10/11/2008</t>
  </si>
  <si>
    <t>Election meeting @ Von Holt </t>
  </si>
  <si>
    <t>Oct 11</t>
  </si>
  <si>
    <t>Election</t>
  </si>
  <si>
    <t>Von</t>
  </si>
  <si>
    <t>10/14/2008</t>
  </si>
  <si>
    <t>Dr. Masunaga    </t>
  </si>
  <si>
    <t>Oct 14</t>
  </si>
  <si>
    <t>Angels chapel    </t>
  </si>
  <si>
    <t>10/15/2008</t>
  </si>
  <si>
    <t>New Ministry @ Emmanuel (white stole)</t>
  </si>
  <si>
    <t>Oct 15</t>
  </si>
  <si>
    <t>Ministry</t>
  </si>
  <si>
    <t>Emmanuel</t>
  </si>
  <si>
    <t>(white</t>
  </si>
  <si>
    <t>stole)</t>
  </si>
  <si>
    <t>10/17/2008</t>
  </si>
  <si>
    <t>Parent Teacher @ Priory time? </t>
  </si>
  <si>
    <t>Oct 17</t>
  </si>
  <si>
    <t>Parent</t>
  </si>
  <si>
    <t>Teacher</t>
  </si>
  <si>
    <t>Angel's chapel    </t>
  </si>
  <si>
    <t>Oct 23</t>
  </si>
  <si>
    <t>10/24/2008</t>
  </si>
  <si>
    <t>Dinner @ St. Clements (Bishop) </t>
  </si>
  <si>
    <t>Oct 24</t>
  </si>
  <si>
    <t>Clements</t>
  </si>
  <si>
    <t>(Bishop)</t>
  </si>
  <si>
    <t>Oct 28</t>
  </si>
  <si>
    <t>10/29/2008</t>
  </si>
  <si>
    <t>Close up Church   </t>
  </si>
  <si>
    <t>Oct 29</t>
  </si>
  <si>
    <t>Close</t>
  </si>
  <si>
    <t>Church</t>
  </si>
  <si>
    <t>10/30/2008</t>
  </si>
  <si>
    <t>Priory Concert w  Leen dance</t>
  </si>
  <si>
    <t>Oct 30</t>
  </si>
  <si>
    <t>Concert</t>
  </si>
  <si>
    <t>dance</t>
  </si>
  <si>
    <t>10/31/2008</t>
  </si>
  <si>
    <t>Angels Halloween walk   </t>
  </si>
  <si>
    <t>Halloween</t>
  </si>
  <si>
    <t>walk</t>
  </si>
  <si>
    <t>Stewardship planning mtg   </t>
  </si>
  <si>
    <t>planning</t>
  </si>
  <si>
    <t>11/1/2008</t>
  </si>
  <si>
    <t>Emma to clean music  </t>
  </si>
  <si>
    <t>Nov 01</t>
  </si>
  <si>
    <t>clean</t>
  </si>
  <si>
    <t>music</t>
  </si>
  <si>
    <t>11/8/2008</t>
  </si>
  <si>
    <t>11/10/2008</t>
  </si>
  <si>
    <t>Nov 10</t>
  </si>
  <si>
    <t>11/11/2008</t>
  </si>
  <si>
    <t>Emma orchestra    </t>
  </si>
  <si>
    <t>Nov 11</t>
  </si>
  <si>
    <t>orchestra</t>
  </si>
  <si>
    <t>Yard work day   </t>
  </si>
  <si>
    <t>Yard</t>
  </si>
  <si>
    <t>work</t>
  </si>
  <si>
    <t>11/12/2008</t>
  </si>
  <si>
    <t>Foster family event   </t>
  </si>
  <si>
    <t>Nov 12</t>
  </si>
  <si>
    <t>Foster</t>
  </si>
  <si>
    <t>family</t>
  </si>
  <si>
    <t>event</t>
  </si>
  <si>
    <t>11/13/2008</t>
  </si>
  <si>
    <t>Ala Moana Xray Emma  </t>
  </si>
  <si>
    <t>Ala</t>
  </si>
  <si>
    <t>Moana</t>
  </si>
  <si>
    <t>Xray</t>
  </si>
  <si>
    <t>Pick up Hugh for golf </t>
  </si>
  <si>
    <t>Hugh</t>
  </si>
  <si>
    <t>golf</t>
  </si>
  <si>
    <t>11/14/2008</t>
  </si>
  <si>
    <t>Murray for discussion   </t>
  </si>
  <si>
    <t>Nov 14</t>
  </si>
  <si>
    <t>Murray</t>
  </si>
  <si>
    <t>discussion</t>
  </si>
  <si>
    <t>11/15/2008</t>
  </si>
  <si>
    <t>PU Hugh    </t>
  </si>
  <si>
    <t>Nov 15</t>
  </si>
  <si>
    <t>PU</t>
  </si>
  <si>
    <t>luncheon</t>
  </si>
  <si>
    <t>Shoebox</t>
  </si>
  <si>
    <t>ministry</t>
  </si>
  <si>
    <t>11/17/2008</t>
  </si>
  <si>
    <t>Dr. Chong fasting test  </t>
  </si>
  <si>
    <t>Nov 17</t>
  </si>
  <si>
    <t>Golf with Hugh   </t>
  </si>
  <si>
    <t>Golf</t>
  </si>
  <si>
    <t>11/18/2008</t>
  </si>
  <si>
    <t>Meet East Honolulu @ Cattle Co.</t>
  </si>
  <si>
    <t>Nov 18</t>
  </si>
  <si>
    <t>Cattle</t>
  </si>
  <si>
    <t>Co.</t>
  </si>
  <si>
    <t>Call Bill    </t>
  </si>
  <si>
    <t>Call</t>
  </si>
  <si>
    <t>11/20/2008</t>
  </si>
  <si>
    <t>Nov 20</t>
  </si>
  <si>
    <t>Take girls in   </t>
  </si>
  <si>
    <t>Emma soccer    </t>
  </si>
  <si>
    <t>11/23/2008</t>
  </si>
  <si>
    <t>Family Night @ St. Marys </t>
  </si>
  <si>
    <t>Nov 23</t>
  </si>
  <si>
    <t>Night</t>
  </si>
  <si>
    <t>Marys</t>
  </si>
  <si>
    <t>11/24/2008</t>
  </si>
  <si>
    <t>Nov 24</t>
  </si>
  <si>
    <t>Meet w  Devon to close</t>
  </si>
  <si>
    <t>Devon</t>
  </si>
  <si>
    <t>close</t>
  </si>
  <si>
    <t>11/27/2008</t>
  </si>
  <si>
    <t>Happening overnight O'ahu   </t>
  </si>
  <si>
    <t>Nov 27</t>
  </si>
  <si>
    <t>Happening</t>
  </si>
  <si>
    <t>overnight</t>
  </si>
  <si>
    <t>O'ahu</t>
  </si>
  <si>
    <t>11/30/2008</t>
  </si>
  <si>
    <t>Party fe Shazlyn   </t>
  </si>
  <si>
    <t>Nov 30</t>
  </si>
  <si>
    <t>Party</t>
  </si>
  <si>
    <t>fe</t>
  </si>
  <si>
    <t>Shazlyn</t>
  </si>
  <si>
    <t>12/4/2008</t>
  </si>
  <si>
    <t>Meet Murray    </t>
  </si>
  <si>
    <t>Dec 04</t>
  </si>
  <si>
    <t>12/5/2008</t>
  </si>
  <si>
    <t>Stewardship Comm    </t>
  </si>
  <si>
    <t>Dec 05</t>
  </si>
  <si>
    <t>Comm</t>
  </si>
  <si>
    <t>12/9/2008</t>
  </si>
  <si>
    <t>Family Promise dinner   </t>
  </si>
  <si>
    <t>Dec 09</t>
  </si>
  <si>
    <t>12/12/2008</t>
  </si>
  <si>
    <t>Angels Christmas Prgm   </t>
  </si>
  <si>
    <t>Dec 12</t>
  </si>
  <si>
    <t>Christmas</t>
  </si>
  <si>
    <t>Prgm</t>
  </si>
  <si>
    <t>12/13/2008</t>
  </si>
  <si>
    <t>Dec 13</t>
  </si>
  <si>
    <t>Waipio     </t>
  </si>
  <si>
    <t>Nancy's dinner @ Hilton Hawaiian </t>
  </si>
  <si>
    <t>Nancy's</t>
  </si>
  <si>
    <t>Hilton</t>
  </si>
  <si>
    <t>Hawaiian</t>
  </si>
  <si>
    <t>12/14/2008</t>
  </si>
  <si>
    <t>Compensation Committee    </t>
  </si>
  <si>
    <t>Dec 14</t>
  </si>
  <si>
    <t>Compensation</t>
  </si>
  <si>
    <t>Committee</t>
  </si>
  <si>
    <t>Team bonding @ Hilton Hawaiian Village</t>
  </si>
  <si>
    <t>Team</t>
  </si>
  <si>
    <t>bonding</t>
  </si>
  <si>
    <t>Village</t>
  </si>
  <si>
    <t>12/15/2008</t>
  </si>
  <si>
    <t>Climbing crew @ St. Mary's </t>
  </si>
  <si>
    <t>Dec 15</t>
  </si>
  <si>
    <t>Climbing</t>
  </si>
  <si>
    <t>crew</t>
  </si>
  <si>
    <t>12/16/2008</t>
  </si>
  <si>
    <t>East Honolulu @ Verbanos  </t>
  </si>
  <si>
    <t>Dec 16</t>
  </si>
  <si>
    <t>Verbanos</t>
  </si>
  <si>
    <t>12/17/2008</t>
  </si>
  <si>
    <t>Angels Christmas program time?  </t>
  </si>
  <si>
    <t>Dec 17</t>
  </si>
  <si>
    <t>program</t>
  </si>
  <si>
    <t>Lydia to library for photo </t>
  </si>
  <si>
    <t>library</t>
  </si>
  <si>
    <t>photo</t>
  </si>
  <si>
    <t>12/18/2008</t>
  </si>
  <si>
    <t>Couple for marriage renew vows </t>
  </si>
  <si>
    <t>Dec 18</t>
  </si>
  <si>
    <t>Couple</t>
  </si>
  <si>
    <t>marriage</t>
  </si>
  <si>
    <t>renew</t>
  </si>
  <si>
    <t>vows</t>
  </si>
  <si>
    <t>Mary to write letter  </t>
  </si>
  <si>
    <t>write</t>
  </si>
  <si>
    <t>letter</t>
  </si>
  <si>
    <t>12/19/2008</t>
  </si>
  <si>
    <t>Horimoto funeral @ Hosoi  </t>
  </si>
  <si>
    <t>Dec 19</t>
  </si>
  <si>
    <t>Horimoto</t>
  </si>
  <si>
    <t>funeral</t>
  </si>
  <si>
    <t>Hosoi</t>
  </si>
  <si>
    <t>12/20/2008</t>
  </si>
  <si>
    <t>Standing Commitee    </t>
  </si>
  <si>
    <t>Dec 20</t>
  </si>
  <si>
    <t>Standing</t>
  </si>
  <si>
    <t>Commitee</t>
  </si>
  <si>
    <t>Open Close Church   </t>
  </si>
  <si>
    <t>Open</t>
  </si>
  <si>
    <t>12/21/2008</t>
  </si>
  <si>
    <t>Christmas Family night   </t>
  </si>
  <si>
    <t>Dec 21</t>
  </si>
  <si>
    <t>12/23/2008</t>
  </si>
  <si>
    <t>Dec 23</t>
  </si>
  <si>
    <t>12/27/2008</t>
  </si>
  <si>
    <t>Dec 27</t>
  </si>
  <si>
    <t>12/31/2008</t>
  </si>
  <si>
    <t>Funeral for Mrs. Naka  </t>
  </si>
  <si>
    <t>Dec 31</t>
  </si>
  <si>
    <t>Funeral</t>
  </si>
  <si>
    <t>Mrs.</t>
  </si>
  <si>
    <t>Naka</t>
  </si>
  <si>
    <t>1/3/2009</t>
  </si>
  <si>
    <t>Jan 03</t>
  </si>
  <si>
    <t>1/6/2009</t>
  </si>
  <si>
    <t>Eric Yoshimura    </t>
  </si>
  <si>
    <t>Jan 06</t>
  </si>
  <si>
    <t>Eric</t>
  </si>
  <si>
    <t>1/10/2009</t>
  </si>
  <si>
    <t>Workshop for Happening talks  </t>
  </si>
  <si>
    <t>Jan 10</t>
  </si>
  <si>
    <t>Workshop</t>
  </si>
  <si>
    <t>talks</t>
  </si>
  <si>
    <t>Meet Renee    </t>
  </si>
  <si>
    <t>Renee</t>
  </si>
  <si>
    <t>1/11/2009</t>
  </si>
  <si>
    <t>Jan 11</t>
  </si>
  <si>
    <t>Meet Nishikawa's    </t>
  </si>
  <si>
    <t>Nishikawa's</t>
  </si>
  <si>
    <t>Renee in Annex   </t>
  </si>
  <si>
    <t>Annex</t>
  </si>
  <si>
    <t>Shawn Fabio re. Rental assist </t>
  </si>
  <si>
    <t>Shawn</t>
  </si>
  <si>
    <t>Fabio</t>
  </si>
  <si>
    <t>Rental</t>
  </si>
  <si>
    <t>assist</t>
  </si>
  <si>
    <t>1/13/2009</t>
  </si>
  <si>
    <t>Meet East Honolulu @ St. Mary's</t>
  </si>
  <si>
    <t>Jan 13</t>
  </si>
  <si>
    <t>1/14/2009</t>
  </si>
  <si>
    <t>Jan 14</t>
  </si>
  <si>
    <t>Property Commitee    </t>
  </si>
  <si>
    <t>1/16/2009</t>
  </si>
  <si>
    <t>Nishikawa funeral    </t>
  </si>
  <si>
    <t>Jan 16</t>
  </si>
  <si>
    <t>Nishikawa</t>
  </si>
  <si>
    <t>1/17/2009</t>
  </si>
  <si>
    <t>I have devotions   </t>
  </si>
  <si>
    <t>Jan 17</t>
  </si>
  <si>
    <t>I</t>
  </si>
  <si>
    <t>have</t>
  </si>
  <si>
    <t>devotions</t>
  </si>
  <si>
    <t>1/23/2009</t>
  </si>
  <si>
    <t>Jan 23</t>
  </si>
  <si>
    <t>2/5/2009</t>
  </si>
  <si>
    <t>Meet Mary Pat 4 lunch </t>
  </si>
  <si>
    <t>Feb 05</t>
  </si>
  <si>
    <t>2/6/2009</t>
  </si>
  <si>
    <t>Maui overnight    </t>
  </si>
  <si>
    <t>Feb 06</t>
  </si>
  <si>
    <t>Maui</t>
  </si>
  <si>
    <t>Stewardship Meeting    </t>
  </si>
  <si>
    <t>2/10/2009</t>
  </si>
  <si>
    <t>Board mtg @ St. Matt for</t>
  </si>
  <si>
    <t>Feb 10</t>
  </si>
  <si>
    <t>Matt</t>
  </si>
  <si>
    <t>2/12/2009</t>
  </si>
  <si>
    <t>Angel's @ Play Chapel  </t>
  </si>
  <si>
    <t>Feb 12</t>
  </si>
  <si>
    <t>Chapel</t>
  </si>
  <si>
    <t>2/13/2009</t>
  </si>
  <si>
    <t>Happening     </t>
  </si>
  <si>
    <t>Feb 13</t>
  </si>
  <si>
    <t>2/16/2009</t>
  </si>
  <si>
    <t>Great Aloha run   </t>
  </si>
  <si>
    <t>Feb 16</t>
  </si>
  <si>
    <t>Great</t>
  </si>
  <si>
    <t>run</t>
  </si>
  <si>
    <t>2/18/2009</t>
  </si>
  <si>
    <t>Property Committee    </t>
  </si>
  <si>
    <t>Feb 18</t>
  </si>
  <si>
    <t>2/19/2009</t>
  </si>
  <si>
    <t>Clergy meet w  Bishop </t>
  </si>
  <si>
    <t>Feb 19</t>
  </si>
  <si>
    <t>meet</t>
  </si>
  <si>
    <t>2/22/2009</t>
  </si>
  <si>
    <t>Family Night    </t>
  </si>
  <si>
    <t>Feb 22</t>
  </si>
  <si>
    <t>2/25/2009</t>
  </si>
  <si>
    <t>Ash Wednesday    </t>
  </si>
  <si>
    <t>Feb 25</t>
  </si>
  <si>
    <t>Ash</t>
  </si>
  <si>
    <t>Wednesday</t>
  </si>
  <si>
    <t>Feb 26</t>
  </si>
  <si>
    <t>Wong</t>
  </si>
  <si>
    <t>2/27/2009</t>
  </si>
  <si>
    <t>Stewardship Meeting?    </t>
  </si>
  <si>
    <t>Feb 27</t>
  </si>
  <si>
    <t>Meeting?</t>
  </si>
  <si>
    <t>Dr. Chong    </t>
  </si>
  <si>
    <t>2/28/2009</t>
  </si>
  <si>
    <t>Feb 28</t>
  </si>
  <si>
    <t>Sinon</t>
  </si>
  <si>
    <t>out</t>
  </si>
  <si>
    <t>visit</t>
  </si>
  <si>
    <t>Char</t>
  </si>
  <si>
    <t>3/3/2009</t>
  </si>
  <si>
    <t>East Honolulu @ Holy Nativity </t>
  </si>
  <si>
    <t>Mar 03</t>
  </si>
  <si>
    <t>Mar 05</t>
  </si>
  <si>
    <t>3/6/2009</t>
  </si>
  <si>
    <t>Mar 06</t>
  </si>
  <si>
    <t>3/7/2009</t>
  </si>
  <si>
    <t>Mar 07</t>
  </si>
  <si>
    <t>3/10/2009</t>
  </si>
  <si>
    <t>Mar 10</t>
  </si>
  <si>
    <t>3/12/2009</t>
  </si>
  <si>
    <t>HIM conference    </t>
  </si>
  <si>
    <t>Mar 12</t>
  </si>
  <si>
    <t>HIM</t>
  </si>
  <si>
    <t>B</t>
  </si>
  <si>
    <t>3/17/2009</t>
  </si>
  <si>
    <t>Dr. Yoshimura    </t>
  </si>
  <si>
    <t>Mar 17</t>
  </si>
  <si>
    <t>3/18/2009</t>
  </si>
  <si>
    <t>Mar 18</t>
  </si>
  <si>
    <t>Visit</t>
  </si>
  <si>
    <t>3/19/2009</t>
  </si>
  <si>
    <t>Mar 19</t>
  </si>
  <si>
    <t>3/20/2009</t>
  </si>
  <si>
    <t>DJ09 @ Turtle Bay  </t>
  </si>
  <si>
    <t>Mar 20</t>
  </si>
  <si>
    <t>DJ09</t>
  </si>
  <si>
    <t>Turtle</t>
  </si>
  <si>
    <t>Bay</t>
  </si>
  <si>
    <t>3/21/2009</t>
  </si>
  <si>
    <t>No Standing Comm   </t>
  </si>
  <si>
    <t>Mar 21</t>
  </si>
  <si>
    <t>No</t>
  </si>
  <si>
    <t>Mar 24</t>
  </si>
  <si>
    <t>Greg</t>
  </si>
  <si>
    <t>Mar 31</t>
  </si>
  <si>
    <t>Good</t>
  </si>
  <si>
    <t>Sam</t>
  </si>
  <si>
    <t>Stewardship Committee    </t>
  </si>
  <si>
    <t>Chrism Mass    </t>
  </si>
  <si>
    <t>Chrism</t>
  </si>
  <si>
    <t>Mass</t>
  </si>
  <si>
    <t>Hawaii</t>
  </si>
  <si>
    <t>Kai</t>
  </si>
  <si>
    <t>4/16/2009</t>
  </si>
  <si>
    <t>Angel's @ Play Chapel 3 yr</t>
  </si>
  <si>
    <t>yr</t>
  </si>
  <si>
    <t>Robert</t>
  </si>
  <si>
    <t>Wu</t>
  </si>
  <si>
    <t>4/18/2009</t>
  </si>
  <si>
    <t>Centering</t>
  </si>
  <si>
    <t>Prayer</t>
  </si>
  <si>
    <t>4/24/2009</t>
  </si>
  <si>
    <t>Leen's presentation @ UH  </t>
  </si>
  <si>
    <t>presentation</t>
  </si>
  <si>
    <t>4/26/2009</t>
  </si>
  <si>
    <t>Confirmation</t>
  </si>
  <si>
    <t>Confirmation     </t>
  </si>
  <si>
    <t>4/30/2009</t>
  </si>
  <si>
    <t>5/2/2009</t>
  </si>
  <si>
    <t>Parents Night Out   </t>
  </si>
  <si>
    <t>Out</t>
  </si>
  <si>
    <t>5/7/2009</t>
  </si>
  <si>
    <t>Angel's @ Play Chapel Mothers Day</t>
  </si>
  <si>
    <t>Mothers</t>
  </si>
  <si>
    <t>5/9/2009</t>
  </si>
  <si>
    <t>Mark's</t>
  </si>
  <si>
    <t>5/16/2009</t>
  </si>
  <si>
    <t>SC resched    </t>
  </si>
  <si>
    <t>SC</t>
  </si>
  <si>
    <t>resched</t>
  </si>
  <si>
    <t>Life</t>
  </si>
  <si>
    <t>5/17/2009</t>
  </si>
  <si>
    <t>Movie Night    </t>
  </si>
  <si>
    <t>Movie</t>
  </si>
  <si>
    <t>Family Promise    </t>
  </si>
  <si>
    <t>Ascension Day @ Priory  </t>
  </si>
  <si>
    <t>5/23/2009</t>
  </si>
  <si>
    <t>Amy</t>
  </si>
  <si>
    <t>5/29/2009</t>
  </si>
  <si>
    <t>Angel's @ Play Chapel Graduation </t>
  </si>
  <si>
    <t>Graduation</t>
  </si>
  <si>
    <t>(R)</t>
  </si>
  <si>
    <t>Dale vacation    </t>
  </si>
  <si>
    <t>Dale</t>
  </si>
  <si>
    <t>Epiphany</t>
  </si>
  <si>
    <t>6/6/2009</t>
  </si>
  <si>
    <t>Camps and Conferences   </t>
  </si>
  <si>
    <t>Conferences</t>
  </si>
  <si>
    <t>Leen leaves    </t>
  </si>
  <si>
    <t>leaves</t>
  </si>
  <si>
    <t>6/7/2009</t>
  </si>
  <si>
    <t>Food</t>
  </si>
  <si>
    <t>Jun 08</t>
  </si>
  <si>
    <t>Holiday     </t>
  </si>
  <si>
    <t>Holiday</t>
  </si>
  <si>
    <t>6/12/2009</t>
  </si>
  <si>
    <t>6/15/2009</t>
  </si>
  <si>
    <t>Iolani Summer school   </t>
  </si>
  <si>
    <t>Chaminade</t>
  </si>
  <si>
    <t>Get</t>
  </si>
  <si>
    <t>6/21/2009</t>
  </si>
  <si>
    <t>6/26/2009</t>
  </si>
  <si>
    <t>Jun 26</t>
  </si>
  <si>
    <t>Jun 27</t>
  </si>
  <si>
    <t>Paul</t>
  </si>
  <si>
    <t>Convention</t>
  </si>
  <si>
    <t>Murray     </t>
  </si>
  <si>
    <t>Jul 14</t>
  </si>
  <si>
    <t>Dan</t>
  </si>
  <si>
    <t>Faculty meeting    </t>
  </si>
  <si>
    <t>7/18/2009</t>
  </si>
  <si>
    <t>not</t>
  </si>
  <si>
    <t>Joe</t>
  </si>
  <si>
    <t>party</t>
  </si>
  <si>
    <t>7/22/2009</t>
  </si>
  <si>
    <t>7/23/2009</t>
  </si>
  <si>
    <t>Bp</t>
  </si>
  <si>
    <t>Gail</t>
  </si>
  <si>
    <t>7/25/2009</t>
  </si>
  <si>
    <t>rescheduled</t>
  </si>
  <si>
    <t>7/27/2009</t>
  </si>
  <si>
    <t>doctor</t>
  </si>
  <si>
    <t>HK</t>
  </si>
  <si>
    <t>8/1/2009</t>
  </si>
  <si>
    <t>Aug 01</t>
  </si>
  <si>
    <t>Hugh workshop    </t>
  </si>
  <si>
    <t>8/2/2009</t>
  </si>
  <si>
    <t>preach</t>
  </si>
  <si>
    <t>Aug 05</t>
  </si>
  <si>
    <t>Aug 06</t>
  </si>
  <si>
    <t>post</t>
  </si>
  <si>
    <t>op</t>
  </si>
  <si>
    <t>8/8/2009</t>
  </si>
  <si>
    <t>Aug 08</t>
  </si>
  <si>
    <t>installation</t>
  </si>
  <si>
    <t>8/15/2009</t>
  </si>
  <si>
    <t>Lydia's</t>
  </si>
  <si>
    <t>Kia</t>
  </si>
  <si>
    <t>Module</t>
  </si>
  <si>
    <t>Aug 24</t>
  </si>
  <si>
    <t>Budget</t>
  </si>
  <si>
    <t>Aug 27</t>
  </si>
  <si>
    <t>Aug 28</t>
  </si>
  <si>
    <t>Sep 02</t>
  </si>
  <si>
    <t>9/5/2009</t>
  </si>
  <si>
    <t>Sep 05</t>
  </si>
  <si>
    <t>Leadership</t>
  </si>
  <si>
    <t>(Lydia)</t>
  </si>
  <si>
    <t>Sep 07</t>
  </si>
  <si>
    <t>Sep 10</t>
  </si>
  <si>
    <t>Sep 11</t>
  </si>
  <si>
    <t>Buy</t>
  </si>
  <si>
    <t>Kauai</t>
  </si>
  <si>
    <t>Sep 12</t>
  </si>
  <si>
    <t>Annual</t>
  </si>
  <si>
    <t>9/13/2009</t>
  </si>
  <si>
    <t>9/14/2009</t>
  </si>
  <si>
    <t>Sep 14</t>
  </si>
  <si>
    <t>Sep 15</t>
  </si>
  <si>
    <t>Harris</t>
  </si>
  <si>
    <t>Sep 25</t>
  </si>
  <si>
    <t>9/27/2009</t>
  </si>
  <si>
    <t>Hour</t>
  </si>
  <si>
    <t>CTL</t>
  </si>
  <si>
    <t>Celebration</t>
  </si>
  <si>
    <t>Stewardship mtg    </t>
  </si>
  <si>
    <t>Oct 07</t>
  </si>
  <si>
    <t>10/10/2009</t>
  </si>
  <si>
    <t>Oct 10</t>
  </si>
  <si>
    <t>Baptism     </t>
  </si>
  <si>
    <t>Baptism</t>
  </si>
  <si>
    <t>Oct 16</t>
  </si>
  <si>
    <t>Ryan</t>
  </si>
  <si>
    <t>Piper</t>
  </si>
  <si>
    <t>Oct 18</t>
  </si>
  <si>
    <t>Oct 20</t>
  </si>
  <si>
    <t>Clericus</t>
  </si>
  <si>
    <t>Oct 22</t>
  </si>
  <si>
    <t>10/23/2009</t>
  </si>
  <si>
    <t>Juliana</t>
  </si>
  <si>
    <t>Karl</t>
  </si>
  <si>
    <t>parade</t>
  </si>
  <si>
    <t>convention</t>
  </si>
  <si>
    <t>11/7/2009</t>
  </si>
  <si>
    <t>Nov 07</t>
  </si>
  <si>
    <t>Thelma communion    </t>
  </si>
  <si>
    <t>Thelma</t>
  </si>
  <si>
    <t>communion</t>
  </si>
  <si>
    <t>Nov 09</t>
  </si>
  <si>
    <t>retreat</t>
  </si>
  <si>
    <t>Tim</t>
  </si>
  <si>
    <t>Karl &amp; Juliana   </t>
  </si>
  <si>
    <t>11/19/2009</t>
  </si>
  <si>
    <t>Nov 19</t>
  </si>
  <si>
    <t>Walter</t>
  </si>
  <si>
    <t>Nov 22</t>
  </si>
  <si>
    <t>Christ</t>
  </si>
  <si>
    <t>King</t>
  </si>
  <si>
    <t>Priory Chapel    </t>
  </si>
  <si>
    <t>11/25/2009</t>
  </si>
  <si>
    <t>Nov 25</t>
  </si>
  <si>
    <t>11/28/2009</t>
  </si>
  <si>
    <t>Nov 28</t>
  </si>
  <si>
    <t>truck</t>
  </si>
  <si>
    <t>Dec 01</t>
  </si>
  <si>
    <t>Dec 02</t>
  </si>
  <si>
    <t>12/4/2009</t>
  </si>
  <si>
    <t>Parents night out   </t>
  </si>
  <si>
    <t>12/5/2009</t>
  </si>
  <si>
    <t>Gathering</t>
  </si>
  <si>
    <t>Walk</t>
  </si>
  <si>
    <t>12/6/2009</t>
  </si>
  <si>
    <t>Dec 06</t>
  </si>
  <si>
    <t>12/7/2009</t>
  </si>
  <si>
    <t>Dec 07</t>
  </si>
  <si>
    <t>surgery</t>
  </si>
  <si>
    <t>on</t>
  </si>
  <si>
    <t>Arrive</t>
  </si>
  <si>
    <t>Angel's chapel (Christmas)   </t>
  </si>
  <si>
    <t>Dec 10</t>
  </si>
  <si>
    <t>(Christmas)</t>
  </si>
  <si>
    <t>12/11/2009</t>
  </si>
  <si>
    <t>Dec 11</t>
  </si>
  <si>
    <t>Christmas Event    </t>
  </si>
  <si>
    <t>Event</t>
  </si>
  <si>
    <t>12/15/2009</t>
  </si>
  <si>
    <t>12/17/2009</t>
  </si>
  <si>
    <t>S</t>
  </si>
  <si>
    <t>plan</t>
  </si>
  <si>
    <t>12/18/2009</t>
  </si>
  <si>
    <t>12/19/2009</t>
  </si>
  <si>
    <t>Paddling</t>
  </si>
  <si>
    <t>12/21/2009</t>
  </si>
  <si>
    <t>Kaiser</t>
  </si>
  <si>
    <t>Dec 24</t>
  </si>
  <si>
    <t>Dec 25</t>
  </si>
  <si>
    <t>Richert</t>
  </si>
  <si>
    <t>12/27/2009</t>
  </si>
  <si>
    <t>Lisa</t>
  </si>
  <si>
    <t>12/30/2009</t>
  </si>
  <si>
    <t>Dorothy</t>
  </si>
  <si>
    <t>12/31/2009</t>
  </si>
  <si>
    <t>Pang</t>
  </si>
  <si>
    <t>Jan 09</t>
  </si>
  <si>
    <t>airport</t>
  </si>
  <si>
    <t>Jan 12</t>
  </si>
  <si>
    <t>1/13/2010</t>
  </si>
  <si>
    <t>prayer</t>
  </si>
  <si>
    <t>Jan 19</t>
  </si>
  <si>
    <t>Jan 20</t>
  </si>
  <si>
    <t>Fran</t>
  </si>
  <si>
    <t>Service</t>
  </si>
  <si>
    <t>Jan 21</t>
  </si>
  <si>
    <t>1/23/2010</t>
  </si>
  <si>
    <t>Sports Medicine    </t>
  </si>
  <si>
    <t>Jan 26</t>
  </si>
  <si>
    <t>Sports</t>
  </si>
  <si>
    <t>Medicine</t>
  </si>
  <si>
    <t>1/28/2010</t>
  </si>
  <si>
    <t>Jan 28</t>
  </si>
  <si>
    <t>peace</t>
  </si>
  <si>
    <t>Girls</t>
  </si>
  <si>
    <t>P U Lydia   </t>
  </si>
  <si>
    <t>1/29/2010</t>
  </si>
  <si>
    <t>Jan 29</t>
  </si>
  <si>
    <t>1/30/2010</t>
  </si>
  <si>
    <t>Jan 30</t>
  </si>
  <si>
    <t>Jan 31</t>
  </si>
  <si>
    <t>Feb 03</t>
  </si>
  <si>
    <t>2/6/2010</t>
  </si>
  <si>
    <t>Installation</t>
  </si>
  <si>
    <t>Feb 09</t>
  </si>
  <si>
    <t>2/10/2010</t>
  </si>
  <si>
    <t>Bill's birthday    </t>
  </si>
  <si>
    <t>Bill's</t>
  </si>
  <si>
    <t>2/11/2010</t>
  </si>
  <si>
    <t>Feb 11</t>
  </si>
  <si>
    <t>Drop</t>
  </si>
  <si>
    <t>off</t>
  </si>
  <si>
    <t>dogs</t>
  </si>
  <si>
    <t>reading</t>
  </si>
  <si>
    <t>therapy</t>
  </si>
  <si>
    <t>2/13/2010</t>
  </si>
  <si>
    <t>Kevin</t>
  </si>
  <si>
    <t>House</t>
  </si>
  <si>
    <t>Sports MedIcine    </t>
  </si>
  <si>
    <t>MedIcine</t>
  </si>
  <si>
    <t>2/17/2010</t>
  </si>
  <si>
    <t>Feb 17</t>
  </si>
  <si>
    <t>Wed</t>
  </si>
  <si>
    <t>Shrove</t>
  </si>
  <si>
    <t>2/20/2010</t>
  </si>
  <si>
    <t>Feb 20</t>
  </si>
  <si>
    <t>Pacific</t>
  </si>
  <si>
    <t>Club</t>
  </si>
  <si>
    <t>2/21/2010</t>
  </si>
  <si>
    <t>Julian's Bday    </t>
  </si>
  <si>
    <t>Feb 21</t>
  </si>
  <si>
    <t>Bday</t>
  </si>
  <si>
    <t>Feb 23</t>
  </si>
  <si>
    <t>Cathedral</t>
  </si>
  <si>
    <t>Therapy     </t>
  </si>
  <si>
    <t>Mar 02</t>
  </si>
  <si>
    <t>Therapy</t>
  </si>
  <si>
    <t>3/4/2010</t>
  </si>
  <si>
    <t>Mar 04</t>
  </si>
  <si>
    <t>June</t>
  </si>
  <si>
    <t>Naughton</t>
  </si>
  <si>
    <t>chat</t>
  </si>
  <si>
    <t>Mar 08</t>
  </si>
  <si>
    <t>Evensong</t>
  </si>
  <si>
    <t>3/9/2010</t>
  </si>
  <si>
    <t>Mar 09</t>
  </si>
  <si>
    <t>3/10/2010</t>
  </si>
  <si>
    <t>Show</t>
  </si>
  <si>
    <t>3/11/2010</t>
  </si>
  <si>
    <t>David's Bday    </t>
  </si>
  <si>
    <t>Mar 11</t>
  </si>
  <si>
    <t>Marcus</t>
  </si>
  <si>
    <t>3/13/2010</t>
  </si>
  <si>
    <t>Mar 13</t>
  </si>
  <si>
    <t>Mar 16</t>
  </si>
  <si>
    <t>3/18/2010</t>
  </si>
  <si>
    <t>AuHoy</t>
  </si>
  <si>
    <t>3/24/2010</t>
  </si>
  <si>
    <t>Stewardship     </t>
  </si>
  <si>
    <t>Mar 25</t>
  </si>
  <si>
    <t>Mar 26</t>
  </si>
  <si>
    <t>Palm Sunday    </t>
  </si>
  <si>
    <t>Mar 28</t>
  </si>
  <si>
    <t>Palm</t>
  </si>
  <si>
    <t>Maundy</t>
  </si>
  <si>
    <t>4/2/2010</t>
  </si>
  <si>
    <t>Send</t>
  </si>
  <si>
    <t>Chuukese</t>
  </si>
  <si>
    <t>Easter</t>
  </si>
  <si>
    <t>Evensong     </t>
  </si>
  <si>
    <t>4/6/2010</t>
  </si>
  <si>
    <t>4/10/2010</t>
  </si>
  <si>
    <t>Task Force for Standing Comm w</t>
  </si>
  <si>
    <t>Task</t>
  </si>
  <si>
    <t>Force</t>
  </si>
  <si>
    <t>A</t>
  </si>
  <si>
    <t>Apr 14</t>
  </si>
  <si>
    <t>Miller</t>
  </si>
  <si>
    <t>4/15/2010</t>
  </si>
  <si>
    <t>lady</t>
  </si>
  <si>
    <t>4/16/2010</t>
  </si>
  <si>
    <t>Lockup</t>
  </si>
  <si>
    <t>4/20/2010</t>
  </si>
  <si>
    <t>4/22/2010</t>
  </si>
  <si>
    <t>Angel's Chapel    </t>
  </si>
  <si>
    <t>(resched)</t>
  </si>
  <si>
    <t>Parish Meeting    </t>
  </si>
  <si>
    <t>Parish</t>
  </si>
  <si>
    <t>5/6/2010</t>
  </si>
  <si>
    <t>et</t>
  </si>
  <si>
    <t>al</t>
  </si>
  <si>
    <t>5/8/2010</t>
  </si>
  <si>
    <t>5/10/2010</t>
  </si>
  <si>
    <t>5/18/2010</t>
  </si>
  <si>
    <t>6/6/2010</t>
  </si>
  <si>
    <t>reception</t>
  </si>
  <si>
    <t>fair</t>
  </si>
  <si>
    <t>Consultation</t>
  </si>
  <si>
    <t>6/11/2010</t>
  </si>
  <si>
    <t>faculty</t>
  </si>
  <si>
    <t>begins</t>
  </si>
  <si>
    <t>7/17/2010</t>
  </si>
  <si>
    <t>Standing Committee    </t>
  </si>
  <si>
    <t>Aug 04</t>
  </si>
  <si>
    <t>8/7/2010</t>
  </si>
  <si>
    <t>Aug 07</t>
  </si>
  <si>
    <t>DH</t>
  </si>
  <si>
    <t>8/20/2010</t>
  </si>
  <si>
    <t>Statehood Day    </t>
  </si>
  <si>
    <t>8/21/2010</t>
  </si>
  <si>
    <t>Arrival</t>
  </si>
  <si>
    <t>10/5/2010</t>
  </si>
  <si>
    <t>Oct 05</t>
  </si>
  <si>
    <t>Aiko</t>
  </si>
  <si>
    <t>10/6/2010</t>
  </si>
  <si>
    <t>Oct 06</t>
  </si>
  <si>
    <t>?</t>
  </si>
  <si>
    <t>Oct 08</t>
  </si>
  <si>
    <t>10/12/2010</t>
  </si>
  <si>
    <t>Oct 12</t>
  </si>
  <si>
    <t>clericus</t>
  </si>
  <si>
    <t>Saimone for ukulele class  </t>
  </si>
  <si>
    <t>Saimone</t>
  </si>
  <si>
    <t>ukulele</t>
  </si>
  <si>
    <t>10/14/2010</t>
  </si>
  <si>
    <t>haircut</t>
  </si>
  <si>
    <t>Oct 19</t>
  </si>
  <si>
    <t>Toru</t>
  </si>
  <si>
    <t>Centering Prayer    </t>
  </si>
  <si>
    <t>Oct 21</t>
  </si>
  <si>
    <t>10/23/2010</t>
  </si>
  <si>
    <t>End</t>
  </si>
  <si>
    <t>life</t>
  </si>
  <si>
    <t>Oct 26</t>
  </si>
  <si>
    <t>10/29/2010</t>
  </si>
  <si>
    <t>Diocese</t>
  </si>
  <si>
    <t>leadership</t>
  </si>
  <si>
    <t>Costa</t>
  </si>
  <si>
    <t>11/5/2010</t>
  </si>
  <si>
    <t>Concert BILAC    </t>
  </si>
  <si>
    <t>BILAC</t>
  </si>
  <si>
    <t>Planning for Tomorrow Conf @ Honolulu</t>
  </si>
  <si>
    <t>Planning</t>
  </si>
  <si>
    <t>Tomorrow</t>
  </si>
  <si>
    <t>BILAC     </t>
  </si>
  <si>
    <t>Nov 06</t>
  </si>
  <si>
    <t>flight</t>
  </si>
  <si>
    <t>Mexico</t>
  </si>
  <si>
    <t>11/11/2010</t>
  </si>
  <si>
    <t>Florida</t>
  </si>
  <si>
    <t>Breakfast</t>
  </si>
  <si>
    <t>11/13/2010</t>
  </si>
  <si>
    <t>Mokule'ia</t>
  </si>
  <si>
    <t>11/16/2010</t>
  </si>
  <si>
    <t>Nov 16</t>
  </si>
  <si>
    <t>blood</t>
  </si>
  <si>
    <t>11/18/2010</t>
  </si>
  <si>
    <t>Yamada</t>
  </si>
  <si>
    <t>etc.</t>
  </si>
  <si>
    <t>11/25/2010</t>
  </si>
  <si>
    <t>Thanksgiving</t>
  </si>
  <si>
    <t>Nov 26</t>
  </si>
  <si>
    <t>Dec 03</t>
  </si>
  <si>
    <t>Work</t>
  </si>
  <si>
    <t>MP</t>
  </si>
  <si>
    <t>12/15/2010</t>
  </si>
  <si>
    <t>Vacation</t>
  </si>
  <si>
    <t>12/17/2010</t>
  </si>
  <si>
    <t>Nancy</t>
  </si>
  <si>
    <t>Yoshioka</t>
  </si>
  <si>
    <t>Dec 22</t>
  </si>
  <si>
    <t>12/25/2010</t>
  </si>
  <si>
    <t>Christmas Mass    </t>
  </si>
  <si>
    <t>12/28/2010</t>
  </si>
  <si>
    <t>Lydia's birthday    </t>
  </si>
  <si>
    <t>Dec 28</t>
  </si>
  <si>
    <t>Jan 01</t>
  </si>
  <si>
    <t>Jan 04</t>
  </si>
  <si>
    <t>1/6/2011</t>
  </si>
  <si>
    <t>Move</t>
  </si>
  <si>
    <t>Baker</t>
  </si>
  <si>
    <t>1/7/2011</t>
  </si>
  <si>
    <t>Jan 07</t>
  </si>
  <si>
    <t>Officiate</t>
  </si>
  <si>
    <t>1/13/2011</t>
  </si>
  <si>
    <t>O</t>
  </si>
  <si>
    <t>Jan 15</t>
  </si>
  <si>
    <t>Jan 18</t>
  </si>
  <si>
    <t>Renke</t>
  </si>
  <si>
    <t>Noreen</t>
  </si>
  <si>
    <t>1/22/2011</t>
  </si>
  <si>
    <t>Jane Tomaine    </t>
  </si>
  <si>
    <t>Jan 22</t>
  </si>
  <si>
    <t>Jane</t>
  </si>
  <si>
    <t>Tomaine</t>
  </si>
  <si>
    <t>1/27/2011</t>
  </si>
  <si>
    <t>Jan 27</t>
  </si>
  <si>
    <t>1/29/2011</t>
  </si>
  <si>
    <t>Dr. Yamada    </t>
  </si>
  <si>
    <t>Feb 02</t>
  </si>
  <si>
    <t>stuff</t>
  </si>
  <si>
    <t>6/15/2011</t>
  </si>
  <si>
    <t>title</t>
  </si>
  <si>
    <t>6/16/2011</t>
  </si>
  <si>
    <t>Canons</t>
  </si>
  <si>
    <t>Luria     </t>
  </si>
  <si>
    <t>Luria</t>
  </si>
  <si>
    <t>Barb</t>
  </si>
  <si>
    <t>Belle</t>
  </si>
  <si>
    <t>breakfast</t>
  </si>
  <si>
    <t>7/9/2011</t>
  </si>
  <si>
    <t>7/10/2011</t>
  </si>
  <si>
    <t>Jul 10</t>
  </si>
  <si>
    <t>Ann</t>
  </si>
  <si>
    <t>Ewa</t>
  </si>
  <si>
    <t>Beach</t>
  </si>
  <si>
    <t>7/18/2011</t>
  </si>
  <si>
    <t>Gordon</t>
  </si>
  <si>
    <t>Biersch</t>
  </si>
  <si>
    <t>mom</t>
  </si>
  <si>
    <t>7/19/2011</t>
  </si>
  <si>
    <t>Blood bank    </t>
  </si>
  <si>
    <t>Blood</t>
  </si>
  <si>
    <t>bank</t>
  </si>
  <si>
    <t>key</t>
  </si>
  <si>
    <t>Susan</t>
  </si>
  <si>
    <t>7/20/2011</t>
  </si>
  <si>
    <t>Hale</t>
  </si>
  <si>
    <t>Malia</t>
  </si>
  <si>
    <t>Pearl</t>
  </si>
  <si>
    <t>Harbor</t>
  </si>
  <si>
    <t>7/21/2011</t>
  </si>
  <si>
    <t>Margaret</t>
  </si>
  <si>
    <t>Drive</t>
  </si>
  <si>
    <t>Dick Hubbard    </t>
  </si>
  <si>
    <t>7/22/2011</t>
  </si>
  <si>
    <t>Center</t>
  </si>
  <si>
    <t>7/26/2011</t>
  </si>
  <si>
    <t>Manoa</t>
  </si>
  <si>
    <t>Falls</t>
  </si>
  <si>
    <t>Deliver</t>
  </si>
  <si>
    <t>Office     </t>
  </si>
  <si>
    <t>7/27/2011</t>
  </si>
  <si>
    <t>Cruise</t>
  </si>
  <si>
    <t>7/28/2011</t>
  </si>
  <si>
    <t>Jul 28</t>
  </si>
  <si>
    <t>museum</t>
  </si>
  <si>
    <t>North</t>
  </si>
  <si>
    <t>7/29/2011</t>
  </si>
  <si>
    <t>movie</t>
  </si>
  <si>
    <t>Carol</t>
  </si>
  <si>
    <t>drive</t>
  </si>
  <si>
    <t>8/5/2011</t>
  </si>
  <si>
    <t>Hawaiian Air    </t>
  </si>
  <si>
    <t>Air</t>
  </si>
  <si>
    <t>Kaua'i</t>
  </si>
  <si>
    <t>8/13/2011</t>
  </si>
  <si>
    <t>TAG</t>
  </si>
  <si>
    <t>South</t>
  </si>
  <si>
    <t>Bend</t>
  </si>
  <si>
    <t>8/15/2011</t>
  </si>
  <si>
    <t>Call Luria    </t>
  </si>
  <si>
    <t>Pat's</t>
  </si>
  <si>
    <t>Final</t>
  </si>
  <si>
    <t>8/24/2011</t>
  </si>
  <si>
    <t>docs</t>
  </si>
  <si>
    <t>Sep 04</t>
  </si>
  <si>
    <t>9/16/2011</t>
  </si>
  <si>
    <t>Ethan Street birthday   </t>
  </si>
  <si>
    <t>Ethan</t>
  </si>
  <si>
    <t>Street</t>
  </si>
  <si>
    <t>Sep 29</t>
  </si>
  <si>
    <t>10/5/2011</t>
  </si>
  <si>
    <t>Diane</t>
  </si>
  <si>
    <t>mass</t>
  </si>
  <si>
    <t>Oct 13</t>
  </si>
  <si>
    <t>Nicole</t>
  </si>
  <si>
    <t>Kenji</t>
  </si>
  <si>
    <t>10/20/2011</t>
  </si>
  <si>
    <t>Cathy</t>
  </si>
  <si>
    <t>10/27/2011</t>
  </si>
  <si>
    <t>Oct 27</t>
  </si>
  <si>
    <t>early</t>
  </si>
  <si>
    <t>11/4/2011</t>
  </si>
  <si>
    <t>BILAC workshop    </t>
  </si>
  <si>
    <t>Keynote</t>
  </si>
  <si>
    <t>BILAC concert    </t>
  </si>
  <si>
    <t>11/5/2011</t>
  </si>
  <si>
    <t>evening</t>
  </si>
  <si>
    <t>11/6/2011</t>
  </si>
  <si>
    <t>closing</t>
  </si>
  <si>
    <t>Dr</t>
  </si>
  <si>
    <t>Liu</t>
  </si>
  <si>
    <t>Miata</t>
  </si>
  <si>
    <t>11/12/2011</t>
  </si>
  <si>
    <t>Blessing</t>
  </si>
  <si>
    <t>St</t>
  </si>
  <si>
    <t>Dave Coleman    </t>
  </si>
  <si>
    <t>Dave</t>
  </si>
  <si>
    <t>Coleman</t>
  </si>
  <si>
    <t>12/20/2011</t>
  </si>
  <si>
    <t>12/21/2011</t>
  </si>
  <si>
    <t>hair</t>
  </si>
  <si>
    <t>Helen Turner    </t>
  </si>
  <si>
    <t>Helen</t>
  </si>
  <si>
    <t>Turner</t>
  </si>
  <si>
    <t>shop</t>
  </si>
  <si>
    <t>1/12/2012</t>
  </si>
  <si>
    <t>Meet with bishop   </t>
  </si>
  <si>
    <t>Rick</t>
  </si>
  <si>
    <t>Aina</t>
  </si>
  <si>
    <t>Haina</t>
  </si>
  <si>
    <t>Eden</t>
  </si>
  <si>
    <t>1/14/2012</t>
  </si>
  <si>
    <t>1/16/2012</t>
  </si>
  <si>
    <t>Kapono</t>
  </si>
  <si>
    <t>Symphony</t>
  </si>
  <si>
    <t>recital</t>
  </si>
  <si>
    <t>Jan H    </t>
  </si>
  <si>
    <t>Jan</t>
  </si>
  <si>
    <t>H</t>
  </si>
  <si>
    <t>1/19/2012</t>
  </si>
  <si>
    <t>Lunch with John Renke  </t>
  </si>
  <si>
    <t>lecture</t>
  </si>
  <si>
    <t>1/20/2012</t>
  </si>
  <si>
    <t>Costco     </t>
  </si>
  <si>
    <t>Costco</t>
  </si>
  <si>
    <t>1/24/2012</t>
  </si>
  <si>
    <t>Barb Belle    </t>
  </si>
  <si>
    <t>Jan 24</t>
  </si>
  <si>
    <t>Jan 25</t>
  </si>
  <si>
    <t>1/26/2012</t>
  </si>
  <si>
    <t>Liz</t>
  </si>
  <si>
    <t>Christine</t>
  </si>
  <si>
    <t>1/28/2012</t>
  </si>
  <si>
    <t>hearing</t>
  </si>
  <si>
    <t>American</t>
  </si>
  <si>
    <t>1/30/2012</t>
  </si>
  <si>
    <t>Feb 01</t>
  </si>
  <si>
    <t>2/3/2012</t>
  </si>
  <si>
    <t>Mass     </t>
  </si>
  <si>
    <t>house.</t>
  </si>
  <si>
    <t>2/8/2012</t>
  </si>
  <si>
    <t>Feb 08</t>
  </si>
  <si>
    <t>talk</t>
  </si>
  <si>
    <t>Newman</t>
  </si>
  <si>
    <t>Chester</t>
  </si>
  <si>
    <t>2/10/2012</t>
  </si>
  <si>
    <t>Larke</t>
  </si>
  <si>
    <t>Feb 15</t>
  </si>
  <si>
    <t>2/16/2012</t>
  </si>
  <si>
    <t>pick</t>
  </si>
  <si>
    <t>Tammy</t>
  </si>
  <si>
    <t>2/22/2012</t>
  </si>
  <si>
    <t>Tuesday</t>
  </si>
  <si>
    <t>Bank</t>
  </si>
  <si>
    <t>America</t>
  </si>
  <si>
    <t>Counseling</t>
  </si>
  <si>
    <t>Inouye</t>
  </si>
  <si>
    <t>2/29/2012</t>
  </si>
  <si>
    <t>Feb 29</t>
  </si>
  <si>
    <t>Go</t>
  </si>
  <si>
    <t>Whale</t>
  </si>
  <si>
    <t>watch</t>
  </si>
  <si>
    <t>cruise</t>
  </si>
  <si>
    <t>Tim Luria    </t>
  </si>
  <si>
    <t>3/6/2012</t>
  </si>
  <si>
    <t>Bank     </t>
  </si>
  <si>
    <t>3/8/2012</t>
  </si>
  <si>
    <t>3/9/2012</t>
  </si>
  <si>
    <t>Gary</t>
  </si>
  <si>
    <t>Chuuk</t>
  </si>
  <si>
    <t>Ed</t>
  </si>
  <si>
    <t>division</t>
  </si>
  <si>
    <t>Charles</t>
  </si>
  <si>
    <t>Greg Johnson for lunch  </t>
  </si>
  <si>
    <t>Johnson</t>
  </si>
  <si>
    <t>Mar 14</t>
  </si>
  <si>
    <t>Mar 15</t>
  </si>
  <si>
    <t>substitute</t>
  </si>
  <si>
    <t>Malianika</t>
  </si>
  <si>
    <t>3/21/2012</t>
  </si>
  <si>
    <t>Graduate</t>
  </si>
  <si>
    <t>Semester</t>
  </si>
  <si>
    <t>court</t>
  </si>
  <si>
    <t>3/22/2012</t>
  </si>
  <si>
    <t>Mar 22</t>
  </si>
  <si>
    <t>3/23/2012</t>
  </si>
  <si>
    <t>Mar 23</t>
  </si>
  <si>
    <t>Henry</t>
  </si>
  <si>
    <t>3/27/2012</t>
  </si>
  <si>
    <t>Mar 27</t>
  </si>
  <si>
    <t>Joyce</t>
  </si>
  <si>
    <t>this</t>
  </si>
  <si>
    <t>Dan Meyer    </t>
  </si>
  <si>
    <t>Meyer</t>
  </si>
  <si>
    <t>3/29/2012</t>
  </si>
  <si>
    <t>Mar 29</t>
  </si>
  <si>
    <t>special</t>
  </si>
  <si>
    <t>vestry</t>
  </si>
  <si>
    <t>Mar 30</t>
  </si>
  <si>
    <t>3/31/2012</t>
  </si>
  <si>
    <t>Mel</t>
  </si>
  <si>
    <t>Seder     </t>
  </si>
  <si>
    <t>Seder</t>
  </si>
  <si>
    <t>4/5/2012</t>
  </si>
  <si>
    <t>4/6/2012</t>
  </si>
  <si>
    <t>Maundy Thursday    </t>
  </si>
  <si>
    <t>Thursday</t>
  </si>
  <si>
    <t>Good Friday    </t>
  </si>
  <si>
    <t>Eye</t>
  </si>
  <si>
    <t>appt</t>
  </si>
  <si>
    <t>church</t>
  </si>
  <si>
    <t>4/13/2012</t>
  </si>
  <si>
    <t>4/14/2012</t>
  </si>
  <si>
    <t>EDUC</t>
  </si>
  <si>
    <t>4/15/2012</t>
  </si>
  <si>
    <t>Terry</t>
  </si>
  <si>
    <t>Andy</t>
  </si>
  <si>
    <t>4/16/2012</t>
  </si>
  <si>
    <t>4/17/2012</t>
  </si>
  <si>
    <t>4/18/2012</t>
  </si>
  <si>
    <t>review</t>
  </si>
  <si>
    <t>eye</t>
  </si>
  <si>
    <t>4/19/2012</t>
  </si>
  <si>
    <t>NCTM</t>
  </si>
  <si>
    <t>5/3/2012</t>
  </si>
  <si>
    <t>Robin</t>
  </si>
  <si>
    <t>5/4/2012</t>
  </si>
  <si>
    <t>See</t>
  </si>
  <si>
    <t>Malianika     </t>
  </si>
  <si>
    <t>5/9/2012</t>
  </si>
  <si>
    <t>5/11/2012</t>
  </si>
  <si>
    <t>Pau</t>
  </si>
  <si>
    <t>5/13/2012</t>
  </si>
  <si>
    <t>Piano</t>
  </si>
  <si>
    <t>Mystical</t>
  </si>
  <si>
    <t>Baccalaureate</t>
  </si>
  <si>
    <t>5/15/2012</t>
  </si>
  <si>
    <t>5/17/2012</t>
  </si>
  <si>
    <t>5/18/2012</t>
  </si>
  <si>
    <t>5/19/2012</t>
  </si>
  <si>
    <t>Dinner     </t>
  </si>
  <si>
    <t>centering</t>
  </si>
  <si>
    <t>5/25/2012</t>
  </si>
  <si>
    <t>Farewell</t>
  </si>
  <si>
    <t>Arthur</t>
  </si>
  <si>
    <t>5/26/2012</t>
  </si>
  <si>
    <t>Victoria</t>
  </si>
  <si>
    <t>Dance     </t>
  </si>
  <si>
    <t>Dance</t>
  </si>
  <si>
    <t>5/30/2012</t>
  </si>
  <si>
    <t>Blood Bank    </t>
  </si>
  <si>
    <t>5/31/2012</t>
  </si>
  <si>
    <t>see</t>
  </si>
  <si>
    <t>MEA</t>
  </si>
  <si>
    <t>6/1/2012</t>
  </si>
  <si>
    <t>Talk</t>
  </si>
  <si>
    <t>Billy</t>
  </si>
  <si>
    <t>picnic</t>
  </si>
  <si>
    <t>eclipse</t>
  </si>
  <si>
    <t>6/6/2012</t>
  </si>
  <si>
    <t>anniversary</t>
  </si>
  <si>
    <t>window</t>
  </si>
  <si>
    <t>6/7/2012</t>
  </si>
  <si>
    <t>Bill and Karl anniversary -20 </t>
  </si>
  <si>
    <t>6/9/2012</t>
  </si>
  <si>
    <t>chair</t>
  </si>
  <si>
    <t>6/13/2012</t>
  </si>
  <si>
    <t>6/14/2012</t>
  </si>
  <si>
    <t>Division</t>
  </si>
  <si>
    <t>Travel</t>
  </si>
  <si>
    <t>6/22/2012</t>
  </si>
  <si>
    <t>dentist</t>
  </si>
  <si>
    <t>beach</t>
  </si>
  <si>
    <t>6/29/2012</t>
  </si>
  <si>
    <t>6/30/2012</t>
  </si>
  <si>
    <t>7/1/2012</t>
  </si>
  <si>
    <t>7/2/2012</t>
  </si>
  <si>
    <t>Joe Peters    </t>
  </si>
  <si>
    <t>Peters</t>
  </si>
  <si>
    <t>ED</t>
  </si>
  <si>
    <t>7/7/2012</t>
  </si>
  <si>
    <t>piano</t>
  </si>
  <si>
    <t>Annie</t>
  </si>
  <si>
    <t>7/9/2012</t>
  </si>
  <si>
    <t>7/10/2012</t>
  </si>
  <si>
    <t>Phone</t>
  </si>
  <si>
    <t>7/13/2012</t>
  </si>
  <si>
    <t>Jul 13</t>
  </si>
  <si>
    <t>Sakamoto</t>
  </si>
  <si>
    <t>Call Miriam    </t>
  </si>
  <si>
    <t>Miriam</t>
  </si>
  <si>
    <t>7/17/2012</t>
  </si>
  <si>
    <t>CS</t>
  </si>
  <si>
    <t>7/19/2012</t>
  </si>
  <si>
    <t>Court</t>
  </si>
  <si>
    <t>7/21/2012</t>
  </si>
  <si>
    <t>7/22/2012</t>
  </si>
  <si>
    <t>Skype</t>
  </si>
  <si>
    <t>River</t>
  </si>
  <si>
    <t>7/23/2012</t>
  </si>
  <si>
    <t>Centering Prayer at Newman Center </t>
  </si>
  <si>
    <t>7/24/2012</t>
  </si>
  <si>
    <t>confirm</t>
  </si>
  <si>
    <t>7/25/2012</t>
  </si>
  <si>
    <t>Barber</t>
  </si>
  <si>
    <t>pt</t>
  </si>
  <si>
    <t>7/27/2012</t>
  </si>
  <si>
    <t>Breakfast     </t>
  </si>
  <si>
    <t>7/30/2012</t>
  </si>
  <si>
    <t>Lucy</t>
  </si>
  <si>
    <t>8/1/2012</t>
  </si>
  <si>
    <t>Bloodbank     </t>
  </si>
  <si>
    <t>Bloodbank</t>
  </si>
  <si>
    <t>8/2/2012</t>
  </si>
  <si>
    <t>student</t>
  </si>
  <si>
    <t>Ralph</t>
  </si>
  <si>
    <t>8/3/2012</t>
  </si>
  <si>
    <t>Aug 03</t>
  </si>
  <si>
    <t>Lee</t>
  </si>
  <si>
    <t>Cruise     </t>
  </si>
  <si>
    <t>Tutu</t>
  </si>
  <si>
    <t>island</t>
  </si>
  <si>
    <t>8/7/2012</t>
  </si>
  <si>
    <t>8/8/2012</t>
  </si>
  <si>
    <t>Danny</t>
  </si>
  <si>
    <t>doe</t>
  </si>
  <si>
    <t>8/11/2012</t>
  </si>
  <si>
    <t>8/12/2012</t>
  </si>
  <si>
    <t>Richard</t>
  </si>
  <si>
    <t>8/14/2012</t>
  </si>
  <si>
    <t>(time?)</t>
  </si>
  <si>
    <t>Joyce     </t>
  </si>
  <si>
    <t>8/15/2012</t>
  </si>
  <si>
    <t>cleaning</t>
  </si>
  <si>
    <t>TAG volunteer    </t>
  </si>
  <si>
    <t>volunteer</t>
  </si>
  <si>
    <t>8/16/2012</t>
  </si>
  <si>
    <t>Bob</t>
  </si>
  <si>
    <t>8/18/2012</t>
  </si>
  <si>
    <t>Aug 18</t>
  </si>
  <si>
    <t>8/19/2012</t>
  </si>
  <si>
    <t>pictures</t>
  </si>
  <si>
    <t>8/20/2012</t>
  </si>
  <si>
    <t>8/21/2012</t>
  </si>
  <si>
    <t>Aug 25</t>
  </si>
  <si>
    <t>convocation</t>
  </si>
  <si>
    <t>NC</t>
  </si>
  <si>
    <t>8/26/2012</t>
  </si>
  <si>
    <t>River birthday    </t>
  </si>
  <si>
    <t>8/27/2012</t>
  </si>
  <si>
    <t>begin</t>
  </si>
  <si>
    <t>8/28/2012</t>
  </si>
  <si>
    <t>follow</t>
  </si>
  <si>
    <t>8/29/2012</t>
  </si>
  <si>
    <t>J</t>
  </si>
  <si>
    <t>8/30/2012</t>
  </si>
  <si>
    <t>Barber     </t>
  </si>
  <si>
    <t>8/31/2012</t>
  </si>
  <si>
    <t>Court     </t>
  </si>
  <si>
    <t>Aug 31</t>
  </si>
  <si>
    <t>car</t>
  </si>
  <si>
    <t>Spiritual</t>
  </si>
  <si>
    <t>9/1/2012</t>
  </si>
  <si>
    <t>Sep 01</t>
  </si>
  <si>
    <t>Berta</t>
  </si>
  <si>
    <t>9/2/2012</t>
  </si>
  <si>
    <t>time</t>
  </si>
  <si>
    <t>9/6/2012</t>
  </si>
  <si>
    <t>9/7/2012</t>
  </si>
  <si>
    <t>Faculty senate    </t>
  </si>
  <si>
    <t>senate</t>
  </si>
  <si>
    <t>Ice cream social   </t>
  </si>
  <si>
    <t>Ice</t>
  </si>
  <si>
    <t>cream</t>
  </si>
  <si>
    <t>social</t>
  </si>
  <si>
    <t>Sep 08</t>
  </si>
  <si>
    <t>9/12/2012</t>
  </si>
  <si>
    <t>through</t>
  </si>
  <si>
    <t>9/14/2012</t>
  </si>
  <si>
    <t>9/15/2012</t>
  </si>
  <si>
    <t>Birthday</t>
  </si>
  <si>
    <t>Standing committee    </t>
  </si>
  <si>
    <t>committee</t>
  </si>
  <si>
    <t>President</t>
  </si>
  <si>
    <t>9/21/2012</t>
  </si>
  <si>
    <t>Mauka</t>
  </si>
  <si>
    <t>Sep 22</t>
  </si>
  <si>
    <t>9/24/2012</t>
  </si>
  <si>
    <t>Sep 24</t>
  </si>
  <si>
    <t>9/25/2012</t>
  </si>
  <si>
    <t>9/26/2012</t>
  </si>
  <si>
    <t>Yom Kippur    </t>
  </si>
  <si>
    <t>Yom</t>
  </si>
  <si>
    <t>Kippur</t>
  </si>
  <si>
    <t>seminar</t>
  </si>
  <si>
    <t>9/29/2012</t>
  </si>
  <si>
    <t>10/1/2012</t>
  </si>
  <si>
    <t>Oct 01</t>
  </si>
  <si>
    <t>Pay</t>
  </si>
  <si>
    <t>Sprint</t>
  </si>
  <si>
    <t>10/2/2012</t>
  </si>
  <si>
    <t>Oct 02</t>
  </si>
  <si>
    <t>repair</t>
  </si>
  <si>
    <t>Joe Sjostrom birthday   </t>
  </si>
  <si>
    <t>Sjostrom</t>
  </si>
  <si>
    <t>Howie Smith birthday   </t>
  </si>
  <si>
    <t>Smith</t>
  </si>
  <si>
    <t>10/3/2012</t>
  </si>
  <si>
    <t>Spending</t>
  </si>
  <si>
    <t>Oct 04</t>
  </si>
  <si>
    <t>cake</t>
  </si>
  <si>
    <t>10/6/2012</t>
  </si>
  <si>
    <t>Gary's birthday    </t>
  </si>
  <si>
    <t>Gary's</t>
  </si>
  <si>
    <t>interview</t>
  </si>
  <si>
    <t>10/12/2012</t>
  </si>
  <si>
    <t>Lunch     </t>
  </si>
  <si>
    <t>Our</t>
  </si>
  <si>
    <t>10/14/2012</t>
  </si>
  <si>
    <t>potluck</t>
  </si>
  <si>
    <t>Faculty Senate    </t>
  </si>
  <si>
    <t>Senate</t>
  </si>
  <si>
    <t>10/20/2012</t>
  </si>
  <si>
    <t>Adjunct</t>
  </si>
  <si>
    <t>Morning</t>
  </si>
  <si>
    <t>Barb Street birthday   </t>
  </si>
  <si>
    <t>10/22/2012</t>
  </si>
  <si>
    <t>Jeff White    </t>
  </si>
  <si>
    <t>Jeff</t>
  </si>
  <si>
    <t>White</t>
  </si>
  <si>
    <t>Mel barber    </t>
  </si>
  <si>
    <t>barber</t>
  </si>
  <si>
    <t>10/26/2012</t>
  </si>
  <si>
    <t>Galligan</t>
  </si>
  <si>
    <t>Stierle</t>
  </si>
  <si>
    <t>10/31/2012</t>
  </si>
  <si>
    <t>11/1/2012</t>
  </si>
  <si>
    <t>11/4/2012</t>
  </si>
  <si>
    <t>11/9/2012</t>
  </si>
  <si>
    <t>A Christmas Carol Performance  </t>
  </si>
  <si>
    <t>Performance</t>
  </si>
  <si>
    <t>11/14/2012</t>
  </si>
  <si>
    <t>Sign</t>
  </si>
  <si>
    <t>set</t>
  </si>
  <si>
    <t>Nov 21</t>
  </si>
  <si>
    <t>11/23/2012</t>
  </si>
  <si>
    <t>office</t>
  </si>
  <si>
    <t>11/27/2012</t>
  </si>
  <si>
    <t>11/28/2012</t>
  </si>
  <si>
    <t>11/30/2012</t>
  </si>
  <si>
    <t>June Naughton    </t>
  </si>
  <si>
    <t>Lunch with Greg   </t>
  </si>
  <si>
    <t>Dec 08</t>
  </si>
  <si>
    <t>12/10/2012</t>
  </si>
  <si>
    <t>portfolio</t>
  </si>
  <si>
    <t>12/12/2012</t>
  </si>
  <si>
    <t>Bishop's</t>
  </si>
  <si>
    <t>signature</t>
  </si>
  <si>
    <t>12/13/2012</t>
  </si>
  <si>
    <t>Mel's Barber    </t>
  </si>
  <si>
    <t>Mel's</t>
  </si>
  <si>
    <t>trash</t>
  </si>
  <si>
    <t>1/14/2013</t>
  </si>
  <si>
    <t>Remind</t>
  </si>
  <si>
    <t>ED 220    </t>
  </si>
  <si>
    <t>1/15/2013</t>
  </si>
  <si>
    <t>1/16/2013</t>
  </si>
  <si>
    <t>EDUC 790 Cohort   </t>
  </si>
  <si>
    <t>Cohort</t>
  </si>
  <si>
    <t>1/24/2013</t>
  </si>
  <si>
    <t>Peace</t>
  </si>
  <si>
    <t>Sue</t>
  </si>
  <si>
    <t>1/25/2013</t>
  </si>
  <si>
    <t>Karla Hackstaff birthday   </t>
  </si>
  <si>
    <t>Karla</t>
  </si>
  <si>
    <t>Neal</t>
  </si>
  <si>
    <t>2/13/2013</t>
  </si>
  <si>
    <t>2/14/2013</t>
  </si>
  <si>
    <t>Feb 14</t>
  </si>
  <si>
    <t>Hearing</t>
  </si>
  <si>
    <t>2/28/2013</t>
  </si>
  <si>
    <t>Mar 01</t>
  </si>
  <si>
    <t>Sato</t>
  </si>
  <si>
    <t>3/3/2013</t>
  </si>
  <si>
    <t>3/7/2013</t>
  </si>
  <si>
    <t>3/13/2013</t>
  </si>
  <si>
    <t>3/19/2013</t>
  </si>
  <si>
    <t>Provost</t>
  </si>
  <si>
    <t>3/22/2013</t>
  </si>
  <si>
    <t>Ross     </t>
  </si>
  <si>
    <t>Ross</t>
  </si>
  <si>
    <t>Long</t>
  </si>
  <si>
    <t>Louie</t>
  </si>
  <si>
    <t>4/2/2013</t>
  </si>
  <si>
    <t>Chuuk PD    </t>
  </si>
  <si>
    <t>PD</t>
  </si>
  <si>
    <t>Izabel</t>
  </si>
  <si>
    <t>4/3/2013</t>
  </si>
  <si>
    <t>Sato cleaning    </t>
  </si>
  <si>
    <t>4/11/2013</t>
  </si>
  <si>
    <t>Mel     </t>
  </si>
  <si>
    <t>4/12/2013</t>
  </si>
  <si>
    <t>Handbook committee    </t>
  </si>
  <si>
    <t>Handbook</t>
  </si>
  <si>
    <t>4/19/2013</t>
  </si>
  <si>
    <t>4/23/2013</t>
  </si>
  <si>
    <t>4/25/2013</t>
  </si>
  <si>
    <t>4/29/2013</t>
  </si>
  <si>
    <t>Plan</t>
  </si>
  <si>
    <t>Festival</t>
  </si>
  <si>
    <t>May 05</t>
  </si>
  <si>
    <t>5/11/2013</t>
  </si>
  <si>
    <t>5/16/2013</t>
  </si>
  <si>
    <t>5/23/2013</t>
  </si>
  <si>
    <t>5/27/2013</t>
  </si>
  <si>
    <t>Commencement</t>
  </si>
  <si>
    <t>Mom</t>
  </si>
  <si>
    <t>6/30/2013</t>
  </si>
  <si>
    <t>7/3/2013</t>
  </si>
  <si>
    <t>7/4/2013</t>
  </si>
  <si>
    <t>Phoenix</t>
  </si>
  <si>
    <t>Battery</t>
  </si>
  <si>
    <t>Las Cruces    </t>
  </si>
  <si>
    <t>Las</t>
  </si>
  <si>
    <t>Cruces</t>
  </si>
  <si>
    <t>7/18/2013</t>
  </si>
  <si>
    <t>Call mom    </t>
  </si>
  <si>
    <t>Leave</t>
  </si>
  <si>
    <t>Lunch with Lydia   </t>
  </si>
  <si>
    <t>Kona</t>
  </si>
  <si>
    <t>Dr SAKAMOTO    </t>
  </si>
  <si>
    <t>SAKAMOTO</t>
  </si>
  <si>
    <t>classes</t>
  </si>
  <si>
    <t>open</t>
  </si>
  <si>
    <t>Stress test    </t>
  </si>
  <si>
    <t>Stress</t>
  </si>
  <si>
    <t>counseling</t>
  </si>
  <si>
    <t>center</t>
  </si>
  <si>
    <t>9/26/2013</t>
  </si>
  <si>
    <t>Joel</t>
  </si>
  <si>
    <t>10/1/2013</t>
  </si>
  <si>
    <t>McKenzie     </t>
  </si>
  <si>
    <t>McKenzie</t>
  </si>
  <si>
    <t>10/2/2013</t>
  </si>
  <si>
    <t>Presentation</t>
  </si>
  <si>
    <t>email</t>
  </si>
  <si>
    <t>Prepare</t>
  </si>
  <si>
    <t>Retired Clergy    </t>
  </si>
  <si>
    <t>Retired</t>
  </si>
  <si>
    <t>10/10/2013</t>
  </si>
  <si>
    <t>Call Julian    </t>
  </si>
  <si>
    <t>World</t>
  </si>
  <si>
    <t>10/16/2013</t>
  </si>
  <si>
    <t>Sean</t>
  </si>
  <si>
    <t>10/18/2013</t>
  </si>
  <si>
    <t>10/24/2013</t>
  </si>
  <si>
    <t>UTAC     </t>
  </si>
  <si>
    <t>UTAC</t>
  </si>
  <si>
    <t>Sakamoto     </t>
  </si>
  <si>
    <t>Oct 25</t>
  </si>
  <si>
    <t>crown</t>
  </si>
  <si>
    <t>11/2/2013</t>
  </si>
  <si>
    <t>Island</t>
  </si>
  <si>
    <t>Review</t>
  </si>
  <si>
    <t>11/21/2013</t>
  </si>
  <si>
    <t>11/26/2013</t>
  </si>
  <si>
    <t>12/2/2013</t>
  </si>
  <si>
    <t>12/3/2013</t>
  </si>
  <si>
    <t>12/5/2013</t>
  </si>
  <si>
    <t>12/17/2013</t>
  </si>
  <si>
    <t>Dec 26</t>
  </si>
  <si>
    <t>1/14/2014</t>
  </si>
  <si>
    <t>ED 325    </t>
  </si>
  <si>
    <t>Dr Inouye    </t>
  </si>
  <si>
    <t>1/16/2014</t>
  </si>
  <si>
    <t>Helen Detwiler birthday   </t>
  </si>
  <si>
    <t>Detwiler</t>
  </si>
  <si>
    <t>1/24/2014</t>
  </si>
  <si>
    <t>1/30/2014</t>
  </si>
  <si>
    <t>jury</t>
  </si>
  <si>
    <t>duty</t>
  </si>
  <si>
    <t>2/3/2014</t>
  </si>
  <si>
    <t>Feb 04</t>
  </si>
  <si>
    <t>2/5/2014</t>
  </si>
  <si>
    <t>arr</t>
  </si>
  <si>
    <t>2/12/2014</t>
  </si>
  <si>
    <t>Division meeting    </t>
  </si>
  <si>
    <t>2/19/2014</t>
  </si>
  <si>
    <t>exam</t>
  </si>
  <si>
    <t>Inouye     </t>
  </si>
  <si>
    <t>2/20/2014</t>
  </si>
  <si>
    <t>2/26/2014</t>
  </si>
  <si>
    <t>2/28/2014</t>
  </si>
  <si>
    <t>3/4/2014</t>
  </si>
  <si>
    <t>3/5/2014</t>
  </si>
  <si>
    <t>3/6/2014</t>
  </si>
  <si>
    <t>3/11/2014</t>
  </si>
  <si>
    <t>Mass at St. Andrew's  </t>
  </si>
  <si>
    <t>Fr.</t>
  </si>
  <si>
    <t>break</t>
  </si>
  <si>
    <t>4/2/2014</t>
  </si>
  <si>
    <t>4/3/2014</t>
  </si>
  <si>
    <t>4/5/2014</t>
  </si>
  <si>
    <t>Education</t>
  </si>
  <si>
    <t>4/16/2014</t>
  </si>
  <si>
    <t>4/17/2014</t>
  </si>
  <si>
    <t>4/18/2014</t>
  </si>
  <si>
    <t>glasses</t>
  </si>
  <si>
    <t>4/22/2014</t>
  </si>
  <si>
    <t>5/1/2014</t>
  </si>
  <si>
    <t>5/5/2014</t>
  </si>
  <si>
    <t>Exam</t>
  </si>
  <si>
    <t>5/6/2014</t>
  </si>
  <si>
    <t>5/8/2014</t>
  </si>
  <si>
    <t>Sato     </t>
  </si>
  <si>
    <t>5/20/2014</t>
  </si>
  <si>
    <t>Kelly</t>
  </si>
  <si>
    <t>oil</t>
  </si>
  <si>
    <t>change</t>
  </si>
  <si>
    <t>6/11/2014</t>
  </si>
  <si>
    <t>6/12/2014</t>
  </si>
  <si>
    <t>check</t>
  </si>
  <si>
    <t>arr.</t>
  </si>
  <si>
    <t>6/26/2014</t>
  </si>
  <si>
    <t>left</t>
  </si>
  <si>
    <t>6/27/2014</t>
  </si>
  <si>
    <t>7/5/2014</t>
  </si>
  <si>
    <t>Young</t>
  </si>
  <si>
    <t>Mi</t>
  </si>
  <si>
    <t>Call Murray    </t>
  </si>
  <si>
    <t>Comporium</t>
  </si>
  <si>
    <t>Judge</t>
  </si>
  <si>
    <t>tires</t>
  </si>
  <si>
    <t>Phil</t>
  </si>
  <si>
    <t>Adjunct orientation    </t>
  </si>
  <si>
    <t>Rel 313    </t>
  </si>
  <si>
    <t>Rel</t>
  </si>
  <si>
    <t>our</t>
  </si>
  <si>
    <t>9/8/2014</t>
  </si>
  <si>
    <t>Sep 09</t>
  </si>
  <si>
    <t>training</t>
  </si>
  <si>
    <t>Myka</t>
  </si>
  <si>
    <t>Diocesan</t>
  </si>
  <si>
    <t>10/29/2014</t>
  </si>
  <si>
    <t>take</t>
  </si>
  <si>
    <t>observe</t>
  </si>
  <si>
    <t>cut</t>
  </si>
  <si>
    <t>11/19/2014</t>
  </si>
  <si>
    <t>Costco hearing aid repair  </t>
  </si>
  <si>
    <t>aid</t>
  </si>
  <si>
    <t>Religion</t>
  </si>
  <si>
    <t>12/7/2014</t>
  </si>
  <si>
    <t>12/11/2014</t>
  </si>
  <si>
    <t>Messiah</t>
  </si>
  <si>
    <t>12/15/2014</t>
  </si>
  <si>
    <t>RELG</t>
  </si>
  <si>
    <t>1/12/2015</t>
  </si>
  <si>
    <t>RELG 220    </t>
  </si>
  <si>
    <t>RELG 101    </t>
  </si>
  <si>
    <t>Office Hours    </t>
  </si>
  <si>
    <t>Hours</t>
  </si>
  <si>
    <t>Check</t>
  </si>
  <si>
    <t>2/11/2015</t>
  </si>
  <si>
    <t>Flight</t>
  </si>
  <si>
    <t>CLT</t>
  </si>
  <si>
    <t>Orlando</t>
  </si>
  <si>
    <t>Flight to Atlanta   </t>
  </si>
  <si>
    <t>Atlanta</t>
  </si>
  <si>
    <t>2/14/2015</t>
  </si>
  <si>
    <t>Flight to Charlotte   </t>
  </si>
  <si>
    <t>Charlotte</t>
  </si>
  <si>
    <t>Hunter for exam   </t>
  </si>
  <si>
    <t>Hunter</t>
  </si>
  <si>
    <t>Haircut</t>
  </si>
  <si>
    <t>Hearing aid battery   </t>
  </si>
  <si>
    <t>battery</t>
  </si>
  <si>
    <t>Students</t>
  </si>
  <si>
    <t>3/14/2015</t>
  </si>
  <si>
    <t>Mary Pat father's death  </t>
  </si>
  <si>
    <t>death</t>
  </si>
  <si>
    <t>3/25/2015</t>
  </si>
  <si>
    <t>K</t>
  </si>
  <si>
    <t>Haircut     </t>
  </si>
  <si>
    <t>4/8/2015</t>
  </si>
  <si>
    <t>Oral exam    </t>
  </si>
  <si>
    <t>Oral</t>
  </si>
  <si>
    <t>4/9/2015</t>
  </si>
  <si>
    <t>4/13/2015</t>
  </si>
  <si>
    <t>4/14/2015</t>
  </si>
  <si>
    <t>4/21/2015</t>
  </si>
  <si>
    <t>4/22/2015</t>
  </si>
  <si>
    <t>4/23/2015</t>
  </si>
  <si>
    <t>Leave for Ohio   </t>
  </si>
  <si>
    <t>Ohio</t>
  </si>
  <si>
    <t>4/30/2015</t>
  </si>
  <si>
    <t>Stay at Varsity Clubs of America</t>
  </si>
  <si>
    <t>Stay</t>
  </si>
  <si>
    <t>Varsity</t>
  </si>
  <si>
    <t>Clubs</t>
  </si>
  <si>
    <t>Flight to Detroit   </t>
  </si>
  <si>
    <t>Detroit</t>
  </si>
  <si>
    <t>5/5/2015</t>
  </si>
  <si>
    <t>5/16/2015</t>
  </si>
  <si>
    <t>5/28/2015</t>
  </si>
  <si>
    <t>insurance</t>
  </si>
  <si>
    <t>David</t>
  </si>
  <si>
    <t>6/18/2015</t>
  </si>
  <si>
    <t>6/24/2015</t>
  </si>
  <si>
    <t>Management</t>
  </si>
  <si>
    <t>7/11/2015</t>
  </si>
  <si>
    <t>July</t>
  </si>
  <si>
    <t>8/4/2015</t>
  </si>
  <si>
    <t>Dentist</t>
  </si>
  <si>
    <t>8/10/2015</t>
  </si>
  <si>
    <t>Dentalworks     </t>
  </si>
  <si>
    <t>Dentalworks</t>
  </si>
  <si>
    <t>Appointment with DentalWorks   York</t>
  </si>
  <si>
    <t>Appointment</t>
  </si>
  <si>
    <t>DentalWorks</t>
  </si>
  <si>
    <t>York</t>
  </si>
  <si>
    <t>8/11/2015</t>
  </si>
  <si>
    <t>canal</t>
  </si>
  <si>
    <t>Small group clergy   </t>
  </si>
  <si>
    <t>Small</t>
  </si>
  <si>
    <t>clergy</t>
  </si>
  <si>
    <t>Clericus     </t>
  </si>
  <si>
    <t>8/17/2015</t>
  </si>
  <si>
    <t>DH Office hours   </t>
  </si>
  <si>
    <t>hours</t>
  </si>
  <si>
    <t>8/18/2015</t>
  </si>
  <si>
    <t>DH Office Hours   </t>
  </si>
  <si>
    <t>RELG 313    </t>
  </si>
  <si>
    <t>8/26/2015</t>
  </si>
  <si>
    <t>RELG 317    </t>
  </si>
  <si>
    <t>8/27/2015</t>
  </si>
  <si>
    <t>8/29/2015</t>
  </si>
  <si>
    <t>Gini's birthday    </t>
  </si>
  <si>
    <t>8/31/2015</t>
  </si>
  <si>
    <t>Ralph &amp; Carol Ahle's anniversary </t>
  </si>
  <si>
    <t>Preach</t>
  </si>
  <si>
    <t>Ken</t>
  </si>
  <si>
    <t>Burns'</t>
  </si>
  <si>
    <t>Winthrop</t>
  </si>
  <si>
    <t>University</t>
  </si>
  <si>
    <t>9/28/2015</t>
  </si>
  <si>
    <t>9/29/2015</t>
  </si>
  <si>
    <t>Parker</t>
  </si>
  <si>
    <t>10/9/2015</t>
  </si>
  <si>
    <t>Relg</t>
  </si>
  <si>
    <t>10/16/2015</t>
  </si>
  <si>
    <t>HMXP     </t>
  </si>
  <si>
    <t>HMXP</t>
  </si>
  <si>
    <t>10/17/2015</t>
  </si>
  <si>
    <t>El</t>
  </si>
  <si>
    <t>Paso</t>
  </si>
  <si>
    <t>(CT)</t>
  </si>
  <si>
    <t>10/20/2015</t>
  </si>
  <si>
    <t>leave</t>
  </si>
  <si>
    <t>get</t>
  </si>
  <si>
    <t>10/30/2015</t>
  </si>
  <si>
    <t>11/3/2015</t>
  </si>
  <si>
    <t>Will Corum birthday   </t>
  </si>
  <si>
    <t>Will</t>
  </si>
  <si>
    <t>Corum</t>
  </si>
  <si>
    <t>11/5/2015</t>
  </si>
  <si>
    <t>Supply at Our Savior  </t>
  </si>
  <si>
    <t>Supply</t>
  </si>
  <si>
    <t>Savior</t>
  </si>
  <si>
    <t>Supply at St. Paul's  </t>
  </si>
  <si>
    <t>Paul's</t>
  </si>
  <si>
    <t>11/20/2015</t>
  </si>
  <si>
    <t>11/24/2015</t>
  </si>
  <si>
    <t>12/1/2015</t>
  </si>
  <si>
    <t>12/11/2015</t>
  </si>
  <si>
    <t>12/19/2015</t>
  </si>
  <si>
    <t>George Detailer birthday   </t>
  </si>
  <si>
    <t>12/22/2015</t>
  </si>
  <si>
    <t>gift</t>
  </si>
  <si>
    <t>card</t>
  </si>
  <si>
    <t>12/29/2015</t>
  </si>
  <si>
    <t>Dec 29</t>
  </si>
  <si>
    <t>1/4/2016</t>
  </si>
  <si>
    <t>Sean birthday    </t>
  </si>
  <si>
    <t>Jan 05</t>
  </si>
  <si>
    <t>1/11/2016</t>
  </si>
  <si>
    <t>RELG 101 1   </t>
  </si>
  <si>
    <t>RELG 101 2   </t>
  </si>
  <si>
    <t>1/12/2016</t>
  </si>
  <si>
    <t>1/19/2016</t>
  </si>
  <si>
    <t>Common</t>
  </si>
  <si>
    <t>Book</t>
  </si>
  <si>
    <t>Dylan</t>
  </si>
  <si>
    <t>Bertha</t>
  </si>
  <si>
    <t>makeup</t>
  </si>
  <si>
    <t>Ben</t>
  </si>
  <si>
    <t>2/23/2016</t>
  </si>
  <si>
    <t>Feb 24</t>
  </si>
  <si>
    <t>Post</t>
  </si>
  <si>
    <t>2/25/2016</t>
  </si>
  <si>
    <t>genes</t>
  </si>
  <si>
    <t>influence</t>
  </si>
  <si>
    <t>Janice</t>
  </si>
  <si>
    <t>3/1/2016</t>
  </si>
  <si>
    <t>3/5/2016</t>
  </si>
  <si>
    <t>Publix</t>
  </si>
  <si>
    <t>3/12/2016</t>
  </si>
  <si>
    <t>3/22/2016</t>
  </si>
  <si>
    <t>Carolina</t>
  </si>
  <si>
    <t>periodontist</t>
  </si>
  <si>
    <t>Vigil</t>
  </si>
  <si>
    <t>Chacon</t>
  </si>
  <si>
    <t>Matthews</t>
  </si>
  <si>
    <t>4/6/2016</t>
  </si>
  <si>
    <t>Bp.</t>
  </si>
  <si>
    <t>Waldo</t>
  </si>
  <si>
    <t>4/22/2016</t>
  </si>
  <si>
    <t>Passover</t>
  </si>
  <si>
    <t>His</t>
  </si>
  <si>
    <t>Hers</t>
  </si>
  <si>
    <t>5/3/2016</t>
  </si>
  <si>
    <t>5/23/2016</t>
  </si>
  <si>
    <t>Periodontist</t>
  </si>
  <si>
    <t>T's death in 2015  </t>
  </si>
  <si>
    <t>Clergy group    </t>
  </si>
  <si>
    <t>Change air filter   </t>
  </si>
  <si>
    <t>Change</t>
  </si>
  <si>
    <t>air</t>
  </si>
  <si>
    <t>filter</t>
  </si>
  <si>
    <t>7/6/2016</t>
  </si>
  <si>
    <t>Amy's birthday    </t>
  </si>
  <si>
    <t>7/24/2016</t>
  </si>
  <si>
    <t>Hamburg</t>
  </si>
  <si>
    <t>Brothers</t>
  </si>
  <si>
    <t>vestments</t>
  </si>
  <si>
    <t>8/9/2016</t>
  </si>
  <si>
    <t>Geary</t>
  </si>
  <si>
    <t>HVAC</t>
  </si>
  <si>
    <t>8/17/2016</t>
  </si>
  <si>
    <t>8/24/2016</t>
  </si>
  <si>
    <t>8/30/2016</t>
  </si>
  <si>
    <t>9/1/2016</t>
  </si>
  <si>
    <t>Plumbing</t>
  </si>
  <si>
    <t>Supply at Great Falls  </t>
  </si>
  <si>
    <t>10/2/2016</t>
  </si>
  <si>
    <t>Supply at Winnsboro   </t>
  </si>
  <si>
    <t>Winnsboro</t>
  </si>
  <si>
    <t>10/3/2016</t>
  </si>
  <si>
    <t>10/5/2016</t>
  </si>
  <si>
    <t>10/19/2016</t>
  </si>
  <si>
    <t>HR</t>
  </si>
  <si>
    <t>St Peters    </t>
  </si>
  <si>
    <t>supply St. Paul's   </t>
  </si>
  <si>
    <t>supply</t>
  </si>
  <si>
    <t>11/22/2016</t>
  </si>
  <si>
    <t>George died    </t>
  </si>
  <si>
    <t>12/7/2016</t>
  </si>
  <si>
    <t>final</t>
  </si>
  <si>
    <t>12/14/2016</t>
  </si>
  <si>
    <t>Peter's</t>
  </si>
  <si>
    <t>12/30/2016</t>
  </si>
  <si>
    <t>Dayton</t>
  </si>
  <si>
    <t>1/4/2017</t>
  </si>
  <si>
    <t>Go to Bank of  America</t>
  </si>
  <si>
    <t>St. Peter's    </t>
  </si>
  <si>
    <t>Jan 08</t>
  </si>
  <si>
    <t>1/9/2017</t>
  </si>
  <si>
    <t>1/17/2017</t>
  </si>
  <si>
    <t>1/18/2017</t>
  </si>
  <si>
    <t>DCH Office Hours   </t>
  </si>
  <si>
    <t>DCH</t>
  </si>
  <si>
    <t>Feb 07</t>
  </si>
  <si>
    <t>2/15/2017</t>
  </si>
  <si>
    <t>3/30/2017</t>
  </si>
  <si>
    <t>Bryant</t>
  </si>
  <si>
    <t>3/31/2017</t>
  </si>
  <si>
    <t>Kwimane</t>
  </si>
  <si>
    <t>4/3/2017</t>
  </si>
  <si>
    <t>Gabriel</t>
  </si>
  <si>
    <t>4/15/2017</t>
  </si>
  <si>
    <t>4/21/2017</t>
  </si>
  <si>
    <t>Session</t>
  </si>
  <si>
    <t>4/26/2017</t>
  </si>
  <si>
    <t>s17</t>
  </si>
  <si>
    <t>5/9/2017</t>
  </si>
  <si>
    <t>5/10/2017</t>
  </si>
  <si>
    <t>Marie</t>
  </si>
  <si>
    <t>5/11/2017</t>
  </si>
  <si>
    <t>5/12/2017</t>
  </si>
  <si>
    <t>Flight to Atlanta (DL 2136) </t>
  </si>
  <si>
    <t>(DL</t>
  </si>
  <si>
    <t>2136)</t>
  </si>
  <si>
    <t>5/15/2017</t>
  </si>
  <si>
    <t>Weber</t>
  </si>
  <si>
    <t>(1</t>
  </si>
  <si>
    <t>Lab work fasting   </t>
  </si>
  <si>
    <t>Lab</t>
  </si>
  <si>
    <t>6/12/2017</t>
  </si>
  <si>
    <t>Sedona</t>
  </si>
  <si>
    <t>Resorts</t>
  </si>
  <si>
    <t>Colonoscopy     </t>
  </si>
  <si>
    <t>Colonoscopy</t>
  </si>
  <si>
    <t>8/10/2017</t>
  </si>
  <si>
    <t>about</t>
  </si>
  <si>
    <t>Yonce</t>
  </si>
  <si>
    <t>Dr Weber    </t>
  </si>
  <si>
    <t>8/15/2017</t>
  </si>
  <si>
    <t>CPG</t>
  </si>
  <si>
    <t>Religion department meeting   </t>
  </si>
  <si>
    <t>department</t>
  </si>
  <si>
    <t>8/21/2017</t>
  </si>
  <si>
    <t>Solar eclipse?    </t>
  </si>
  <si>
    <t>8/23/2017</t>
  </si>
  <si>
    <t>Office Hours (DH)   </t>
  </si>
  <si>
    <t>(DH)</t>
  </si>
  <si>
    <t>8/24/2017</t>
  </si>
  <si>
    <t>Funeral     </t>
  </si>
  <si>
    <t>8/31/2017</t>
  </si>
  <si>
    <t>9/10/2017</t>
  </si>
  <si>
    <t>Supply St. Paul's\  Monroe\ </t>
  </si>
  <si>
    <t>Paul's\</t>
  </si>
  <si>
    <t>Monroe\</t>
  </si>
  <si>
    <t>Patch</t>
  </si>
  <si>
    <t>Follow</t>
  </si>
  <si>
    <t>Department</t>
  </si>
  <si>
    <t>Eichhorn</t>
  </si>
  <si>
    <t>9/17/2017</t>
  </si>
  <si>
    <t>Vietnam</t>
  </si>
  <si>
    <t>Burns' Vietnam    </t>
  </si>
  <si>
    <t>9/28/2017</t>
  </si>
  <si>
    <t>10/1/2017</t>
  </si>
  <si>
    <t>Terry McCandliss Dowdell birthday  </t>
  </si>
  <si>
    <t>McCandliss</t>
  </si>
  <si>
    <t>Dowdell</t>
  </si>
  <si>
    <t>Scott Jansen birthday   </t>
  </si>
  <si>
    <t>Jansen</t>
  </si>
  <si>
    <t>Oratory     </t>
  </si>
  <si>
    <t>St. Peter's Great Falls  </t>
  </si>
  <si>
    <t>Mehta</t>
  </si>
  <si>
    <t>Supply St. Paul's   </t>
  </si>
  <si>
    <t>WU</t>
  </si>
  <si>
    <t>password</t>
  </si>
  <si>
    <t>Supply St. Peter's\  Great Falls</t>
  </si>
  <si>
    <t>Peter's\</t>
  </si>
  <si>
    <t>Department meeting    </t>
  </si>
  <si>
    <t>12/6/2017</t>
  </si>
  <si>
    <t>12/11/2017</t>
  </si>
  <si>
    <t>Flight to Honolulu (HA 134) </t>
  </si>
  <si>
    <t>(HA</t>
  </si>
  <si>
    <t>134)</t>
  </si>
  <si>
    <t>12/26/2017</t>
  </si>
  <si>
    <t>Flight to El Paso (DL 2293)</t>
  </si>
  <si>
    <t>2293)</t>
  </si>
  <si>
    <t>schedule</t>
  </si>
  <si>
    <t>Flight to Charlotte (DL 2585) </t>
  </si>
  <si>
    <t>2585)</t>
  </si>
  <si>
    <t>1/8/2018</t>
  </si>
  <si>
    <t>Classes begin    </t>
  </si>
  <si>
    <t>Classes</t>
  </si>
  <si>
    <t>1/9/2018</t>
  </si>
  <si>
    <t>Change WU password   </t>
  </si>
  <si>
    <t>2/16/2018</t>
  </si>
  <si>
    <t>3/4/2018</t>
  </si>
  <si>
    <t>Supply at St. Peter's  </t>
  </si>
  <si>
    <t>Dr. Rohit Mehta   </t>
  </si>
  <si>
    <t>Rohit</t>
  </si>
  <si>
    <t>Dr Geary    </t>
  </si>
  <si>
    <t>Paul’s</t>
  </si>
  <si>
    <t>Monroe</t>
  </si>
  <si>
    <t>National</t>
  </si>
  <si>
    <t>3/24/2018</t>
  </si>
  <si>
    <t>Aid</t>
  </si>
  <si>
    <t>vaccine</t>
  </si>
  <si>
    <t>Hearing Aid Costco for hearing </t>
  </si>
  <si>
    <t>Grace</t>
  </si>
  <si>
    <t>Pierson</t>
  </si>
  <si>
    <t>4/26/2018</t>
  </si>
  <si>
    <t>Helen Marie Swanson left us </t>
  </si>
  <si>
    <t>4/29/2018</t>
  </si>
  <si>
    <t>5/2/2018</t>
  </si>
  <si>
    <t>Sue Parker    </t>
  </si>
  <si>
    <t>5/3/2018</t>
  </si>
  <si>
    <t>Matthew</t>
  </si>
  <si>
    <t>5/8/2018</t>
  </si>
  <si>
    <t>Pierson &amp; Grace   </t>
  </si>
  <si>
    <t>5/15/2018</t>
  </si>
  <si>
    <t>5/20/2018</t>
  </si>
  <si>
    <t>by</t>
  </si>
  <si>
    <t>Diamond</t>
  </si>
  <si>
    <t>Battery change    </t>
  </si>
  <si>
    <t>Supply Our Savior   </t>
  </si>
  <si>
    <t>Supply at St. Peter's Great Falls</t>
  </si>
  <si>
    <t>Install</t>
  </si>
  <si>
    <t>Camden</t>
  </si>
  <si>
    <t>(2</t>
  </si>
  <si>
    <t>6/27/2018</t>
  </si>
  <si>
    <t>7/7/2018</t>
  </si>
  <si>
    <t>Supply Epiphany Spartanburg   </t>
  </si>
  <si>
    <t>Spartanburg</t>
  </si>
  <si>
    <t>7/11/2018</t>
  </si>
  <si>
    <t>7/13/2018</t>
  </si>
  <si>
    <t>dermatologist</t>
  </si>
  <si>
    <t>7/15/2018</t>
  </si>
  <si>
    <t>battery change    </t>
  </si>
  <si>
    <t>Mill</t>
  </si>
  <si>
    <t>8/1/2018</t>
  </si>
  <si>
    <t>Eye appt    </t>
  </si>
  <si>
    <t>KIA</t>
  </si>
  <si>
    <t>Ft.</t>
  </si>
  <si>
    <t>8/15/2018</t>
  </si>
  <si>
    <t>via</t>
  </si>
  <si>
    <t>Zoom</t>
  </si>
  <si>
    <t>MD</t>
  </si>
  <si>
    <t>8/20/2018</t>
  </si>
  <si>
    <t>Palmetto</t>
  </si>
  <si>
    <t>Dermatology</t>
  </si>
  <si>
    <t>8/22/2018</t>
  </si>
  <si>
    <t>8/24/2018</t>
  </si>
  <si>
    <t>8/29/2018</t>
  </si>
  <si>
    <t>9/2/2018</t>
  </si>
  <si>
    <t>Picnic</t>
  </si>
  <si>
    <t>Judge's</t>
  </si>
  <si>
    <t>9/28/2018</t>
  </si>
  <si>
    <t>Car</t>
  </si>
  <si>
    <t>10/1/2018</t>
  </si>
  <si>
    <t>10/15/2018</t>
  </si>
  <si>
    <t>10/23/2018</t>
  </si>
  <si>
    <t>10/27/2018</t>
  </si>
  <si>
    <t>11/1/2018</t>
  </si>
  <si>
    <t>Jordi exam    </t>
  </si>
  <si>
    <t>Jordi</t>
  </si>
  <si>
    <t>St. Mark's Chester   </t>
  </si>
  <si>
    <t>11/11/2018</t>
  </si>
  <si>
    <t>Savannah</t>
  </si>
  <si>
    <t>Janey</t>
  </si>
  <si>
    <t>Nov 29</t>
  </si>
  <si>
    <t>12/2/2018</t>
  </si>
  <si>
    <t>John's</t>
  </si>
  <si>
    <t>REL</t>
  </si>
  <si>
    <t>12/10/2018</t>
  </si>
  <si>
    <t>12/14/2018</t>
  </si>
  <si>
    <t>12/16/2018</t>
  </si>
  <si>
    <t>Kay Okutani funeral   </t>
  </si>
  <si>
    <t>Okutani</t>
  </si>
  <si>
    <t>Janet</t>
  </si>
  <si>
    <t>1/7/2019</t>
  </si>
  <si>
    <t>1/16/2019</t>
  </si>
  <si>
    <t>supply St. John's\  Winnsboro </t>
  </si>
  <si>
    <t>John's\</t>
  </si>
  <si>
    <t>2/5/2019</t>
  </si>
  <si>
    <t>2/6/2019</t>
  </si>
  <si>
    <t>2/9/2019</t>
  </si>
  <si>
    <t>(Dale)</t>
  </si>
  <si>
    <t>St. Mark's    </t>
  </si>
  <si>
    <t>Supply Church of Our Saviour </t>
  </si>
  <si>
    <t>Saviour</t>
  </si>
  <si>
    <t>Aaron</t>
  </si>
  <si>
    <t>4/24/2019</t>
  </si>
  <si>
    <t>4/28/2019</t>
  </si>
  <si>
    <t>5/11/2019</t>
  </si>
  <si>
    <t>HOA</t>
  </si>
  <si>
    <t>5/22/2019</t>
  </si>
  <si>
    <t>Inn</t>
  </si>
  <si>
    <t>6/6/2019</t>
  </si>
  <si>
    <t>Modern</t>
  </si>
  <si>
    <t>6/9/2019</t>
  </si>
  <si>
    <t>6/10/2019</t>
  </si>
  <si>
    <t>Dr Matthews Periodontist (Res 7 22)</t>
  </si>
  <si>
    <t>(Res</t>
  </si>
  <si>
    <t>22)</t>
  </si>
  <si>
    <t>7/11/2019</t>
  </si>
  <si>
    <t>Wild Goose Festival   </t>
  </si>
  <si>
    <t>Wild</t>
  </si>
  <si>
    <t>Goose</t>
  </si>
  <si>
    <t>Kia Service    </t>
  </si>
  <si>
    <t>supplies</t>
  </si>
  <si>
    <t>Dr. Chad Matthews cleaning  </t>
  </si>
  <si>
    <t>Chad</t>
  </si>
  <si>
    <t>Supply St. Mark's\  Chester </t>
  </si>
  <si>
    <t>Mark's\</t>
  </si>
  <si>
    <t>8/12/2019</t>
  </si>
  <si>
    <t>Dermatologist     </t>
  </si>
  <si>
    <t>Dermatologist</t>
  </si>
  <si>
    <t>8/18/2019</t>
  </si>
  <si>
    <t>Reservation</t>
  </si>
  <si>
    <t>8/21/2019</t>
  </si>
  <si>
    <t>Supply St. John's\  Winnsboro </t>
  </si>
  <si>
    <t>9/3/2019</t>
  </si>
  <si>
    <t>Panera clericus    </t>
  </si>
  <si>
    <t>Panera</t>
  </si>
  <si>
    <t>9/10/2019</t>
  </si>
  <si>
    <t>9/17/2019</t>
  </si>
  <si>
    <t>9/27/2019</t>
  </si>
  <si>
    <t>9/29/2019</t>
  </si>
  <si>
    <t>Joan &amp; Ed   </t>
  </si>
  <si>
    <t>Supply St. John's Winnsboro  </t>
  </si>
  <si>
    <t>Dabney</t>
  </si>
  <si>
    <t>Update</t>
  </si>
  <si>
    <t>10/30/2019</t>
  </si>
  <si>
    <t>11/4/2019</t>
  </si>
  <si>
    <t>11/5/2019</t>
  </si>
  <si>
    <t>Kia service    </t>
  </si>
  <si>
    <t>week</t>
  </si>
  <si>
    <t>Tree</t>
  </si>
  <si>
    <t>estimate</t>
  </si>
  <si>
    <t>11/25/2019</t>
  </si>
  <si>
    <t>12/4/2019</t>
  </si>
  <si>
    <t>C</t>
  </si>
  <si>
    <t>Supply Our Saviour   </t>
  </si>
  <si>
    <t>Dr. Peterson (cataract)   </t>
  </si>
  <si>
    <t>Peterson</t>
  </si>
  <si>
    <t>(cataract)</t>
  </si>
  <si>
    <t>CVS</t>
  </si>
  <si>
    <t>12/30/2019</t>
  </si>
  <si>
    <t>Cataract surgery    </t>
  </si>
  <si>
    <t>Cataract</t>
  </si>
  <si>
    <t>12/31/2019</t>
  </si>
  <si>
    <t>Cataract post op   </t>
  </si>
  <si>
    <t>1/6/2020</t>
  </si>
  <si>
    <t>Relg 101    </t>
  </si>
  <si>
    <t>1/20/2020</t>
  </si>
  <si>
    <t>2/5/2020</t>
  </si>
  <si>
    <t>2/8/2020</t>
  </si>
  <si>
    <t>2/11/2020</t>
  </si>
  <si>
    <t>Crystal</t>
  </si>
  <si>
    <t>Break</t>
  </si>
  <si>
    <t>4/4/2020</t>
  </si>
  <si>
    <t>4/21/2020</t>
  </si>
  <si>
    <t>Tenini</t>
  </si>
  <si>
    <t>4/25/2020</t>
  </si>
  <si>
    <t>Zoom meeting DUSC   </t>
  </si>
  <si>
    <t>DUSC</t>
  </si>
  <si>
    <t>5/9/2020</t>
  </si>
  <si>
    <t>WOTC 101 Basics   </t>
  </si>
  <si>
    <t>WOTC</t>
  </si>
  <si>
    <t>Basics</t>
  </si>
  <si>
    <t>5/18/2020</t>
  </si>
  <si>
    <t>5/21/2020</t>
  </si>
  <si>
    <t>WOTC 102 Online Course Facilitation and</t>
  </si>
  <si>
    <t>Online</t>
  </si>
  <si>
    <t>Course</t>
  </si>
  <si>
    <t>Facilitation</t>
  </si>
  <si>
    <t>5/28/2020</t>
  </si>
  <si>
    <t>Clericus Zoom session   </t>
  </si>
  <si>
    <t>session</t>
  </si>
  <si>
    <t>Taping</t>
  </si>
  <si>
    <t>Judges</t>
  </si>
  <si>
    <t>6/1/2020</t>
  </si>
  <si>
    <t>6/5/2020</t>
  </si>
  <si>
    <t>Happy</t>
  </si>
  <si>
    <t>Symphony     </t>
  </si>
  <si>
    <t>6/14/2020</t>
  </si>
  <si>
    <t>6/19/2020</t>
  </si>
  <si>
    <t>6/28/2020</t>
  </si>
  <si>
    <t>8/4/2020</t>
  </si>
  <si>
    <t>8/18/2020</t>
  </si>
  <si>
    <t>Bake cake    </t>
  </si>
  <si>
    <t>Bake</t>
  </si>
  <si>
    <t>8/24/2020</t>
  </si>
  <si>
    <t>9/1/2020</t>
  </si>
  <si>
    <t>Lectio Divina    </t>
  </si>
  <si>
    <t>Lectio</t>
  </si>
  <si>
    <t>Divina</t>
  </si>
  <si>
    <t>9/6/2020</t>
  </si>
  <si>
    <t>Charlotte Spirituality Center   </t>
  </si>
  <si>
    <t>Spirituality</t>
  </si>
  <si>
    <t>John Tenini\  MD  </t>
  </si>
  <si>
    <t>Tenini\</t>
  </si>
  <si>
    <t>Erin</t>
  </si>
  <si>
    <t>10/6/2020</t>
  </si>
  <si>
    <t>10/7/2020</t>
  </si>
  <si>
    <t>10/24/2020</t>
  </si>
  <si>
    <t>Couples counseling    </t>
  </si>
  <si>
    <t>Couples</t>
  </si>
  <si>
    <t>11/14/2020</t>
  </si>
  <si>
    <t>Emma Birthday    </t>
  </si>
  <si>
    <t>Dunes</t>
  </si>
  <si>
    <t>Resort</t>
  </si>
  <si>
    <t>12/1/2020</t>
  </si>
  <si>
    <t>Dr Geary dentist for Dale </t>
  </si>
  <si>
    <t>12/7/2020</t>
  </si>
  <si>
    <t>12/11/2020</t>
  </si>
  <si>
    <t>Meet with Takita   </t>
  </si>
  <si>
    <t>Takita</t>
  </si>
  <si>
    <t>12/22/2020</t>
  </si>
  <si>
    <t>Liturgy</t>
  </si>
  <si>
    <t>Couples counseling  Janet White </t>
  </si>
  <si>
    <t>1/7/2021</t>
  </si>
  <si>
    <t>Linda Serepca    </t>
  </si>
  <si>
    <t>Linda</t>
  </si>
  <si>
    <t>Serepca</t>
  </si>
  <si>
    <t>1/12/2021</t>
  </si>
  <si>
    <t>1/13/2021</t>
  </si>
  <si>
    <t>1/14/2021</t>
  </si>
  <si>
    <t>Erin for Dale   </t>
  </si>
  <si>
    <t>1/17/2021</t>
  </si>
  <si>
    <t>Vaccine</t>
  </si>
  <si>
    <t>1/19/2021</t>
  </si>
  <si>
    <t>2/1/2021</t>
  </si>
  <si>
    <t>Covid</t>
  </si>
  <si>
    <t>2/16/2021</t>
  </si>
  <si>
    <t>3/2/2021</t>
  </si>
  <si>
    <t>3/3/2021</t>
  </si>
  <si>
    <t>Spring break day   </t>
  </si>
  <si>
    <t>3/4/2021</t>
  </si>
  <si>
    <t>3/9/2021</t>
  </si>
  <si>
    <t>3/15/2021</t>
  </si>
  <si>
    <t>3/18/2021</t>
  </si>
  <si>
    <t>3/28/2021</t>
  </si>
  <si>
    <t>Linda counseling    </t>
  </si>
  <si>
    <t>4/7/2021</t>
  </si>
  <si>
    <t>4/11/2021</t>
  </si>
  <si>
    <t>Tenini 6 month check up </t>
  </si>
  <si>
    <t>month</t>
  </si>
  <si>
    <t>4/19/2021</t>
  </si>
  <si>
    <t>4/20/2021</t>
  </si>
  <si>
    <t>Melinda</t>
  </si>
  <si>
    <t>4/27/2021</t>
  </si>
  <si>
    <t>4/30/2021</t>
  </si>
  <si>
    <t>Leave for Monroe   </t>
  </si>
  <si>
    <t>5/2/2021</t>
  </si>
  <si>
    <t>5/12/2021</t>
  </si>
  <si>
    <t>5/16/2021</t>
  </si>
  <si>
    <t>St. Paul's\  Monroe supply </t>
  </si>
  <si>
    <t>6/2/2021</t>
  </si>
  <si>
    <t>Supply at Lancaster   </t>
  </si>
  <si>
    <t>Lancaster</t>
  </si>
  <si>
    <t>6/7/2021</t>
  </si>
  <si>
    <t>6/8/2021</t>
  </si>
  <si>
    <t>Geary     </t>
  </si>
  <si>
    <t>6/16/2021</t>
  </si>
  <si>
    <t>Conversation</t>
  </si>
  <si>
    <t>6/27/2021</t>
  </si>
  <si>
    <t>7/2/2021</t>
  </si>
  <si>
    <t>7/8/2021</t>
  </si>
  <si>
    <t>7/15/2021</t>
  </si>
  <si>
    <t>Interim</t>
  </si>
  <si>
    <t>7/24/2021</t>
  </si>
  <si>
    <t>7/25/2021</t>
  </si>
  <si>
    <t>7/27/2021</t>
  </si>
  <si>
    <t>Nicci</t>
  </si>
  <si>
    <t>8/5/2021</t>
  </si>
  <si>
    <t>Inspection</t>
  </si>
  <si>
    <t>8/18/2021</t>
  </si>
  <si>
    <t>Reservation at Saveeda's American Bistro </t>
  </si>
  <si>
    <t>Saveeda's</t>
  </si>
  <si>
    <t>Bistro</t>
  </si>
  <si>
    <t>Dale   parish leadership meeting</t>
  </si>
  <si>
    <t>parish</t>
  </si>
  <si>
    <t>9/1/2021</t>
  </si>
  <si>
    <t>Dermatology     </t>
  </si>
  <si>
    <t>9/2/2021</t>
  </si>
  <si>
    <t>Eichorn</t>
  </si>
  <si>
    <t>(cardiologist)</t>
  </si>
  <si>
    <t>9/8/2021</t>
  </si>
  <si>
    <t>Webinar</t>
  </si>
  <si>
    <t>9/19/2021</t>
  </si>
  <si>
    <t>9/20/2021</t>
  </si>
  <si>
    <t>Interim Meeting    </t>
  </si>
  <si>
    <t>9/29/2021</t>
  </si>
  <si>
    <t>Steve</t>
  </si>
  <si>
    <t>10/4/2021</t>
  </si>
  <si>
    <t>Lenten meeting with ministerial assoc </t>
  </si>
  <si>
    <t>Lenten</t>
  </si>
  <si>
    <t>ministerial</t>
  </si>
  <si>
    <t>assoc</t>
  </si>
  <si>
    <t>Meet Robert    </t>
  </si>
  <si>
    <t>10/10/2021</t>
  </si>
  <si>
    <t>10/13/2021</t>
  </si>
  <si>
    <t>10/16/2021</t>
  </si>
  <si>
    <t>Tina</t>
  </si>
  <si>
    <t>10/18/2021</t>
  </si>
  <si>
    <t>St. Paul's vestry   </t>
  </si>
  <si>
    <t>10/25/2021</t>
  </si>
  <si>
    <t>CVS Vaccine Appointment   </t>
  </si>
  <si>
    <t>10/26/2021</t>
  </si>
  <si>
    <t>10/28/2021</t>
  </si>
  <si>
    <t>11/2/2021</t>
  </si>
  <si>
    <t>11/7/2021</t>
  </si>
  <si>
    <t>11/9/2021</t>
  </si>
  <si>
    <t>11/16/2021</t>
  </si>
  <si>
    <t>Worship</t>
  </si>
  <si>
    <t>11/17/2021</t>
  </si>
  <si>
    <t>Meet Nicci at office  </t>
  </si>
  <si>
    <t>11/21/2021</t>
  </si>
  <si>
    <t>11/23/2021</t>
  </si>
  <si>
    <t>11/24/2021</t>
  </si>
  <si>
    <t>Cardio therapy    </t>
  </si>
  <si>
    <t>Cardio</t>
  </si>
  <si>
    <t>12/5/2021</t>
  </si>
  <si>
    <t>12/9/2021</t>
  </si>
  <si>
    <t>Lizzie</t>
  </si>
  <si>
    <t>12/10/2021</t>
  </si>
  <si>
    <t>Anniversary</t>
  </si>
  <si>
    <t>12/15/2021</t>
  </si>
  <si>
    <t>12/16/2021</t>
  </si>
  <si>
    <t>Lizzie Confirmation    </t>
  </si>
  <si>
    <t>12/18/2021</t>
  </si>
  <si>
    <t>12/24/2021</t>
  </si>
  <si>
    <t>1/9/2022</t>
  </si>
  <si>
    <t>1/14/2022</t>
  </si>
  <si>
    <t>1/24/2022</t>
  </si>
  <si>
    <t>1/25/2022</t>
  </si>
  <si>
    <t>periodic</t>
  </si>
  <si>
    <t>1/27/2022</t>
  </si>
  <si>
    <t>1/30/2022</t>
  </si>
  <si>
    <t>2/9/2022</t>
  </si>
  <si>
    <t>3/4/2022</t>
  </si>
  <si>
    <t>3/5/2022</t>
  </si>
  <si>
    <t>Jack</t>
  </si>
  <si>
    <t>3/12/2022</t>
  </si>
  <si>
    <t>Spectrum</t>
  </si>
  <si>
    <t>3/18/2022</t>
  </si>
  <si>
    <t>pickup</t>
  </si>
  <si>
    <t>Gaertner</t>
  </si>
  <si>
    <t>Easter Vigil    </t>
  </si>
  <si>
    <t>4/18/2022</t>
  </si>
  <si>
    <t>4/20/2022</t>
  </si>
  <si>
    <t>Peter’s birthday    </t>
  </si>
  <si>
    <t>Peter’s</t>
  </si>
  <si>
    <t>servicing</t>
  </si>
  <si>
    <t>Travel to Palm Harbor  </t>
  </si>
  <si>
    <t>4/26/2022</t>
  </si>
  <si>
    <t>5/4/2022</t>
  </si>
  <si>
    <t>5/12/2022</t>
  </si>
  <si>
    <t>6/2/2022</t>
  </si>
  <si>
    <t>6/14/2022</t>
  </si>
  <si>
    <t>Evans</t>
  </si>
  <si>
    <t>collection</t>
  </si>
  <si>
    <t>7/6/2022</t>
  </si>
  <si>
    <t>zoom</t>
  </si>
  <si>
    <t>7/19/2022</t>
  </si>
  <si>
    <t>7/20/2022</t>
  </si>
  <si>
    <t>Mystic</t>
  </si>
  <si>
    <t>8/23/2022</t>
  </si>
  <si>
    <t>8/27/2022</t>
  </si>
  <si>
    <t>Tampa</t>
  </si>
  <si>
    <t>Happy hour with Judges  </t>
  </si>
  <si>
    <t>9/6/2022</t>
  </si>
  <si>
    <t>9/7/2022</t>
  </si>
  <si>
    <t>Lokey</t>
  </si>
  <si>
    <t>Patel</t>
  </si>
  <si>
    <t>Baycare</t>
  </si>
  <si>
    <t>9/18/2022</t>
  </si>
  <si>
    <t>9/22/2022</t>
  </si>
  <si>
    <t>labs</t>
  </si>
  <si>
    <t>10/4/2022</t>
  </si>
  <si>
    <t>Dermatologist Victoria    </t>
  </si>
  <si>
    <t>Alfred's</t>
  </si>
  <si>
    <t>Healing mass    </t>
  </si>
  <si>
    <t>10/28/2022</t>
  </si>
  <si>
    <t>Gardner Audiology    </t>
  </si>
  <si>
    <t>Gardner</t>
  </si>
  <si>
    <t>Audiology</t>
  </si>
  <si>
    <t>11/12/2022</t>
  </si>
  <si>
    <t>11/17/2022</t>
  </si>
  <si>
    <t>Gardner audiology    </t>
  </si>
  <si>
    <t>audiology</t>
  </si>
  <si>
    <t>11/22/2022</t>
  </si>
  <si>
    <t>Dr. Matthew Irvin   </t>
  </si>
  <si>
    <t>Irvin</t>
  </si>
  <si>
    <t>12/6/2022</t>
  </si>
  <si>
    <t>Manny for lunch   </t>
  </si>
  <si>
    <t>Manny</t>
  </si>
  <si>
    <t>12/19/2022</t>
  </si>
  <si>
    <t>12/22/2022</t>
  </si>
  <si>
    <t>3/19/2023</t>
  </si>
  <si>
    <t>3/23/2023</t>
  </si>
  <si>
    <t>Mass   Dale  </t>
  </si>
  <si>
    <t>3/26/2023</t>
  </si>
  <si>
    <t>Healing Mass    </t>
  </si>
  <si>
    <t>Dr Patel    </t>
  </si>
  <si>
    <t>Dr Basil    </t>
  </si>
  <si>
    <t>5/23/2023</t>
  </si>
  <si>
    <t>Laura Guttierez birthday   </t>
  </si>
  <si>
    <t>Bozarth</t>
  </si>
  <si>
    <t>windows</t>
  </si>
  <si>
    <t>Celebrate</t>
  </si>
  <si>
    <t>6/11/2023</t>
  </si>
  <si>
    <t>6/13/2023</t>
  </si>
  <si>
    <t>6/14/2023</t>
  </si>
  <si>
    <t>Miriam &amp; Lee's Anniversary -2008 </t>
  </si>
  <si>
    <t>6/22/2023</t>
  </si>
  <si>
    <t>Clergy lunch    </t>
  </si>
  <si>
    <t>Celebrate St Alfred's   </t>
  </si>
  <si>
    <t>6/26/2023</t>
  </si>
  <si>
    <t>Los</t>
  </si>
  <si>
    <t>Angeles</t>
  </si>
  <si>
    <t>7/7/2023</t>
  </si>
  <si>
    <t>7/9/2023</t>
  </si>
  <si>
    <t>7/12/2023</t>
  </si>
  <si>
    <t>7/16/2023</t>
  </si>
  <si>
    <t>7/21/2023</t>
  </si>
  <si>
    <t>Marcus    Calendar Inbox</t>
  </si>
  <si>
    <t>Calendar</t>
  </si>
  <si>
    <t>Inbox</t>
  </si>
  <si>
    <t>Marcus     </t>
  </si>
  <si>
    <t>8/3/2023</t>
  </si>
  <si>
    <t>8/13/2023</t>
  </si>
  <si>
    <t>Bob Sjostrom birthday -1921  </t>
  </si>
  <si>
    <t>Ingrams</t>
  </si>
  <si>
    <t>8/19/2023</t>
  </si>
  <si>
    <t>9/2/2023</t>
  </si>
  <si>
    <t>celebrate</t>
  </si>
  <si>
    <t>9/3/2023</t>
  </si>
  <si>
    <t>Mass   celebrate  </t>
  </si>
  <si>
    <t>Dermatologist DH    </t>
  </si>
  <si>
    <t>9/9/2023</t>
  </si>
  <si>
    <t>Mass   preach  </t>
  </si>
  <si>
    <t>10/10/2023</t>
  </si>
  <si>
    <t>2024 Annual Enrollment Session for Retirees</t>
  </si>
  <si>
    <t>Enrollment</t>
  </si>
  <si>
    <t>Retirees</t>
  </si>
  <si>
    <t>10/11/2023</t>
  </si>
  <si>
    <t>10/20/2023</t>
  </si>
  <si>
    <t>10/22/2023</t>
  </si>
  <si>
    <t>11/4/2023</t>
  </si>
  <si>
    <t>11/9/2023</t>
  </si>
  <si>
    <t>11/10/2023</t>
  </si>
  <si>
    <t>Strategic</t>
  </si>
  <si>
    <t>11/28/2023</t>
  </si>
  <si>
    <t>(AA</t>
  </si>
  <si>
    <t>12/2/2023</t>
  </si>
  <si>
    <t>(UA</t>
  </si>
  <si>
    <t>12/8/2023</t>
  </si>
  <si>
    <t>12/14/2023</t>
  </si>
  <si>
    <t>Davis</t>
  </si>
  <si>
    <t>Mass   Dale preaches </t>
  </si>
  <si>
    <t>preaches</t>
  </si>
  <si>
    <t>celebrates</t>
  </si>
  <si>
    <t>1/5/2024</t>
  </si>
  <si>
    <t>1/13/2024</t>
  </si>
  <si>
    <t>DH celebrate @ St. Alfred's </t>
  </si>
  <si>
    <t>Road</t>
  </si>
  <si>
    <t>2/20/2024</t>
  </si>
  <si>
    <t>Appointment at LOKEY KIA  </t>
  </si>
  <si>
    <t>LOKEY</t>
  </si>
  <si>
    <t>3/4/2024</t>
  </si>
  <si>
    <t>Pick up Diane   </t>
  </si>
  <si>
    <t>Madison</t>
  </si>
  <si>
    <t>3/13/2024</t>
  </si>
  <si>
    <t>Sunrise</t>
  </si>
  <si>
    <t>3/26/2024</t>
  </si>
  <si>
    <t>3/27/2024</t>
  </si>
  <si>
    <t>3/31/2024</t>
  </si>
  <si>
    <t>Call Lydia    </t>
  </si>
  <si>
    <t>5/1/2024</t>
  </si>
  <si>
    <t>Boating</t>
  </si>
  <si>
    <t>5/6/2024</t>
  </si>
  <si>
    <t>5/7/2024</t>
  </si>
  <si>
    <t>5/10/2024</t>
  </si>
  <si>
    <t>5/14/2024</t>
  </si>
  <si>
    <t>5/18/2024</t>
  </si>
  <si>
    <t>DH Celebrate    </t>
  </si>
  <si>
    <t>5/22/2024</t>
  </si>
  <si>
    <t>6/9/2024</t>
  </si>
  <si>
    <t>Madison &amp; Garrett's Wedding  </t>
  </si>
  <si>
    <t>Garrett's</t>
  </si>
  <si>
    <t>irrigation</t>
  </si>
  <si>
    <t>6/29/2024</t>
  </si>
  <si>
    <t>DH Preach    </t>
  </si>
  <si>
    <t>Call Robin    </t>
  </si>
  <si>
    <t>7/13/2024</t>
  </si>
  <si>
    <t>8/13/2024</t>
  </si>
  <si>
    <t>Folino</t>
  </si>
  <si>
    <t>Humphries</t>
  </si>
  <si>
    <t>8/25/2024</t>
  </si>
  <si>
    <t>Forum</t>
  </si>
  <si>
    <t>8/26/2024</t>
  </si>
  <si>
    <t>8/27/2024</t>
  </si>
  <si>
    <t>Linda     </t>
  </si>
  <si>
    <t>Kalani</t>
  </si>
  <si>
    <t>monitor</t>
  </si>
  <si>
    <t>9/4/2024</t>
  </si>
  <si>
    <t>Kalani stress test   </t>
  </si>
  <si>
    <t>stress</t>
  </si>
  <si>
    <t>9/23/2024</t>
  </si>
  <si>
    <t>Mass   pick up Diane</t>
  </si>
  <si>
    <t>10/26/2024</t>
  </si>
  <si>
    <t>DH celebrate    </t>
  </si>
  <si>
    <t>Lou</t>
  </si>
  <si>
    <t>11/24/2024</t>
  </si>
  <si>
    <t>11/25/2024</t>
  </si>
  <si>
    <t>11/28/2024</t>
  </si>
  <si>
    <t>6:00 PM</t>
  </si>
  <si>
    <t>6:30 PM</t>
  </si>
  <si>
    <t>7:00 PM</t>
  </si>
  <si>
    <t>12/10/2024</t>
  </si>
  <si>
    <t>Karen</t>
  </si>
  <si>
    <t>SD</t>
  </si>
  <si>
    <t>2/1/2025</t>
  </si>
  <si>
    <t>Pacific cruise    </t>
  </si>
  <si>
    <t>5/9/2025</t>
  </si>
  <si>
    <t>Prep colonoscopy    </t>
  </si>
  <si>
    <t>colonoscopy</t>
  </si>
  <si>
    <t>Humphrey’s</t>
  </si>
  <si>
    <t>8/28/2025</t>
  </si>
  <si>
    <t>Mar 16 2025</t>
  </si>
  <si>
    <t>Mar 30 2025</t>
  </si>
  <si>
    <t>date2</t>
  </si>
  <si>
    <t>Personal</t>
  </si>
  <si>
    <t>01 04</t>
  </si>
  <si>
    <t>Frederick Denison Maurice; Priest; 1872 </t>
  </si>
  <si>
    <t>x</t>
  </si>
  <si>
    <t>REM Apr 01 +2 MSG Frederick Denison Maurice; Priest; 1872 %b%"</t>
  </si>
  <si>
    <t>REM Jul 29 +2 MSG Mary and Martha of Bethany %b%"</t>
  </si>
  <si>
    <t>12:30 PM</t>
  </si>
  <si>
    <t>Thu </t>
  </si>
  <si>
    <t>10:30 AM</t>
  </si>
  <si>
    <t>12:00 PM</t>
  </si>
  <si>
    <t>Jan 14 2025</t>
  </si>
  <si>
    <t>03:30 PM</t>
  </si>
  <si>
    <t>Jan 17 2025</t>
  </si>
  <si>
    <t>11:30 AM</t>
  </si>
  <si>
    <t>Feb</t>
  </si>
  <si>
    <t>Mar</t>
  </si>
  <si>
    <t>Apr</t>
  </si>
  <si>
    <t> </t>
  </si>
  <si>
    <t>REM   +2 MSG  %b%"</t>
  </si>
  <si>
    <t>Jun</t>
  </si>
  <si>
    <t>Jul</t>
  </si>
  <si>
    <t>The Parents of the Blessed Virgin Mary</t>
  </si>
  <si>
    <t>Aug</t>
  </si>
  <si>
    <t>Sep</t>
  </si>
  <si>
    <t>Sep 7</t>
  </si>
  <si>
    <t>Oct</t>
  </si>
  <si>
    <t>Nov</t>
  </si>
  <si>
    <t>Nov 2</t>
  </si>
  <si>
    <t>Dec</t>
  </si>
  <si>
    <t>Dec 6</t>
  </si>
</sst>
</file>

<file path=xl/styles.xml><?xml version="1.0" encoding="utf-8"?>
<styleSheet xmlns="http://schemas.openxmlformats.org/spreadsheetml/2006/main">
  <numFmts count="8">
    <numFmt formatCode="hh:mm" numFmtId="100"/>
    <numFmt formatCode="mmm&quot; &quot;d&quot;, &quot;yyyy" numFmtId="101"/>
    <numFmt formatCode="h:mm:ss am/pm" numFmtId="102"/>
    <numFmt formatCode="m/d/yy" numFmtId="103"/>
    <numFmt formatCode="h:mm am/pm" numFmtId="104"/>
    <numFmt formatCode="mmmm d" numFmtId="105"/>
    <numFmt formatCode="mmm d, yyyy" numFmtId="106"/>
    <numFmt formatCode="ddd mmm yyyy" numFmtId="107"/>
  </numFmts>
  <fonts count="6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0"/>
      <i val="0"/>
      <u val="single"/>
      <color rgb="FF0000FF"/>
      <name val="Arial"/>
      <vertAlign val="baseline"/>
      <sz val="10"/>
      <strike val="0"/>
    </font>
    <font>
      <b val="0"/>
      <i val="0"/>
      <u val="none"/>
      <color rgb="FF008000"/>
      <name val="&quot;Google Sans Mono&quot;"/>
      <vertAlign val="baseline"/>
      <sz val="9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0"/>
      <u val="none"/>
      <color rgb="FF000000"/>
      <name val="&quot;Google Sans Mono&quot;"/>
      <vertAlign val="baseline"/>
      <sz val="9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2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3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4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5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6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2" borderId="0" numFmtId="10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7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9" Type="http://schemas.openxmlformats.org/officeDocument/2006/relationships/styles" Target="styles.xml"/>
  <Relationship Id="rId8" Type="http://schemas.openxmlformats.org/officeDocument/2006/relationships/sharedStrings" Target="sharedStrings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2.xml.rels><?xml version="1.0" encoding="UTF-8"?>
<Relationships xmlns="http://schemas.openxmlformats.org/package/2006/relationships">
  <Relationship Id="rId1" Type="http://schemas.openxmlformats.org/officeDocument/2006/relationships/hyperlink" Target="http://nytimes.com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O29"/>
  <sheetViews>
    <sheetView topLeftCell="A6" workbookViewId="0" tabSelected="1">
      <selection activeCell="A17" sqref="A17"/>
    </sheetView>
  </sheetViews>
  <sheetFormatPr defaultColWidth="12.63" defaultRowHeight="15.75"/>
  <cols>
    <col min="1" max="1" style="1" width="10.713641826923078" customWidth="1"/>
    <col min="2" max="2" style="1" width="7.285276442307693" customWidth="1"/>
    <col min="3" max="3" style="1" width="20.63" customWidth="1"/>
    <col min="4" max="4" style="1" width="12.713521634615386" customWidth="1"/>
    <col min="5" max="5" style="2" width="11.85643028846154" customWidth="1"/>
    <col min="6" max="12" style="1" width="30.56959134615385" hidden="1" customWidth="1"/>
    <col min="13" max="14" style="1" width="30.56959134615385" customWidth="1"/>
    <col min="15" max="15" style="1" width="21.71298076923077" customWidth="1"/>
    <col min="16" max="16384" style="1" width="2.4055697115384618"/>
  </cols>
  <sheetData>
    <row r="1" spans="1:15">
      <c r="A1" s="3" t="s">
        <v>0</v>
      </c>
      <c r="B1" s="4" t="s">
        <v>1</v>
      </c>
      <c r="C1" t="s">
        <v>2</v>
      </c>
      <c r="D1" t="s">
        <v>3</v>
      </c>
      <c r="E1" t="s">
        <v>4</v>
      </c>
      <c r="M1" t="s">
        <f>"REM "&amp;D1&amp;" +2 MSG "&amp;C1&amp;" %b%"</f>
        <v>5</v>
      </c>
    </row>
    <row r="2" spans="1:15">
      <c r="A2" s="3">
        <v>45748</v>
      </c>
      <c r="B2" s="5">
        <v>0.041666666666666664</v>
      </c>
      <c r="C2" t="s">
        <f>F2&amp;" "&amp;G2&amp;" "&amp;H2&amp;" "&amp;I2&amp;" "&amp;J2&amp;" "&amp;K2</f>
        <v>6</v>
      </c>
      <c r="D2" t="s">
        <f>TEXT(A2,"mmm dd YYYY")</f>
        <v>7</v>
      </c>
      <c r="E2" t="str">
        <f>TEXT(B2,"hh:mm")</f>
        <v>01:00</v>
      </c>
      <c r="F2" t="s">
        <v>8</v>
      </c>
      <c r="G2" t="s">
        <v>9</v>
      </c>
      <c r="H2" t="s">
        <v>10</v>
      </c>
      <c r="M2" t="s">
        <f>"REM "&amp;D2&amp;" +2 "&amp;"AT "&amp;E2&amp;" MSG "&amp;C2&amp;" %b%"</f>
        <v>11</v>
      </c>
    </row>
    <row r="3" spans="1:15">
      <c r="A3" s="6">
        <v>45838</v>
      </c>
      <c r="B3" s="5">
        <v>0.58333333333333337</v>
      </c>
      <c r="C3" t="inlineStr">
        <is>
          <t>Dr. Basil (crown)</t>
        </is>
      </c>
      <c r="D3" t="s">
        <f>TEXT(A3,"mmm dd")</f>
        <v>12</v>
      </c>
      <c r="E3" t="str">
        <f>TEXT(B3,"hh:mm")</f>
        <v>14:00</v>
      </c>
      <c r="M3" t="str">
        <f>"REM "&amp;D3&amp;" +2 "&amp;"AT "&amp;E3&amp;" MSG "&amp;C3&amp;" %b%"</f>
        <v>REM Jun 30 +2 AT 14:00 MSG Dr. Basil (crown) %b%</v>
      </c>
    </row>
    <row r="4" spans="1:15">
      <c r="A4" s="6">
        <v>45839</v>
      </c>
      <c r="B4" s="5">
        <v>0.4375</v>
      </c>
      <c r="C4" t="inlineStr">
        <is>
          <t>LA Fitness</t>
        </is>
      </c>
      <c r="D4" t="s">
        <f>TEXT(A4,"mmm dd")</f>
        <v>13</v>
      </c>
      <c r="E4" t="s">
        <f>TEXT(B4,"hh:mm")</f>
        <v>14</v>
      </c>
      <c r="M4" t="str">
        <f>"REM "&amp;D4&amp;" +2 "&amp;"AT "&amp;E4&amp;" MSG "&amp;C4&amp;" %b%"</f>
        <v>REM Jul 01 +2 AT 10:30 MSG LA Fitness %b%</v>
      </c>
    </row>
    <row r="5" spans="1:15">
      <c r="A5" s="6">
        <v>45840</v>
      </c>
      <c r="B5" s="5">
        <v>0.5625</v>
      </c>
      <c r="C5" t="inlineStr">
        <is>
          <t>Finish Product selection Bathmasters</t>
        </is>
      </c>
      <c r="D5" t="s">
        <f>TEXT(A5,"mmm dd")</f>
        <v>15</v>
      </c>
      <c r="E5" t="str">
        <f>TEXT(B5,"hh:mm")</f>
        <v>13:30</v>
      </c>
      <c r="M5" t="str">
        <f>"REM "&amp;D5&amp;" +2 "&amp;"AT "&amp;E5&amp;" MSG "&amp;C5&amp;" %b%"</f>
        <v>REM Jul 02 +2 AT 13:30 MSG Finish Product selection Bathmasters %b%</v>
      </c>
    </row>
    <row r="6" spans="1:15">
      <c r="A6" s="6">
        <v>45841</v>
      </c>
      <c r="B6" s="5">
        <v>0.54166666666666663</v>
      </c>
      <c r="C6" t="inlineStr">
        <is>
          <t>Lunch with clergy</t>
        </is>
      </c>
      <c r="D6" t="s">
        <f>TEXT(A6,"mmm dd")</f>
        <v>16</v>
      </c>
      <c r="E6" t="s">
        <f>TEXT(B6,"hh:mm")</f>
        <v>17</v>
      </c>
      <c r="M6" t="str">
        <f>"REM "&amp;D6&amp;" +2 "&amp;"AT "&amp;E6&amp;" MSG "&amp;C6&amp;" %b%"</f>
        <v>REM Jul 03 +2 AT 13:00 MSG Lunch with clergy %b%</v>
      </c>
    </row>
    <row r="7" spans="1:15">
      <c r="A7" s="6">
        <v>45842</v>
      </c>
      <c r="B7" s="5">
        <v>0.625</v>
      </c>
      <c r="C7" t="inlineStr">
        <is>
          <t>Meet Zack</t>
        </is>
      </c>
      <c r="D7" t="s">
        <f>TEXT(A7,"mmm dd")</f>
        <v>18</v>
      </c>
      <c r="E7" t="str">
        <f>TEXT(B7,"hh:mm")</f>
        <v>15:00</v>
      </c>
      <c r="M7" t="str">
        <f>"REM "&amp;D7&amp;" +2 "&amp;"AT "&amp;E7&amp;" MSG "&amp;C7&amp;" %b%"</f>
        <v>REM Jul 04 +2 AT 15:00 MSG Meet Zack %b%</v>
      </c>
    </row>
    <row r="8" spans="1:15">
      <c r="A8" s="6">
        <v>45843</v>
      </c>
      <c r="B8" s="5">
        <v>0.70833333333333337</v>
      </c>
      <c r="C8" t="s">
        <v>19</v>
      </c>
      <c r="D8" t="s">
        <f>TEXT(A8,"mmm dd")</f>
        <v>20</v>
      </c>
      <c r="E8" t="s">
        <f>TEXT(B8,"hh:mm")</f>
        <v>21</v>
      </c>
      <c r="M8" t="str">
        <f>"REM "&amp;D8&amp;" +2 "&amp;"AT "&amp;E8&amp;" MSG "&amp;C8&amp;" %b%"</f>
        <v>REM Jul 05 +2 AT 17:00 MSG DH to celebrate %b%</v>
      </c>
    </row>
    <row r="9" spans="1:15">
      <c r="A9" s="6">
        <v>45844</v>
      </c>
      <c r="B9" s="5">
        <v>0.41666666666666669</v>
      </c>
      <c r="C9" t="s">
        <v>19</v>
      </c>
      <c r="D9" t="s">
        <f>TEXT(A9,"mmm dd")</f>
        <v>22</v>
      </c>
      <c r="E9" t="s">
        <f>TEXT(B9,"hh:mm")</f>
        <v>23</v>
      </c>
      <c r="M9" t="str">
        <f>"REM "&amp;D9&amp;" +2 "&amp;"AT "&amp;E9&amp;" MSG "&amp;C9&amp;" %b%"</f>
        <v>REM Jul 06 +2 AT 10:00 MSG DH to celebrate %b%</v>
      </c>
    </row>
    <row r="10" spans="1:15">
      <c r="A10" s="6">
        <v>45845</v>
      </c>
      <c r="B10" s="5">
        <v>0.33333333333333331</v>
      </c>
      <c r="C10" t="inlineStr">
        <is>
          <t>Dermatology follow-up</t>
        </is>
      </c>
      <c r="D10" t="s">
        <f>TEXT(A10,"mmm dd")</f>
        <v>24</v>
      </c>
      <c r="E10" t="str">
        <f>TEXT(B10,"hh:mm")</f>
        <v>08:00</v>
      </c>
      <c r="M10" t="str">
        <f>"REM "&amp;D10&amp;" +2 "&amp;"AT "&amp;E10&amp;" MSG "&amp;C10&amp;" %b%"</f>
        <v>REM Jul 07 +2 AT 08:00 MSG Dermatology follow-up %b%</v>
      </c>
    </row>
    <row r="11" spans="1:15">
      <c r="A11" s="6">
        <v>45863</v>
      </c>
      <c r="B11" s="5">
        <v>0.45833333333333331</v>
      </c>
      <c r="C11" t="inlineStr">
        <is>
          <t>Linda for DH</t>
        </is>
      </c>
      <c r="D11" t="s">
        <f>TEXT(A11,"mmm dd")</f>
        <v>25</v>
      </c>
      <c r="E11" t="str">
        <f>TEXT(B11,"hh:mm")</f>
        <v>11:00</v>
      </c>
      <c r="M11" t="str">
        <f>"REM "&amp;D11&amp;" +2 "&amp;"AT "&amp;E11&amp;" MSG "&amp;C11&amp;" %b%"</f>
        <v>REM Jul 25 +2 AT 11:00 MSG Linda for DH %b%</v>
      </c>
    </row>
    <row r="12" spans="1:15">
      <c r="A12" s="6">
        <v>45863</v>
      </c>
      <c r="B12" s="5">
        <v>0.70833333333333337</v>
      </c>
      <c r="C12" t="s">
        <v>26</v>
      </c>
      <c r="D12" t="s">
        <f>TEXT(A12,"mmm dd")</f>
        <v>25</v>
      </c>
      <c r="E12" t="s">
        <f>TEXT(B12,"hh:mm")</f>
        <v>21</v>
      </c>
      <c r="M12" t="str">
        <f>"REM "&amp;D12&amp;" +2 "&amp;"AT "&amp;E12&amp;" MSG "&amp;C12&amp;" %b%"</f>
        <v>REM Jul 25 +2 AT 17:00 MSG DH to preach %b%</v>
      </c>
    </row>
    <row r="13" spans="1:15">
      <c r="A13" s="6">
        <v>45864</v>
      </c>
      <c r="B13" s="5">
        <v>0.41666666666666669</v>
      </c>
      <c r="C13" t="s">
        <v>26</v>
      </c>
      <c r="D13" t="s">
        <f>TEXT(A13,"mmm dd")</f>
        <v>27</v>
      </c>
      <c r="E13" t="s">
        <f>TEXT(B13,"hh:mm")</f>
        <v>23</v>
      </c>
      <c r="M13" t="str">
        <f>"REM "&amp;D13&amp;" +2 "&amp;"AT "&amp;E13&amp;" MSG "&amp;C13&amp;" %b%"</f>
        <v>REM Jul 26 +2 AT 10:00 MSG DH to preach %b%</v>
      </c>
    </row>
    <row r="14" spans="1:15">
      <c r="A14" s="6">
        <v>45857</v>
      </c>
      <c r="B14" s="5">
        <v>0.70833333333333337</v>
      </c>
      <c r="C14" t="s">
        <v>19</v>
      </c>
      <c r="D14" t="s">
        <f>TEXT(A14,"mmm dd")</f>
        <v>28</v>
      </c>
      <c r="E14" t="s">
        <f>TEXT(B14,"hh:mm")</f>
        <v>21</v>
      </c>
      <c r="M14" t="str">
        <f>"REM "&amp;D14&amp;" +2 "&amp;"AT "&amp;E14&amp;" MSG "&amp;C14&amp;" %b%"</f>
        <v>REM Jul 19 +2 AT 17:00 MSG DH to celebrate %b%</v>
      </c>
    </row>
    <row r="15" spans="1:15">
      <c r="A15" s="6">
        <v>45858</v>
      </c>
      <c r="B15" s="5">
        <v>0.41666666666666669</v>
      </c>
      <c r="C15" t="s">
        <v>19</v>
      </c>
      <c r="D15" t="s">
        <f>TEXT(A15,"mmm dd")</f>
        <v>29</v>
      </c>
      <c r="E15" t="s">
        <f>TEXT(B15,"hh:mm")</f>
        <v>23</v>
      </c>
      <c r="M15" t="str">
        <f>"REM "&amp;D15&amp;" +2 "&amp;"AT "&amp;E15&amp;" MSG "&amp;C15&amp;" %b%"</f>
        <v>REM Jul 20 +2 AT 10:00 MSG DH to celebrate %b%</v>
      </c>
    </row>
    <row r="16" spans="1:15">
      <c r="A16" s="6">
        <v>45961</v>
      </c>
      <c r="B16" s="5">
        <v>0.47916666666666669</v>
      </c>
      <c r="C16" t="inlineStr">
        <is>
          <t>MPH to LA Fitness</t>
        </is>
      </c>
      <c r="D16" t="s">
        <f>TEXT(A16,"mmm dd")</f>
        <v>30</v>
      </c>
      <c r="E16" t="s">
        <f>TEXT(B16,"hh:mm")</f>
        <v>31</v>
      </c>
      <c r="M16" t="str">
        <f>"REM "&amp;D16&amp;" +2 "&amp;"AT "&amp;E16&amp;" MSG "&amp;C16&amp;" %b%"</f>
        <v>REM Oct 31 +2 AT 11:30 MSG MPH to LA Fitness %b%</v>
      </c>
    </row>
    <row r="17" spans="1:15">
      <c r="A17" s="6">
        <v>45963</v>
      </c>
      <c r="B17" s="5">
        <v>0.5</v>
      </c>
      <c r="C17" t="inlineStr">
        <is>
          <t>MPH to Vestry</t>
        </is>
      </c>
      <c r="D17" t="s">
        <f>TEXT(A17,"mmm dd")</f>
        <v>32</v>
      </c>
      <c r="E17" t="str">
        <f>TEXT(B17,"hh:mm")</f>
        <v>12:00</v>
      </c>
      <c r="M17" t="str">
        <f>"REM "&amp;D17&amp;" +2 "&amp;"AT "&amp;E17&amp;" MSG "&amp;C17&amp;" %b%"</f>
        <v>REM Nov 02 +2 AT 12:00 MSG MPH to Vestry %b%</v>
      </c>
    </row>
    <row r="18" spans="1:15">
      <c r="A18" s="6">
        <v>45964</v>
      </c>
      <c r="B18" s="5">
        <v>0.47916666666666669</v>
      </c>
      <c r="C18" t="inlineStr">
        <is>
          <t>MPH to dermatologist</t>
        </is>
      </c>
      <c r="D18" t="s">
        <f>TEXT(A18,"mmm dd")</f>
        <v>33</v>
      </c>
      <c r="E18" t="s">
        <f>TEXT(B18,"hh:mm")</f>
        <v>31</v>
      </c>
      <c r="M18" t="str">
        <f>"REM "&amp;D18&amp;" +2 "&amp;"AT "&amp;E18&amp;" MSG "&amp;C18&amp;" %b%"</f>
        <v>REM Nov 03 +2 AT 11:30 MSG MPH to dermatologist %b%</v>
      </c>
    </row>
    <row r="19" spans="1:15">
      <c r="A19" s="6">
        <v>45965</v>
      </c>
      <c r="B19" s="5">
        <v>0.54166666666666663</v>
      </c>
      <c r="C19" t="inlineStr">
        <is>
          <t>DH to Kalani Ultrasound</t>
        </is>
      </c>
      <c r="D19" t="s">
        <f>TEXT(A19,"mmm dd")</f>
        <v>34</v>
      </c>
      <c r="E19" t="s">
        <f>TEXT(B19,"hh:mm")</f>
        <v>17</v>
      </c>
      <c r="M19" t="str">
        <f>"REM "&amp;D19&amp;" +2 "&amp;"AT "&amp;E19&amp;" MSG "&amp;C19&amp;" %b%"</f>
        <v>REM Nov 04 +2 AT 13:00 MSG DH to Kalani Ultrasound %b%</v>
      </c>
    </row>
    <row r="20" spans="1:15">
      <c r="A20" s="6">
        <v>45966</v>
      </c>
      <c r="B20" s="5">
        <v>0.54166666666666663</v>
      </c>
      <c r="C20" t="inlineStr">
        <is>
          <t>Lunch with Priscilla - Steve</t>
        </is>
      </c>
      <c r="D20" t="s">
        <f>TEXT(A20,"mmm dd")</f>
        <v>35</v>
      </c>
      <c r="E20" t="s">
        <f>TEXT(B20,"hh:mm")</f>
        <v>17</v>
      </c>
      <c r="M20" t="str">
        <f>"REM "&amp;D20&amp;" +2 "&amp;"AT "&amp;E20&amp;" MSG "&amp;C20&amp;" %b%"</f>
        <v>REM Nov 05 +2 AT 13:00 MSG Lunch with Priscilla - Steve %b%</v>
      </c>
    </row>
    <row r="21" spans="1:15">
      <c r="A21" s="6">
        <v>45969</v>
      </c>
      <c r="B21" s="5">
        <v>0.375</v>
      </c>
      <c r="C21" t="inlineStr">
        <is>
          <t>CP intro workshop</t>
        </is>
      </c>
      <c r="D21" t="s">
        <f>TEXT(A21,"mmm dd")</f>
        <v>36</v>
      </c>
      <c r="E21" t="str">
        <f>TEXT(B21,"hh:mm")</f>
        <v>09:00</v>
      </c>
      <c r="M21" t="str">
        <f>"REM "&amp;D21&amp;" +2 "&amp;"AT "&amp;E21&amp;" MSG "&amp;C21&amp;" %b%"</f>
        <v>REM Nov 08 +2 AT 09:00 MSG CP intro workshop %b%</v>
      </c>
    </row>
    <row r="22" spans="1:15">
      <c r="A22" s="6">
        <v>45974</v>
      </c>
      <c r="B22" s="5">
        <v>0.64583333333333337</v>
      </c>
      <c r="C22" t="inlineStr">
        <is>
          <t>DH Kalani followup</t>
        </is>
      </c>
      <c r="D22" t="s">
        <f>TEXT(A22,"mmm dd")</f>
        <v>37</v>
      </c>
      <c r="E22" t="str">
        <f>TEXT(B22,"hh:mm")</f>
        <v>15:30</v>
      </c>
      <c r="M22" t="str">
        <f>"REM "&amp;D22&amp;" +2 "&amp;"AT "&amp;E22&amp;" MSG "&amp;C22&amp;" %b%"</f>
        <v>REM Nov 13 +2 AT 15:30 MSG DH Kalani followup %b%</v>
      </c>
    </row>
    <row r="23" spans="1:15">
      <c r="D23" t="s">
        <f>TEXT(A23,"mmm dd")</f>
        <v>38</v>
      </c>
      <c r="E23" t="s">
        <f>TEXT(B23,"hh:mm")</f>
        <v>39</v>
      </c>
      <c r="M23" t="str">
        <f>"REM "&amp;D23&amp;" +2 "&amp;"AT "&amp;E23&amp;" MSG "&amp;C23&amp;" %b%"</f>
        <v>REM Dec 30 +2 AT 00:00 MSG  %b%</v>
      </c>
    </row>
    <row r="24" spans="1:15">
      <c r="E24" t="s">
        <f>TEXT(B24,"hh:mm")</f>
        <v>39</v>
      </c>
      <c r="M24" t="s">
        <f>"REM "&amp;D24&amp;" +2 "&amp;"AT "&amp;E24&amp;" MSG "&amp;C24&amp;" %b%"</f>
        <v>40</v>
      </c>
    </row>
    <row r="25" spans="1:15">
      <c r="E25" t="s">
        <f>TEXT(B25,"hh:mm")</f>
        <v>39</v>
      </c>
      <c r="M25" t="s">
        <f>"REM "&amp;D25&amp;" +2 "&amp;"AT "&amp;E25&amp;" MSG "&amp;C25&amp;" %b%"</f>
        <v>40</v>
      </c>
    </row>
    <row r="26" spans="1:15">
      <c r="E26" s="1"/>
    </row>
    <row r="27" spans="1:15">
      <c r="E27" s="1"/>
    </row>
    <row r="28" spans="1:15">
      <c r="E28" s="1"/>
    </row>
    <row r="29" spans="1:15">
      <c r="E29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W3920"/>
  <sheetViews>
    <sheetView topLeftCell="A1350" workbookViewId="0">
      <selection activeCell="E1356" sqref="E1356"/>
    </sheetView>
  </sheetViews>
  <sheetFormatPr defaultColWidth="12.63" defaultRowHeight="15.75"/>
  <cols>
    <col min="1" max="1" style="1" width="4.856850961538462" customWidth="1"/>
    <col min="2" max="2" style="1" width="5.428245192307693" customWidth="1"/>
    <col min="3" max="3" style="1" width="5.999639423076924" customWidth="1"/>
    <col min="4" max="4" style="1" width="5.57109375" customWidth="1"/>
    <col min="5" max="5" style="2" width="13.856310096153848" customWidth="1"/>
    <col min="6" max="6" style="1" width="31.75" customWidth="1"/>
    <col min="7" max="7" style="1" width="15.13" customWidth="1"/>
    <col min="8" max="8" style="1" width="9.88" customWidth="1"/>
    <col min="9" max="15" style="1" width="12.63" hidden="1" bestFit="1" customWidth="1"/>
    <col min="16" max="16384" style="1" width="2.4055697115384618"/>
  </cols>
  <sheetData>
    <row r="1" spans="1:23">
      <c r="D1" s="3" t="s">
        <v>0</v>
      </c>
      <c r="E1" t="s">
        <v>1</v>
      </c>
      <c r="F1" t="s">
        <v>2</v>
      </c>
      <c r="G1" t="s">
        <v>3</v>
      </c>
      <c r="H1" t="s">
        <f>TEXT(E1,"h AM/PM")</f>
        <v>1</v>
      </c>
      <c r="P1" t="s">
        <f>"REM "&amp;G1&amp;" +2 MSG "&amp;F1&amp;" %b%"</f>
        <v>5</v>
      </c>
    </row>
    <row r="2" spans="1:23">
      <c r="A2">
        <v>1</v>
      </c>
      <c r="B2">
        <v>4</v>
      </c>
      <c r="C2">
        <v>2008</v>
      </c>
      <c r="D2" s="3" t="s">
        <f>B2&amp;"/"&amp;A2&amp;"/"&amp;C2</f>
        <v>41</v>
      </c>
      <c r="E2" t="s">
        <v>42</v>
      </c>
      <c r="F2" t="s">
        <f>I2&amp;" "&amp;J2&amp;" "&amp;K2&amp;" "&amp;L2&amp;" "&amp;M2&amp;" "&amp;N2</f>
        <v>6</v>
      </c>
      <c r="G2" t="s">
        <f>TEXT(D2,"mmm dd")</f>
        <v>43</v>
      </c>
      <c r="H2" t="s">
        <f>TEXT(E2,"h:mm AM/PM")</f>
        <v>42</v>
      </c>
      <c r="I2" t="s">
        <v>8</v>
      </c>
      <c r="J2" t="s">
        <v>9</v>
      </c>
      <c r="K2" t="s">
        <v>10</v>
      </c>
      <c r="P2" t="s">
        <f>"REM "&amp;G2&amp;" +2 MSG "&amp;F2&amp;" %b%"</f>
        <v>44</v>
      </c>
    </row>
    <row r="3" spans="1:23">
      <c r="A3">
        <v>1</v>
      </c>
      <c r="B3">
        <v>4</v>
      </c>
      <c r="C3">
        <v>2008</v>
      </c>
      <c r="D3" s="3" t="s">
        <f>B3&amp;"/"&amp;A3&amp;"/"&amp;C3</f>
        <v>41</v>
      </c>
      <c r="E3">
        <v>0.88541666666666663</v>
      </c>
      <c r="F3" t="s">
        <f>I3&amp;" "&amp;J3&amp;" "&amp;K3&amp;" "&amp;L3&amp;" "&amp;M3&amp;" "&amp;N3</f>
        <v>45</v>
      </c>
      <c r="G3" t="s">
        <f>TEXT(D3,"mmm dd")</f>
        <v>43</v>
      </c>
      <c r="H3" t="str">
        <f>TEXT(E3,"h:mm AM/PM")</f>
        <v>9:15 PM</v>
      </c>
      <c r="I3" t="s">
        <v>46</v>
      </c>
      <c r="J3" t="s">
        <v>47</v>
      </c>
      <c r="K3" t="s">
        <v>48</v>
      </c>
      <c r="L3" t="s">
        <v>49</v>
      </c>
      <c r="P3" t="s">
        <f>"REM "&amp;G3&amp;" +2 MSG "&amp;F3&amp;" %b%"</f>
        <v>50</v>
      </c>
    </row>
    <row r="4" spans="1:23">
      <c r="A4">
        <v>1</v>
      </c>
      <c r="B4">
        <v>4</v>
      </c>
      <c r="C4">
        <v>2008</v>
      </c>
      <c r="D4" s="3" t="s">
        <f>B4&amp;"/"&amp;A4&amp;"/"&amp;C4</f>
        <v>41</v>
      </c>
      <c r="E4">
        <v>0.88541666666666663</v>
      </c>
      <c r="F4" t="s">
        <f>I4&amp;" "&amp;J4&amp;" "&amp;K4&amp;" "&amp;L4&amp;" "&amp;M4&amp;" "&amp;N4</f>
        <v>51</v>
      </c>
      <c r="G4" t="s">
        <f>TEXT(D4,"mmm dd")</f>
        <v>43</v>
      </c>
      <c r="I4" t="s">
        <v>52</v>
      </c>
      <c r="J4" t="s">
        <v>53</v>
      </c>
      <c r="K4" t="s">
        <v>54</v>
      </c>
      <c r="L4" t="s">
        <v>55</v>
      </c>
      <c r="P4" t="s">
        <f>"REM "&amp;G4&amp;" +2 MSG "&amp;F4&amp;" %b%"</f>
        <v>56</v>
      </c>
    </row>
    <row r="5" spans="1:23">
      <c r="A5">
        <v>1</v>
      </c>
      <c r="B5">
        <v>4</v>
      </c>
      <c r="C5">
        <v>2008</v>
      </c>
      <c r="D5" s="3" t="s">
        <f>B5&amp;"/"&amp;A5&amp;"/"&amp;C5</f>
        <v>41</v>
      </c>
      <c r="E5" t="s">
        <v>42</v>
      </c>
      <c r="F5" t="s">
        <f>I5&amp;" "&amp;J5&amp;" "&amp;K5&amp;" "&amp;L5&amp;" "&amp;M5&amp;" "&amp;N5</f>
        <v>57</v>
      </c>
      <c r="G5" t="s">
        <f>TEXT(D5,"mmm dd")</f>
        <v>43</v>
      </c>
      <c r="I5" t="s">
        <v>58</v>
      </c>
      <c r="J5" t="s">
        <v>59</v>
      </c>
      <c r="K5" t="s">
        <v>60</v>
      </c>
      <c r="L5" t="s">
        <v>61</v>
      </c>
      <c r="M5">
        <v>1872</v>
      </c>
      <c r="P5" t="s">
        <f>"REM "&amp;G5&amp;" +2 MSG "&amp;F5&amp;" %b%"</f>
        <v>62</v>
      </c>
    </row>
    <row r="6" spans="1:23">
      <c r="A6">
        <v>1</v>
      </c>
      <c r="B6">
        <v>4</v>
      </c>
      <c r="C6">
        <v>2008</v>
      </c>
      <c r="D6" s="3" t="s">
        <f>B6&amp;"/"&amp;A6&amp;"/"&amp;C6</f>
        <v>41</v>
      </c>
      <c r="E6">
        <v>0.88541666666666663</v>
      </c>
      <c r="F6" t="s">
        <f>I6&amp;" "&amp;J6&amp;" "&amp;K6&amp;" "&amp;L6&amp;" "&amp;M6&amp;" "&amp;N6</f>
        <v>51</v>
      </c>
      <c r="G6" t="s">
        <f>TEXT(D6,"mmm dd")</f>
        <v>43</v>
      </c>
      <c r="I6" t="s">
        <v>52</v>
      </c>
      <c r="J6" t="s">
        <v>53</v>
      </c>
      <c r="K6" t="s">
        <v>54</v>
      </c>
      <c r="L6" t="s">
        <v>55</v>
      </c>
      <c r="P6" t="s">
        <f>"REM "&amp;G6&amp;" +2 MSG "&amp;F6&amp;" %b%"</f>
        <v>56</v>
      </c>
    </row>
    <row r="7" spans="1:23">
      <c r="A7">
        <v>1</v>
      </c>
      <c r="B7">
        <v>4</v>
      </c>
      <c r="C7">
        <v>2008</v>
      </c>
      <c r="D7" s="3" t="s">
        <f>B7&amp;"/"&amp;A7&amp;"/"&amp;C7</f>
        <v>41</v>
      </c>
      <c r="E7" t="s">
        <v>42</v>
      </c>
      <c r="F7" t="s">
        <f>I7&amp;" "&amp;J7&amp;" "&amp;K7&amp;" "&amp;L7&amp;" "&amp;M7&amp;" "&amp;N7</f>
        <v>6</v>
      </c>
      <c r="G7" t="s">
        <f>TEXT(D7,"mmm dd")</f>
        <v>43</v>
      </c>
      <c r="I7" t="s">
        <v>8</v>
      </c>
      <c r="J7" t="s">
        <v>9</v>
      </c>
      <c r="K7" t="s">
        <v>10</v>
      </c>
      <c r="P7" t="s">
        <f>"REM "&amp;G7&amp;" +2 MSG "&amp;F7&amp;" %b%"</f>
        <v>44</v>
      </c>
    </row>
    <row r="8" spans="1:23">
      <c r="A8">
        <v>1</v>
      </c>
      <c r="B8">
        <v>4</v>
      </c>
      <c r="C8">
        <v>2008</v>
      </c>
      <c r="D8" s="3" t="s">
        <f>B8&amp;"/"&amp;A8&amp;"/"&amp;C8</f>
        <v>41</v>
      </c>
      <c r="E8">
        <v>0.88541666666666663</v>
      </c>
      <c r="F8" t="s">
        <f>I8&amp;" "&amp;J8&amp;" "&amp;K8&amp;" "&amp;L8&amp;" "&amp;M8&amp;" "&amp;N8</f>
        <v>45</v>
      </c>
      <c r="G8" t="s">
        <f>TEXT(D8,"mmm dd")</f>
        <v>43</v>
      </c>
      <c r="I8" t="s">
        <v>46</v>
      </c>
      <c r="J8" t="s">
        <v>47</v>
      </c>
      <c r="K8" t="s">
        <v>48</v>
      </c>
      <c r="L8" t="s">
        <v>49</v>
      </c>
      <c r="P8" t="s">
        <f>"REM "&amp;G8&amp;" +2 MSG "&amp;F8&amp;" %b%"</f>
        <v>50</v>
      </c>
    </row>
    <row r="9" spans="1:23">
      <c r="A9">
        <v>1</v>
      </c>
      <c r="B9">
        <v>4</v>
      </c>
      <c r="C9">
        <v>2008</v>
      </c>
      <c r="D9" s="3" t="s">
        <f>B9&amp;"/"&amp;A9&amp;"/"&amp;C9</f>
        <v>41</v>
      </c>
      <c r="E9" t="s">
        <v>42</v>
      </c>
      <c r="F9" t="s">
        <f>I9&amp;" "&amp;J9&amp;" "&amp;K9&amp;" "&amp;L9&amp;" "&amp;M9&amp;" "&amp;N9</f>
        <v>57</v>
      </c>
      <c r="G9" t="s">
        <f>TEXT(D9,"mmm dd")</f>
        <v>43</v>
      </c>
      <c r="I9" t="s">
        <v>58</v>
      </c>
      <c r="J9" t="s">
        <v>59</v>
      </c>
      <c r="K9" t="s">
        <v>60</v>
      </c>
      <c r="L9" t="s">
        <v>61</v>
      </c>
      <c r="M9">
        <v>1872</v>
      </c>
      <c r="P9" t="s">
        <f>"REM "&amp;G9&amp;" +2 MSG "&amp;F9&amp;" %b%"</f>
        <v>62</v>
      </c>
    </row>
    <row r="10" spans="1:23">
      <c r="A10">
        <v>2</v>
      </c>
      <c r="B10">
        <v>4</v>
      </c>
      <c r="C10">
        <v>2008</v>
      </c>
      <c r="D10" s="3" t="s">
        <f>B10&amp;"/"&amp;A10&amp;"/"&amp;C10</f>
        <v>63</v>
      </c>
      <c r="E10">
        <v>0.9375</v>
      </c>
      <c r="F10" t="s">
        <f>I10&amp;" "&amp;J10&amp;" "&amp;K10&amp;" "&amp;L10&amp;" "&amp;M10&amp;" "&amp;N10</f>
        <v>64</v>
      </c>
      <c r="G10" t="s">
        <f>TEXT(D10,"mmm dd")</f>
        <v>65</v>
      </c>
      <c r="I10" t="s">
        <v>66</v>
      </c>
      <c r="P10" t="s">
        <f>"REM "&amp;G10&amp;" +2 MSG "&amp;F10&amp;" %b%"</f>
        <v>67</v>
      </c>
    </row>
    <row r="11" spans="1:23">
      <c r="A11">
        <v>2</v>
      </c>
      <c r="B11">
        <v>4</v>
      </c>
      <c r="C11">
        <v>2008</v>
      </c>
      <c r="D11" s="3" t="s">
        <f>B11&amp;"/"&amp;A11&amp;"/"&amp;C11</f>
        <v>63</v>
      </c>
      <c r="E11">
        <v>1.0416666666666667</v>
      </c>
      <c r="F11" t="s">
        <f>I11&amp;" "&amp;J11&amp;" "&amp;K11&amp;" "&amp;L11&amp;" "&amp;M11&amp;" "&amp;N11</f>
        <v>68</v>
      </c>
      <c r="G11" t="s">
        <f>TEXT(D11,"mmm dd")</f>
        <v>65</v>
      </c>
      <c r="I11" t="s">
        <v>69</v>
      </c>
      <c r="P11" t="s">
        <f>"REM "&amp;G11&amp;" +2 MSG "&amp;F11&amp;" %b%"</f>
        <v>70</v>
      </c>
    </row>
    <row r="12" spans="1:23">
      <c r="A12">
        <v>2</v>
      </c>
      <c r="B12">
        <v>4</v>
      </c>
      <c r="C12">
        <v>2008</v>
      </c>
      <c r="D12" s="3" t="s">
        <f>B12&amp;"/"&amp;A12&amp;"/"&amp;C12</f>
        <v>63</v>
      </c>
      <c r="E12">
        <v>1</v>
      </c>
      <c r="F12" t="s">
        <f>I12&amp;" "&amp;J12&amp;" "&amp;K12&amp;" "&amp;L12&amp;" "&amp;M12&amp;" "&amp;N12</f>
        <v>71</v>
      </c>
      <c r="G12" t="s">
        <f>TEXT(D12,"mmm dd")</f>
        <v>65</v>
      </c>
      <c r="I12" t="s">
        <v>72</v>
      </c>
      <c r="J12" t="s">
        <v>73</v>
      </c>
      <c r="K12" t="s">
        <v>74</v>
      </c>
      <c r="P12" t="s">
        <f>"REM "&amp;G12&amp;" +2 MSG "&amp;F12&amp;" %b%"</f>
        <v>75</v>
      </c>
    </row>
    <row r="13" spans="1:23">
      <c r="A13">
        <v>2</v>
      </c>
      <c r="B13">
        <v>4</v>
      </c>
      <c r="C13">
        <v>2008</v>
      </c>
      <c r="D13" s="3" t="s">
        <f>B13&amp;"/"&amp;A13&amp;"/"&amp;C13</f>
        <v>63</v>
      </c>
      <c r="E13" t="s">
        <v>42</v>
      </c>
      <c r="F13" t="s">
        <f>I13&amp;" "&amp;J13&amp;" "&amp;K13&amp;" "&amp;L13&amp;" "&amp;M13&amp;" "&amp;N13</f>
        <v>76</v>
      </c>
      <c r="G13" t="s">
        <f>TEXT(D13,"mmm dd")</f>
        <v>65</v>
      </c>
      <c r="I13" t="s">
        <v>77</v>
      </c>
      <c r="J13" t="s">
        <v>78</v>
      </c>
      <c r="K13" t="s">
        <v>79</v>
      </c>
      <c r="L13" t="s">
        <v>61</v>
      </c>
      <c r="M13">
        <v>1876</v>
      </c>
      <c r="P13" t="s">
        <f>"REM "&amp;G13&amp;" +2 MSG "&amp;F13&amp;" %b%"</f>
        <v>80</v>
      </c>
    </row>
    <row r="14" spans="1:23">
      <c r="A14">
        <v>2</v>
      </c>
      <c r="B14">
        <v>4</v>
      </c>
      <c r="C14">
        <v>2008</v>
      </c>
      <c r="D14" s="3" t="s">
        <f>B14&amp;"/"&amp;A14&amp;"/"&amp;C14</f>
        <v>63</v>
      </c>
      <c r="E14">
        <v>0.9375</v>
      </c>
      <c r="F14" t="s">
        <f>I14&amp;" "&amp;J14&amp;" "&amp;K14&amp;" "&amp;L14&amp;" "&amp;M14&amp;" "&amp;N14</f>
        <v>64</v>
      </c>
      <c r="G14" t="s">
        <f>TEXT(D14,"mmm dd")</f>
        <v>65</v>
      </c>
      <c r="I14" t="s">
        <v>66</v>
      </c>
      <c r="P14" t="s">
        <f>"REM "&amp;G14&amp;" +2 MSG "&amp;F14&amp;" %b%"</f>
        <v>67</v>
      </c>
    </row>
    <row r="15" spans="1:23">
      <c r="A15">
        <v>2</v>
      </c>
      <c r="B15">
        <v>4</v>
      </c>
      <c r="C15">
        <v>2008</v>
      </c>
      <c r="D15" s="3" t="s">
        <f>B15&amp;"/"&amp;A15&amp;"/"&amp;C15</f>
        <v>63</v>
      </c>
      <c r="E15">
        <v>1</v>
      </c>
      <c r="F15" t="s">
        <f>I15&amp;" "&amp;J15&amp;" "&amp;K15&amp;" "&amp;L15&amp;" "&amp;M15&amp;" "&amp;N15</f>
        <v>71</v>
      </c>
      <c r="G15" t="s">
        <f>TEXT(D15,"mmm dd")</f>
        <v>65</v>
      </c>
      <c r="I15" t="s">
        <v>72</v>
      </c>
      <c r="J15" t="s">
        <v>73</v>
      </c>
      <c r="K15" t="s">
        <v>74</v>
      </c>
      <c r="P15" t="s">
        <f>"REM "&amp;G15&amp;" +2 MSG "&amp;F15&amp;" %b%"</f>
        <v>75</v>
      </c>
    </row>
    <row r="16" spans="1:23">
      <c r="A16">
        <v>2</v>
      </c>
      <c r="B16">
        <v>4</v>
      </c>
      <c r="C16">
        <v>2008</v>
      </c>
      <c r="D16" s="3" t="s">
        <f>B16&amp;"/"&amp;A16&amp;"/"&amp;C16</f>
        <v>63</v>
      </c>
      <c r="E16">
        <v>1.0416666666666667</v>
      </c>
      <c r="F16" t="s">
        <f>I16&amp;" "&amp;J16&amp;" "&amp;K16&amp;" "&amp;L16&amp;" "&amp;M16&amp;" "&amp;N16</f>
        <v>68</v>
      </c>
      <c r="G16" t="s">
        <f>TEXT(D16,"mmm dd")</f>
        <v>65</v>
      </c>
      <c r="I16" t="s">
        <v>69</v>
      </c>
      <c r="P16" t="s">
        <f>"REM "&amp;G16&amp;" +2 MSG "&amp;F16&amp;" %b%"</f>
        <v>70</v>
      </c>
    </row>
    <row r="17" spans="1:23">
      <c r="A17">
        <v>2</v>
      </c>
      <c r="B17">
        <v>4</v>
      </c>
      <c r="C17">
        <v>2008</v>
      </c>
      <c r="D17" s="3" t="s">
        <f>B17&amp;"/"&amp;A17&amp;"/"&amp;C17</f>
        <v>63</v>
      </c>
      <c r="E17" t="s">
        <v>42</v>
      </c>
      <c r="F17" t="s">
        <f>I17&amp;" "&amp;J17&amp;" "&amp;K17&amp;" "&amp;L17&amp;" "&amp;M17&amp;" "&amp;N17</f>
        <v>76</v>
      </c>
      <c r="G17" t="s">
        <f>TEXT(D17,"mmm dd")</f>
        <v>65</v>
      </c>
      <c r="I17" t="s">
        <v>77</v>
      </c>
      <c r="J17" t="s">
        <v>78</v>
      </c>
      <c r="K17" t="s">
        <v>79</v>
      </c>
      <c r="L17" t="s">
        <v>61</v>
      </c>
      <c r="M17">
        <v>1876</v>
      </c>
      <c r="P17" t="s">
        <f>"REM "&amp;G17&amp;" +2 MSG "&amp;F17&amp;" %b%"</f>
        <v>80</v>
      </c>
    </row>
    <row r="18" spans="1:23">
      <c r="A18">
        <v>3</v>
      </c>
      <c r="B18">
        <v>4</v>
      </c>
      <c r="C18">
        <v>2008</v>
      </c>
      <c r="D18" s="3" t="s">
        <f>B18&amp;"/"&amp;A18&amp;"/"&amp;C18</f>
        <v>81</v>
      </c>
      <c r="E18" t="s">
        <v>42</v>
      </c>
      <c r="F18" t="s">
        <f>I18&amp;" "&amp;J18&amp;" "&amp;K18&amp;" "&amp;L18&amp;" "&amp;M18&amp;" "&amp;N18</f>
        <v>82</v>
      </c>
      <c r="G18" t="s">
        <f>TEXT(D18,"mmm dd")</f>
        <v>83</v>
      </c>
      <c r="I18" t="s">
        <v>84</v>
      </c>
      <c r="J18" t="s">
        <v>85</v>
      </c>
      <c r="K18" t="s">
        <v>86</v>
      </c>
      <c r="L18" t="s">
        <v>87</v>
      </c>
      <c r="M18">
        <v>1253</v>
      </c>
      <c r="P18" t="s">
        <f>"REM "&amp;G18&amp;" +2 MSG "&amp;F18&amp;" %b%"</f>
        <v>88</v>
      </c>
    </row>
    <row r="19" spans="1:23">
      <c r="A19">
        <v>3</v>
      </c>
      <c r="B19">
        <v>4</v>
      </c>
      <c r="C19">
        <v>2008</v>
      </c>
      <c r="D19" s="3" t="s">
        <f>B19&amp;"/"&amp;A19&amp;"/"&amp;C19</f>
        <v>81</v>
      </c>
      <c r="E19" t="s">
        <v>42</v>
      </c>
      <c r="F19" t="s">
        <f>I19&amp;" "&amp;J19&amp;" "&amp;K19&amp;" "&amp;L19&amp;" "&amp;M19&amp;" "&amp;N19</f>
        <v>82</v>
      </c>
      <c r="G19" t="s">
        <f>TEXT(D19,"mmm dd")</f>
        <v>83</v>
      </c>
      <c r="I19" t="s">
        <v>84</v>
      </c>
      <c r="J19" t="s">
        <v>85</v>
      </c>
      <c r="K19" t="s">
        <v>86</v>
      </c>
      <c r="L19" t="s">
        <v>87</v>
      </c>
      <c r="M19">
        <v>1253</v>
      </c>
      <c r="P19" t="s">
        <f>"REM "&amp;G19&amp;" +2 MSG "&amp;F19&amp;" %b%"</f>
        <v>88</v>
      </c>
    </row>
    <row r="20" spans="1:23">
      <c r="A20">
        <v>4</v>
      </c>
      <c r="B20">
        <v>4</v>
      </c>
      <c r="C20">
        <v>2008</v>
      </c>
      <c r="D20" s="3" t="s">
        <f>B20&amp;"/"&amp;A20&amp;"/"&amp;C20</f>
        <v>89</v>
      </c>
      <c r="E20" t="s">
        <v>42</v>
      </c>
      <c r="F20" t="s">
        <f>I20&amp;" "&amp;J20&amp;" "&amp;K20&amp;" "&amp;L20&amp;" "&amp;M20&amp;" "&amp;N20</f>
        <v>90</v>
      </c>
      <c r="G20" t="s">
        <f>TEXT(D20,"mmm dd")</f>
        <v>91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97</v>
      </c>
      <c r="P20" t="s">
        <f>"REM "&amp;G20&amp;" +2 MSG "&amp;F20&amp;" %b%"</f>
        <v>98</v>
      </c>
    </row>
    <row r="21" spans="1:23">
      <c r="A21">
        <v>4</v>
      </c>
      <c r="B21">
        <v>4</v>
      </c>
      <c r="C21">
        <v>2008</v>
      </c>
      <c r="D21" s="3" t="s">
        <f>B21&amp;"/"&amp;A21&amp;"/"&amp;C21</f>
        <v>89</v>
      </c>
      <c r="E21">
        <v>0.3125</v>
      </c>
      <c r="F21" t="s">
        <f>I21&amp;" "&amp;J21&amp;" "&amp;K21&amp;" "&amp;L21&amp;" "&amp;M21&amp;" "&amp;N21</f>
        <v>99</v>
      </c>
      <c r="G21" t="s">
        <f>TEXT(D21,"mmm dd")</f>
        <v>91</v>
      </c>
      <c r="I21" t="s">
        <v>100</v>
      </c>
      <c r="J21" t="s">
        <v>101</v>
      </c>
      <c r="K21" t="s">
        <v>102</v>
      </c>
      <c r="L21" t="s">
        <v>103</v>
      </c>
      <c r="M21" t="s">
        <v>53</v>
      </c>
      <c r="N21" t="s">
        <v>104</v>
      </c>
      <c r="P21" t="s">
        <f>"REM "&amp;G21&amp;" +2 MSG "&amp;F21&amp;" %b%"</f>
        <v>105</v>
      </c>
    </row>
    <row r="22" spans="1:23">
      <c r="A22">
        <v>4</v>
      </c>
      <c r="B22">
        <v>4</v>
      </c>
      <c r="C22">
        <v>2008</v>
      </c>
      <c r="D22" s="3" t="s">
        <f>B22&amp;"/"&amp;A22&amp;"/"&amp;C22</f>
        <v>89</v>
      </c>
      <c r="E22" t="s">
        <v>42</v>
      </c>
      <c r="F22" t="s">
        <f>I22&amp;" "&amp;J22&amp;" "&amp;K22&amp;" "&amp;L22&amp;" "&amp;M22&amp;" "&amp;N22</f>
        <v>90</v>
      </c>
      <c r="G22" t="s">
        <f>TEXT(D22,"mmm dd")</f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97</v>
      </c>
      <c r="P22" t="s">
        <f>"REM "&amp;G22&amp;" +2 MSG "&amp;F22&amp;" %b%"</f>
        <v>98</v>
      </c>
    </row>
    <row r="23" spans="1:23">
      <c r="A23">
        <v>4</v>
      </c>
      <c r="B23">
        <v>4</v>
      </c>
      <c r="C23">
        <v>2008</v>
      </c>
      <c r="D23" s="3" t="s">
        <f>B23&amp;"/"&amp;A23&amp;"/"&amp;C23</f>
        <v>89</v>
      </c>
      <c r="E23">
        <v>0.3125</v>
      </c>
      <c r="F23" t="s">
        <f>I23&amp;" "&amp;J23&amp;" "&amp;K23&amp;" "&amp;L23&amp;" "&amp;M23&amp;" "&amp;N23</f>
        <v>99</v>
      </c>
      <c r="G23" t="s">
        <f>TEXT(D23,"mmm dd")</f>
        <v>91</v>
      </c>
      <c r="I23" t="s">
        <v>100</v>
      </c>
      <c r="J23" t="s">
        <v>101</v>
      </c>
      <c r="K23" t="s">
        <v>102</v>
      </c>
      <c r="L23" t="s">
        <v>103</v>
      </c>
      <c r="M23" t="s">
        <v>53</v>
      </c>
      <c r="N23" t="s">
        <v>104</v>
      </c>
      <c r="P23" t="s">
        <f>"REM "&amp;G23&amp;" +2 MSG "&amp;F23&amp;" %b%"</f>
        <v>105</v>
      </c>
    </row>
    <row r="24" spans="1:23">
      <c r="A24">
        <v>5</v>
      </c>
      <c r="B24">
        <v>4</v>
      </c>
      <c r="C24">
        <v>2008</v>
      </c>
      <c r="D24" s="3" t="s">
        <f>B24&amp;"/"&amp;A24&amp;"/"&amp;C24</f>
        <v>106</v>
      </c>
      <c r="E24">
        <v>0.3125</v>
      </c>
      <c r="F24" t="s">
        <f>I24&amp;" "&amp;J24&amp;" "&amp;K24&amp;" "&amp;L24&amp;" "&amp;M24&amp;" "&amp;N24</f>
        <v>107</v>
      </c>
      <c r="G24" t="s">
        <f>TEXT(D24,"mmm dd")</f>
        <v>108</v>
      </c>
      <c r="I24" t="s">
        <v>109</v>
      </c>
      <c r="J24" t="s">
        <v>110</v>
      </c>
      <c r="P24" t="s">
        <f>"REM "&amp;G24&amp;" +2 MSG "&amp;F24&amp;" %b%"</f>
        <v>111</v>
      </c>
    </row>
    <row r="25" spans="1:23">
      <c r="A25">
        <v>5</v>
      </c>
      <c r="B25">
        <v>4</v>
      </c>
      <c r="C25">
        <v>2008</v>
      </c>
      <c r="D25" s="3" t="s">
        <f>B25&amp;"/"&amp;A25&amp;"/"&amp;C25</f>
        <v>106</v>
      </c>
      <c r="E25" t="s">
        <v>42</v>
      </c>
      <c r="F25" t="s">
        <f>I25&amp;" "&amp;J25&amp;" "&amp;K25&amp;" "&amp;L25&amp;" "&amp;M25&amp;" "&amp;N25</f>
        <v>112</v>
      </c>
      <c r="G25" t="s">
        <f>TEXT(D25,"mmm dd")</f>
        <v>108</v>
      </c>
      <c r="I25" t="s">
        <v>113</v>
      </c>
      <c r="J25" t="s">
        <v>114</v>
      </c>
      <c r="P25" t="s">
        <f>"REM "&amp;G25&amp;" +2 MSG "&amp;F25&amp;" %b%"</f>
        <v>115</v>
      </c>
    </row>
    <row r="26" spans="1:23">
      <c r="A26">
        <v>5</v>
      </c>
      <c r="B26">
        <v>4</v>
      </c>
      <c r="C26">
        <v>2008</v>
      </c>
      <c r="D26" s="3" t="s">
        <f>B26&amp;"/"&amp;A26&amp;"/"&amp;C26</f>
        <v>106</v>
      </c>
      <c r="E26" t="s">
        <v>42</v>
      </c>
      <c r="F26" t="s">
        <f>I26&amp;" "&amp;J26&amp;" "&amp;K26&amp;" "&amp;L26&amp;" "&amp;M26&amp;" "&amp;N26</f>
        <v>112</v>
      </c>
      <c r="G26" t="s">
        <f>TEXT(D26,"mmm dd")</f>
        <v>108</v>
      </c>
      <c r="I26" t="s">
        <v>113</v>
      </c>
      <c r="J26" t="s">
        <v>114</v>
      </c>
      <c r="P26" t="s">
        <f>"REM "&amp;G26&amp;" +2 MSG "&amp;F26&amp;" %b%"</f>
        <v>115</v>
      </c>
    </row>
    <row r="27" spans="1:23">
      <c r="A27">
        <v>5</v>
      </c>
      <c r="B27">
        <v>4</v>
      </c>
      <c r="C27">
        <v>2008</v>
      </c>
      <c r="D27" s="3" t="s">
        <f>B27&amp;"/"&amp;A27&amp;"/"&amp;C27</f>
        <v>106</v>
      </c>
      <c r="E27">
        <v>0.3125</v>
      </c>
      <c r="F27" t="s">
        <f>I27&amp;" "&amp;J27&amp;" "&amp;K27&amp;" "&amp;L27&amp;" "&amp;M27&amp;" "&amp;N27</f>
        <v>107</v>
      </c>
      <c r="G27" t="s">
        <f>TEXT(D27,"mmm dd")</f>
        <v>108</v>
      </c>
      <c r="I27" t="s">
        <v>109</v>
      </c>
      <c r="J27" t="s">
        <v>110</v>
      </c>
      <c r="P27" t="s">
        <f>"REM "&amp;G27&amp;" +2 MSG "&amp;F27&amp;" %b%"</f>
        <v>111</v>
      </c>
    </row>
    <row r="28" spans="1:23">
      <c r="A28">
        <v>6</v>
      </c>
      <c r="B28">
        <v>4</v>
      </c>
      <c r="C28">
        <v>2008</v>
      </c>
      <c r="D28" s="3" t="s">
        <f>B28&amp;"/"&amp;A28&amp;"/"&amp;C28</f>
        <v>116</v>
      </c>
      <c r="E28">
        <v>0.625</v>
      </c>
      <c r="F28" t="s">
        <f>I28&amp;" "&amp;J28&amp;" "&amp;K28&amp;" "&amp;L28&amp;" "&amp;M28&amp;" "&amp;N28</f>
        <v>117</v>
      </c>
      <c r="G28" t="s">
        <f>TEXT(D28,"mmm dd")</f>
        <v>118</v>
      </c>
      <c r="I28" t="s">
        <v>119</v>
      </c>
      <c r="J28" t="s">
        <v>120</v>
      </c>
      <c r="P28" t="s">
        <f>"REM "&amp;G28&amp;" +2 MSG "&amp;F28&amp;" %b%"</f>
        <v>121</v>
      </c>
    </row>
    <row r="29" spans="1:23">
      <c r="A29">
        <v>6</v>
      </c>
      <c r="B29">
        <v>4</v>
      </c>
      <c r="C29">
        <v>2008</v>
      </c>
      <c r="D29" s="3" t="s">
        <f>B29&amp;"/"&amp;A29&amp;"/"&amp;C29</f>
        <v>116</v>
      </c>
      <c r="E29" t="s">
        <v>42</v>
      </c>
      <c r="F29" t="s">
        <f>I29&amp;" "&amp;J29&amp;" "&amp;K29&amp;" "&amp;L29&amp;" "&amp;M29&amp;" "&amp;N29</f>
        <v>112</v>
      </c>
      <c r="G29" t="s">
        <f>TEXT(D29,"mmm dd")</f>
        <v>118</v>
      </c>
      <c r="I29" t="s">
        <v>113</v>
      </c>
      <c r="J29" t="s">
        <v>114</v>
      </c>
      <c r="P29" t="s">
        <f>"REM "&amp;G29&amp;" +2 MSG "&amp;F29&amp;" %b%"</f>
        <v>122</v>
      </c>
    </row>
    <row r="30" spans="1:23">
      <c r="A30">
        <v>6</v>
      </c>
      <c r="B30">
        <v>4</v>
      </c>
      <c r="C30">
        <v>2008</v>
      </c>
      <c r="D30" s="3" t="s">
        <f>B30&amp;"/"&amp;A30&amp;"/"&amp;C30</f>
        <v>116</v>
      </c>
      <c r="E30" t="s">
        <v>42</v>
      </c>
      <c r="F30" t="s">
        <f>I30&amp;" "&amp;J30&amp;" "&amp;K30&amp;" "&amp;L30&amp;" "&amp;M30&amp;" "&amp;N30</f>
        <v>112</v>
      </c>
      <c r="G30" t="s">
        <f>TEXT(D30,"mmm dd")</f>
        <v>118</v>
      </c>
      <c r="I30" t="s">
        <v>113</v>
      </c>
      <c r="J30" t="s">
        <v>114</v>
      </c>
      <c r="P30" t="s">
        <f>"REM "&amp;G30&amp;" +2 MSG "&amp;F30&amp;" %b%"</f>
        <v>122</v>
      </c>
    </row>
    <row r="31" spans="1:23">
      <c r="A31">
        <v>6</v>
      </c>
      <c r="B31">
        <v>4</v>
      </c>
      <c r="C31">
        <v>2008</v>
      </c>
      <c r="D31" s="3" t="s">
        <f>B31&amp;"/"&amp;A31&amp;"/"&amp;C31</f>
        <v>116</v>
      </c>
      <c r="E31">
        <v>0.625</v>
      </c>
      <c r="F31" t="s">
        <f>I31&amp;" "&amp;J31&amp;" "&amp;K31&amp;" "&amp;L31&amp;" "&amp;M31&amp;" "&amp;N31</f>
        <v>117</v>
      </c>
      <c r="G31" t="s">
        <f>TEXT(D31,"mmm dd")</f>
        <v>118</v>
      </c>
      <c r="I31" t="s">
        <v>119</v>
      </c>
      <c r="J31" t="s">
        <v>120</v>
      </c>
      <c r="P31" t="s">
        <f>"REM "&amp;G31&amp;" +2 MSG "&amp;F31&amp;" %b%"</f>
        <v>121</v>
      </c>
    </row>
    <row r="32" spans="1:23">
      <c r="A32">
        <v>7</v>
      </c>
      <c r="B32">
        <v>4</v>
      </c>
      <c r="C32">
        <v>2008</v>
      </c>
      <c r="D32" s="3" t="s">
        <f>B32&amp;"/"&amp;A32&amp;"/"&amp;C32</f>
        <v>123</v>
      </c>
      <c r="E32">
        <v>0.20833333333333334</v>
      </c>
      <c r="F32" t="s">
        <f>I32&amp;" "&amp;J32&amp;" "&amp;K32&amp;" "&amp;L32&amp;" "&amp;M32&amp;" "&amp;N32</f>
        <v>124</v>
      </c>
      <c r="G32" t="s">
        <f>TEXT(D32,"mmm dd")</f>
        <v>125</v>
      </c>
      <c r="I32" t="s">
        <v>113</v>
      </c>
      <c r="J32" t="s">
        <v>126</v>
      </c>
      <c r="K32" t="s">
        <v>53</v>
      </c>
      <c r="L32" t="s">
        <v>127</v>
      </c>
      <c r="M32" t="s">
        <v>128</v>
      </c>
      <c r="N32" t="s">
        <v>129</v>
      </c>
      <c r="P32" t="s">
        <f>"REM "&amp;G32&amp;" +2 MSG "&amp;F32&amp;" %b%"</f>
        <v>130</v>
      </c>
    </row>
    <row r="33" spans="1:23">
      <c r="A33">
        <v>7</v>
      </c>
      <c r="B33">
        <v>4</v>
      </c>
      <c r="C33">
        <v>2008</v>
      </c>
      <c r="D33" s="3" t="s">
        <f>B33&amp;"/"&amp;A33&amp;"/"&amp;C33</f>
        <v>123</v>
      </c>
      <c r="E33" t="s">
        <v>42</v>
      </c>
      <c r="F33" t="s">
        <f>I33&amp;" "&amp;J33&amp;" "&amp;K33&amp;" "&amp;L33&amp;" "&amp;M33&amp;" "&amp;N33</f>
        <v>131</v>
      </c>
      <c r="G33" t="s">
        <f>TEXT(D33,"mmm dd")</f>
        <v>125</v>
      </c>
      <c r="I33" t="s">
        <v>132</v>
      </c>
      <c r="J33" t="s">
        <v>133</v>
      </c>
      <c r="K33" t="s">
        <v>86</v>
      </c>
      <c r="L33" t="s">
        <v>134</v>
      </c>
      <c r="M33" t="s">
        <v>135</v>
      </c>
      <c r="N33" t="s">
        <v>136</v>
      </c>
      <c r="O33" t="s">
        <v>137</v>
      </c>
      <c r="P33" t="s">
        <f>"REM "&amp;G33&amp;" +2 MSG "&amp;F33&amp;" %b%"</f>
        <v>138</v>
      </c>
    </row>
    <row r="34" spans="1:23">
      <c r="A34">
        <v>7</v>
      </c>
      <c r="B34">
        <v>4</v>
      </c>
      <c r="C34">
        <v>2008</v>
      </c>
      <c r="D34" s="3" t="s">
        <f>B34&amp;"/"&amp;A34&amp;"/"&amp;C34</f>
        <v>123</v>
      </c>
      <c r="E34">
        <v>0.20833333333333334</v>
      </c>
      <c r="F34" t="s">
        <f>I34&amp;" "&amp;J34&amp;" "&amp;K34&amp;" "&amp;L34&amp;" "&amp;M34&amp;" "&amp;N34</f>
        <v>124</v>
      </c>
      <c r="G34" t="s">
        <f>TEXT(D34,"mmm dd")</f>
        <v>125</v>
      </c>
      <c r="I34" t="s">
        <v>113</v>
      </c>
      <c r="J34" t="s">
        <v>126</v>
      </c>
      <c r="K34" t="s">
        <v>53</v>
      </c>
      <c r="L34" t="s">
        <v>127</v>
      </c>
      <c r="M34" t="s">
        <v>128</v>
      </c>
      <c r="N34" t="s">
        <v>129</v>
      </c>
      <c r="P34" t="s">
        <f>"REM "&amp;G34&amp;" +2 MSG "&amp;F34&amp;" %b%"</f>
        <v>130</v>
      </c>
    </row>
    <row r="35" spans="1:23">
      <c r="A35">
        <v>7</v>
      </c>
      <c r="B35">
        <v>4</v>
      </c>
      <c r="C35">
        <v>2008</v>
      </c>
      <c r="D35" s="3" t="s">
        <f>B35&amp;"/"&amp;A35&amp;"/"&amp;C35</f>
        <v>123</v>
      </c>
      <c r="E35" t="s">
        <v>42</v>
      </c>
      <c r="F35" t="s">
        <f>I35&amp;" "&amp;J35&amp;" "&amp;K35&amp;" "&amp;L35&amp;" "&amp;M35&amp;" "&amp;N35</f>
        <v>131</v>
      </c>
      <c r="G35" t="s">
        <f>TEXT(D35,"mmm dd")</f>
        <v>125</v>
      </c>
      <c r="I35" t="s">
        <v>132</v>
      </c>
      <c r="J35" t="s">
        <v>133</v>
      </c>
      <c r="K35" t="s">
        <v>86</v>
      </c>
      <c r="L35" t="s">
        <v>134</v>
      </c>
      <c r="M35" t="s">
        <v>135</v>
      </c>
      <c r="N35" t="s">
        <v>136</v>
      </c>
      <c r="O35" t="s">
        <v>139</v>
      </c>
      <c r="P35" t="s">
        <f>"REM "&amp;G35&amp;" +2 MSG "&amp;F35&amp;" %b%"</f>
        <v>138</v>
      </c>
    </row>
    <row r="36" spans="1:23">
      <c r="A36">
        <v>8</v>
      </c>
      <c r="B36">
        <v>4</v>
      </c>
      <c r="C36">
        <v>2008</v>
      </c>
      <c r="D36" s="3" t="s">
        <f>B36&amp;"/"&amp;A36&amp;"/"&amp;C36</f>
        <v>140</v>
      </c>
      <c r="E36">
        <v>0.88541666666666663</v>
      </c>
      <c r="F36" t="s">
        <f>I36&amp;" "&amp;J36&amp;" "&amp;K36&amp;" "&amp;L36&amp;" "&amp;M36&amp;" "&amp;N36</f>
        <v>45</v>
      </c>
      <c r="G36" t="s">
        <f>TEXT(D36,"mmm dd")</f>
        <v>141</v>
      </c>
      <c r="I36" t="s">
        <v>46</v>
      </c>
      <c r="J36" t="s">
        <v>47</v>
      </c>
      <c r="K36" t="s">
        <v>48</v>
      </c>
      <c r="L36" t="s">
        <v>49</v>
      </c>
    </row>
    <row r="37" spans="1:23">
      <c r="A37">
        <v>8</v>
      </c>
      <c r="B37">
        <v>4</v>
      </c>
      <c r="C37">
        <v>2008</v>
      </c>
      <c r="D37" s="3" t="s">
        <f>B37&amp;"/"&amp;A37&amp;"/"&amp;C37</f>
        <v>140</v>
      </c>
      <c r="E37" t="s">
        <v>42</v>
      </c>
      <c r="F37" t="s">
        <f>I37&amp;" "&amp;J37&amp;" "&amp;K37&amp;" "&amp;L37&amp;" "&amp;M37&amp;" "&amp;N37</f>
        <v>142</v>
      </c>
      <c r="G37" t="s">
        <f>TEXT(D37,"mmm dd")</f>
        <v>141</v>
      </c>
      <c r="I37" t="s">
        <v>143</v>
      </c>
      <c r="J37" t="s">
        <v>144</v>
      </c>
      <c r="K37" t="s">
        <v>145</v>
      </c>
      <c r="L37" t="s">
        <v>61</v>
      </c>
      <c r="M37">
        <v>1877</v>
      </c>
    </row>
    <row r="38" spans="1:23">
      <c r="A38">
        <v>8</v>
      </c>
      <c r="B38">
        <v>4</v>
      </c>
      <c r="C38">
        <v>2008</v>
      </c>
      <c r="D38" s="3" t="s">
        <f>B38&amp;"/"&amp;A38&amp;"/"&amp;C38</f>
        <v>140</v>
      </c>
      <c r="E38">
        <v>0.88541666666666663</v>
      </c>
      <c r="F38" t="s">
        <f>I38&amp;" "&amp;J38&amp;" "&amp;K38&amp;" "&amp;L38&amp;" "&amp;M38&amp;" "&amp;N38</f>
        <v>45</v>
      </c>
      <c r="G38" t="s">
        <f>TEXT(D38,"mmm dd")</f>
        <v>141</v>
      </c>
      <c r="I38" t="s">
        <v>46</v>
      </c>
      <c r="J38" t="s">
        <v>47</v>
      </c>
      <c r="K38" t="s">
        <v>48</v>
      </c>
      <c r="L38" t="s">
        <v>49</v>
      </c>
    </row>
    <row r="39" spans="1:23">
      <c r="A39">
        <v>8</v>
      </c>
      <c r="B39">
        <v>4</v>
      </c>
      <c r="C39">
        <v>2008</v>
      </c>
      <c r="D39" s="3" t="s">
        <f>B39&amp;"/"&amp;A39&amp;"/"&amp;C39</f>
        <v>140</v>
      </c>
      <c r="E39" t="s">
        <v>42</v>
      </c>
      <c r="F39" t="s">
        <f>I39&amp;" "&amp;J39&amp;" "&amp;K39&amp;" "&amp;L39&amp;" "&amp;M39&amp;" "&amp;N39</f>
        <v>142</v>
      </c>
      <c r="G39" t="s">
        <f>TEXT(D39,"mmm dd")</f>
        <v>141</v>
      </c>
      <c r="I39" t="s">
        <v>143</v>
      </c>
      <c r="J39" t="s">
        <v>144</v>
      </c>
      <c r="K39" t="s">
        <v>145</v>
      </c>
      <c r="L39" t="s">
        <v>61</v>
      </c>
      <c r="M39">
        <v>1877</v>
      </c>
    </row>
    <row r="40" spans="1:23">
      <c r="A40">
        <v>9</v>
      </c>
      <c r="B40">
        <v>4</v>
      </c>
      <c r="C40">
        <v>2008</v>
      </c>
      <c r="D40" s="3" t="s">
        <f>B40&amp;"/"&amp;A40&amp;"/"&amp;C40</f>
        <v>146</v>
      </c>
      <c r="E40">
        <v>0.9375</v>
      </c>
      <c r="F40" t="s">
        <f>I40&amp;" "&amp;J40&amp;" "&amp;K40&amp;" "&amp;L40&amp;" "&amp;M40&amp;" "&amp;N40</f>
        <v>64</v>
      </c>
      <c r="G40" t="s">
        <f>TEXT(D40,"mmm dd")</f>
        <v>147</v>
      </c>
      <c r="I40" t="s">
        <v>66</v>
      </c>
    </row>
    <row r="41" spans="1:23">
      <c r="A41">
        <v>9</v>
      </c>
      <c r="B41">
        <v>4</v>
      </c>
      <c r="C41">
        <v>2008</v>
      </c>
      <c r="D41" s="3" t="s">
        <f>B41&amp;"/"&amp;A41&amp;"/"&amp;C41</f>
        <v>146</v>
      </c>
      <c r="E41">
        <v>1.0416666666666667</v>
      </c>
      <c r="F41" t="s">
        <f>I41&amp;" "&amp;J41&amp;" "&amp;K41&amp;" "&amp;L41&amp;" "&amp;M41&amp;" "&amp;N41</f>
        <v>68</v>
      </c>
      <c r="G41" t="s">
        <f>TEXT(D41,"mmm dd")</f>
        <v>147</v>
      </c>
      <c r="I41" t="s">
        <v>69</v>
      </c>
    </row>
    <row r="42" spans="1:23">
      <c r="A42">
        <v>9</v>
      </c>
      <c r="B42">
        <v>4</v>
      </c>
      <c r="C42">
        <v>2008</v>
      </c>
      <c r="D42" s="3" t="s">
        <f>B42&amp;"/"&amp;A42&amp;"/"&amp;C42</f>
        <v>146</v>
      </c>
      <c r="E42" t="s">
        <v>42</v>
      </c>
      <c r="F42" t="s">
        <f>I42&amp;" "&amp;J42&amp;" "&amp;K42&amp;" "&amp;L42&amp;" "&amp;M42&amp;" "&amp;N42</f>
        <v>148</v>
      </c>
      <c r="G42" t="s">
        <f>TEXT(D42,"mmm dd")</f>
        <v>147</v>
      </c>
      <c r="I42" t="s">
        <v>149</v>
      </c>
      <c r="J42" t="s">
        <v>150</v>
      </c>
      <c r="K42">
        <v>1945</v>
      </c>
    </row>
    <row r="43" spans="1:23">
      <c r="A43">
        <v>9</v>
      </c>
      <c r="B43">
        <v>4</v>
      </c>
      <c r="C43">
        <v>2008</v>
      </c>
      <c r="D43" s="3" t="s">
        <f>B43&amp;"/"&amp;A43&amp;"/"&amp;C43</f>
        <v>146</v>
      </c>
      <c r="E43">
        <v>1</v>
      </c>
      <c r="F43" t="s">
        <f>I43&amp;" "&amp;J43&amp;" "&amp;K43&amp;" "&amp;L43&amp;" "&amp;M43&amp;" "&amp;N43</f>
        <v>71</v>
      </c>
      <c r="G43" t="s">
        <f>TEXT(D43,"mmm dd")</f>
        <v>147</v>
      </c>
      <c r="I43" t="s">
        <v>72</v>
      </c>
      <c r="J43" t="s">
        <v>73</v>
      </c>
      <c r="K43" t="s">
        <v>74</v>
      </c>
    </row>
    <row r="44" spans="1:23">
      <c r="A44">
        <v>9</v>
      </c>
      <c r="B44">
        <v>4</v>
      </c>
      <c r="C44">
        <v>2008</v>
      </c>
      <c r="D44" s="3" t="s">
        <f>B44&amp;"/"&amp;A44&amp;"/"&amp;C44</f>
        <v>146</v>
      </c>
      <c r="E44">
        <v>1.0416666666666667</v>
      </c>
      <c r="F44" t="s">
        <f>I44&amp;" "&amp;J44&amp;" "&amp;K44&amp;" "&amp;L44&amp;" "&amp;M44&amp;" "&amp;N44</f>
        <v>68</v>
      </c>
      <c r="G44" t="s">
        <f>TEXT(D44,"mmm dd")</f>
        <v>147</v>
      </c>
      <c r="I44" t="s">
        <v>69</v>
      </c>
    </row>
    <row r="45" spans="1:23">
      <c r="A45">
        <v>9</v>
      </c>
      <c r="B45">
        <v>4</v>
      </c>
      <c r="C45">
        <v>2008</v>
      </c>
      <c r="D45" s="3" t="s">
        <f>B45&amp;"/"&amp;A45&amp;"/"&amp;C45</f>
        <v>146</v>
      </c>
      <c r="E45">
        <v>0.9375</v>
      </c>
      <c r="F45" t="s">
        <f>I45&amp;" "&amp;J45&amp;" "&amp;K45&amp;" "&amp;L45&amp;" "&amp;M45&amp;" "&amp;N45</f>
        <v>64</v>
      </c>
      <c r="G45" t="s">
        <f>TEXT(D45,"mmm dd")</f>
        <v>147</v>
      </c>
      <c r="I45" t="s">
        <v>66</v>
      </c>
    </row>
    <row r="46" spans="1:23">
      <c r="A46">
        <v>9</v>
      </c>
      <c r="B46">
        <v>4</v>
      </c>
      <c r="C46">
        <v>2008</v>
      </c>
      <c r="D46" s="3" t="s">
        <f>B46&amp;"/"&amp;A46&amp;"/"&amp;C46</f>
        <v>146</v>
      </c>
      <c r="E46" t="s">
        <v>42</v>
      </c>
      <c r="F46" t="s">
        <f>I46&amp;" "&amp;J46&amp;" "&amp;K46&amp;" "&amp;L46&amp;" "&amp;M46&amp;" "&amp;N46</f>
        <v>148</v>
      </c>
      <c r="G46" t="s">
        <f>TEXT(D46,"mmm dd")</f>
        <v>147</v>
      </c>
      <c r="I46" t="s">
        <v>149</v>
      </c>
      <c r="J46" t="s">
        <v>150</v>
      </c>
      <c r="K46">
        <v>1945</v>
      </c>
    </row>
    <row r="47" spans="1:23">
      <c r="A47">
        <v>9</v>
      </c>
      <c r="B47">
        <v>4</v>
      </c>
      <c r="C47">
        <v>2008</v>
      </c>
      <c r="D47" s="3" t="s">
        <f>B47&amp;"/"&amp;A47&amp;"/"&amp;C47</f>
        <v>146</v>
      </c>
      <c r="E47">
        <v>1</v>
      </c>
      <c r="F47" t="s">
        <f>I47&amp;" "&amp;J47&amp;" "&amp;K47&amp;" "&amp;L47&amp;" "&amp;M47&amp;" "&amp;N47</f>
        <v>71</v>
      </c>
      <c r="G47" t="s">
        <f>TEXT(D47,"mmm dd")</f>
        <v>147</v>
      </c>
      <c r="I47" t="s">
        <v>72</v>
      </c>
      <c r="J47" t="s">
        <v>73</v>
      </c>
      <c r="K47" t="s">
        <v>74</v>
      </c>
    </row>
    <row r="48" spans="1:23">
      <c r="A48">
        <v>10</v>
      </c>
      <c r="B48">
        <v>4</v>
      </c>
      <c r="C48">
        <v>2008</v>
      </c>
      <c r="D48" s="3" t="s">
        <f>B48&amp;"/"&amp;A48&amp;"/"&amp;C48</f>
        <v>151</v>
      </c>
      <c r="E48" t="s">
        <v>42</v>
      </c>
      <c r="F48" t="s">
        <f>I48&amp;" "&amp;J48&amp;" "&amp;K48&amp;" "&amp;L48&amp;" "&amp;M48&amp;" "&amp;N48</f>
        <v>152</v>
      </c>
      <c r="G48" t="s">
        <f>TEXT(D48,"mmm dd")</f>
        <v>153</v>
      </c>
      <c r="I48" t="s">
        <v>143</v>
      </c>
      <c r="J48" t="s">
        <v>154</v>
      </c>
      <c r="K48" t="s">
        <v>61</v>
      </c>
      <c r="L48">
        <v>1761</v>
      </c>
    </row>
    <row r="49" spans="1:23">
      <c r="A49">
        <v>10</v>
      </c>
      <c r="B49">
        <v>4</v>
      </c>
      <c r="C49">
        <v>2008</v>
      </c>
      <c r="D49" s="3" t="s">
        <f>B49&amp;"/"&amp;A49&amp;"/"&amp;C49</f>
        <v>151</v>
      </c>
      <c r="E49" t="s">
        <v>42</v>
      </c>
      <c r="F49" t="s">
        <f>I49&amp;" "&amp;J49&amp;" "&amp;K49&amp;" "&amp;L49&amp;" "&amp;M49&amp;" "&amp;N49</f>
        <v>155</v>
      </c>
      <c r="G49" t="s">
        <f>TEXT(D49,"mmm dd")</f>
        <v>153</v>
      </c>
      <c r="I49" t="s">
        <v>156</v>
      </c>
      <c r="J49" t="s">
        <v>157</v>
      </c>
    </row>
    <row r="50" spans="1:23">
      <c r="A50">
        <v>10</v>
      </c>
      <c r="B50">
        <v>4</v>
      </c>
      <c r="C50">
        <v>2008</v>
      </c>
      <c r="D50" s="3" t="s">
        <f>B50&amp;"/"&amp;A50&amp;"/"&amp;C50</f>
        <v>151</v>
      </c>
      <c r="E50" t="s">
        <v>42</v>
      </c>
      <c r="F50" t="s">
        <f>I50&amp;" "&amp;J50&amp;" "&amp;K50&amp;" "&amp;L50&amp;" "&amp;M50&amp;" "&amp;N50</f>
        <v>155</v>
      </c>
      <c r="G50" t="s">
        <f>TEXT(D50,"mmm dd")</f>
        <v>153</v>
      </c>
      <c r="I50" t="s">
        <v>156</v>
      </c>
      <c r="J50" t="s">
        <v>157</v>
      </c>
    </row>
    <row r="51" spans="1:23">
      <c r="A51">
        <v>10</v>
      </c>
      <c r="B51">
        <v>4</v>
      </c>
      <c r="C51">
        <v>2008</v>
      </c>
      <c r="D51" s="3" t="s">
        <f>B51&amp;"/"&amp;A51&amp;"/"&amp;C51</f>
        <v>151</v>
      </c>
      <c r="E51" t="s">
        <v>42</v>
      </c>
      <c r="F51" t="s">
        <f>I51&amp;" "&amp;J51&amp;" "&amp;K51&amp;" "&amp;L51&amp;" "&amp;M51&amp;" "&amp;N51</f>
        <v>152</v>
      </c>
      <c r="G51" t="s">
        <f>TEXT(D51,"mmm dd")</f>
        <v>153</v>
      </c>
      <c r="I51" t="s">
        <v>143</v>
      </c>
      <c r="J51" t="s">
        <v>154</v>
      </c>
      <c r="K51" t="s">
        <v>61</v>
      </c>
      <c r="L51">
        <v>1761</v>
      </c>
      <c r="O51" t="s">
        <v>158</v>
      </c>
    </row>
    <row r="52" spans="1:23">
      <c r="A52">
        <v>11</v>
      </c>
      <c r="B52">
        <v>4</v>
      </c>
      <c r="C52">
        <v>2008</v>
      </c>
      <c r="D52" s="3" t="s">
        <f>B52&amp;"/"&amp;A52&amp;"/"&amp;C52</f>
        <v>159</v>
      </c>
      <c r="E52" t="s">
        <v>42</v>
      </c>
      <c r="F52" t="s">
        <f>I52&amp;" "&amp;J52&amp;" "&amp;K52&amp;" "&amp;L52&amp;" "&amp;M52&amp;" "&amp;N52</f>
        <v>160</v>
      </c>
      <c r="G52" t="s">
        <f>TEXT(D52,"mmm dd")</f>
        <v>161</v>
      </c>
      <c r="I52" t="s">
        <v>162</v>
      </c>
      <c r="J52" t="s">
        <v>144</v>
      </c>
      <c r="K52" t="s">
        <v>163</v>
      </c>
      <c r="L52" t="s">
        <v>85</v>
      </c>
      <c r="M52" t="s">
        <v>86</v>
      </c>
      <c r="N52" t="s">
        <v>164</v>
      </c>
    </row>
    <row r="53" spans="1:23">
      <c r="A53">
        <v>11</v>
      </c>
      <c r="B53">
        <v>4</v>
      </c>
      <c r="C53">
        <v>2008</v>
      </c>
      <c r="D53" s="3" t="s">
        <f>B53&amp;"/"&amp;A53&amp;"/"&amp;C53</f>
        <v>159</v>
      </c>
      <c r="E53" t="s">
        <v>42</v>
      </c>
      <c r="F53" t="s">
        <f>I53&amp;" "&amp;J53&amp;" "&amp;K53&amp;" "&amp;L53&amp;" "&amp;M53&amp;" "&amp;N53</f>
        <v>160</v>
      </c>
      <c r="G53" t="s">
        <f>TEXT(D53,"mmm dd")</f>
        <v>161</v>
      </c>
      <c r="I53" t="s">
        <v>162</v>
      </c>
      <c r="J53" t="s">
        <v>144</v>
      </c>
      <c r="K53" t="s">
        <v>163</v>
      </c>
      <c r="L53" t="s">
        <v>85</v>
      </c>
      <c r="M53" t="s">
        <v>86</v>
      </c>
      <c r="N53" t="s">
        <v>164</v>
      </c>
      <c r="O53" t="s">
        <v>165</v>
      </c>
      <c r="P53" t="s">
        <v>166</v>
      </c>
    </row>
    <row r="54" spans="1:23">
      <c r="A54">
        <v>12</v>
      </c>
      <c r="B54">
        <v>4</v>
      </c>
      <c r="C54">
        <v>2008</v>
      </c>
      <c r="D54" s="3" t="s">
        <f>B54&amp;"/"&amp;A54&amp;"/"&amp;C54</f>
        <v>167</v>
      </c>
      <c r="E54">
        <v>0.3125</v>
      </c>
      <c r="F54" t="s">
        <f>I54&amp;" "&amp;J54&amp;" "&amp;K54&amp;" "&amp;L54&amp;" "&amp;M54&amp;" "&amp;N54</f>
        <v>107</v>
      </c>
      <c r="G54" t="s">
        <f>TEXT(D54,"mmm dd")</f>
        <v>168</v>
      </c>
      <c r="I54" t="s">
        <v>109</v>
      </c>
      <c r="J54" t="s">
        <v>110</v>
      </c>
    </row>
    <row r="55" spans="1:23">
      <c r="A55">
        <v>12</v>
      </c>
      <c r="B55">
        <v>4</v>
      </c>
      <c r="C55">
        <v>2008</v>
      </c>
      <c r="D55" s="3" t="s">
        <f>B55&amp;"/"&amp;A55&amp;"/"&amp;C55</f>
        <v>167</v>
      </c>
      <c r="E55">
        <v>1.1041666666666667</v>
      </c>
      <c r="F55" t="s">
        <f>I55&amp;" "&amp;J55&amp;" "&amp;K55&amp;" "&amp;L55&amp;" "&amp;M55&amp;" "&amp;N55</f>
        <v>169</v>
      </c>
      <c r="G55" t="s">
        <f>TEXT(D55,"mmm dd")</f>
        <v>168</v>
      </c>
      <c r="I55" t="s">
        <v>170</v>
      </c>
      <c r="J55" t="s">
        <v>53</v>
      </c>
      <c r="K55" t="s">
        <v>171</v>
      </c>
      <c r="L55">
        <v>1</v>
      </c>
    </row>
    <row r="56" spans="1:23">
      <c r="A56">
        <v>12</v>
      </c>
      <c r="B56">
        <v>4</v>
      </c>
      <c r="C56">
        <v>2008</v>
      </c>
      <c r="D56" s="3" t="s">
        <f>B56&amp;"/"&amp;A56&amp;"/"&amp;C56</f>
        <v>167</v>
      </c>
      <c r="E56">
        <v>0.3125</v>
      </c>
      <c r="F56" t="s">
        <f>I56&amp;" "&amp;J56&amp;" "&amp;K56&amp;" "&amp;L56&amp;" "&amp;M56&amp;" "&amp;N56</f>
        <v>107</v>
      </c>
      <c r="G56" t="s">
        <f>TEXT(D56,"mmm dd")</f>
        <v>168</v>
      </c>
      <c r="I56" t="s">
        <v>109</v>
      </c>
      <c r="J56" t="s">
        <v>110</v>
      </c>
    </row>
    <row r="57" spans="1:23">
      <c r="A57">
        <v>12</v>
      </c>
      <c r="B57">
        <v>4</v>
      </c>
      <c r="C57">
        <v>2008</v>
      </c>
      <c r="D57" s="3" t="s">
        <f>B57&amp;"/"&amp;A57&amp;"/"&amp;C57</f>
        <v>167</v>
      </c>
      <c r="E57">
        <v>1.1041666666666667</v>
      </c>
      <c r="F57" t="s">
        <f>I57&amp;" "&amp;J57&amp;" "&amp;K57&amp;" "&amp;L57&amp;" "&amp;M57&amp;" "&amp;N57</f>
        <v>169</v>
      </c>
      <c r="G57" t="s">
        <f>TEXT(D57,"mmm dd")</f>
        <v>168</v>
      </c>
      <c r="I57" t="s">
        <v>170</v>
      </c>
      <c r="J57" t="s">
        <v>53</v>
      </c>
      <c r="K57" t="s">
        <v>171</v>
      </c>
      <c r="L57">
        <v>1</v>
      </c>
    </row>
    <row r="58" spans="1:23">
      <c r="A58">
        <v>13</v>
      </c>
      <c r="B58">
        <v>4</v>
      </c>
      <c r="C58">
        <v>2008</v>
      </c>
      <c r="D58" s="3" t="s">
        <f>B58&amp;"/"&amp;A58&amp;"/"&amp;C58</f>
        <v>172</v>
      </c>
      <c r="E58">
        <v>0.97916666666666663</v>
      </c>
      <c r="F58" t="s">
        <f>I58&amp;" "&amp;J58&amp;" "&amp;K58&amp;" "&amp;L58&amp;" "&amp;M58&amp;" "&amp;N58</f>
        <v>173</v>
      </c>
      <c r="G58" t="s">
        <f>TEXT(D58,"mmm dd")</f>
        <v>174</v>
      </c>
      <c r="I58" t="s">
        <v>170</v>
      </c>
      <c r="J58" t="s">
        <v>53</v>
      </c>
      <c r="K58" t="s">
        <v>175</v>
      </c>
      <c r="L58" t="s">
        <v>176</v>
      </c>
      <c r="M58" t="s">
        <v>177</v>
      </c>
    </row>
    <row r="59" spans="1:23">
      <c r="A59">
        <v>13</v>
      </c>
      <c r="B59">
        <v>4</v>
      </c>
      <c r="C59">
        <v>2008</v>
      </c>
      <c r="D59" s="3" t="s">
        <f>B59&amp;"/"&amp;A59&amp;"/"&amp;C59</f>
        <v>172</v>
      </c>
      <c r="E59">
        <v>0.97916666666666663</v>
      </c>
      <c r="F59" t="s">
        <f>I59&amp;" "&amp;J59&amp;" "&amp;K59&amp;" "&amp;L59&amp;" "&amp;M59&amp;" "&amp;N59</f>
        <v>173</v>
      </c>
      <c r="G59" t="s">
        <f>TEXT(D59,"mmm dd")</f>
        <v>174</v>
      </c>
      <c r="I59" t="s">
        <v>170</v>
      </c>
      <c r="J59" t="s">
        <v>53</v>
      </c>
      <c r="K59" t="s">
        <v>175</v>
      </c>
      <c r="L59" t="s">
        <v>176</v>
      </c>
      <c r="M59" t="s">
        <v>177</v>
      </c>
    </row>
    <row r="60" spans="1:23">
      <c r="A60">
        <v>15</v>
      </c>
      <c r="B60">
        <v>4</v>
      </c>
      <c r="C60">
        <v>2008</v>
      </c>
      <c r="D60" s="3" t="s">
        <f>B60&amp;"/"&amp;A60&amp;"/"&amp;C60</f>
        <v>178</v>
      </c>
      <c r="E60">
        <v>0.88541666666666663</v>
      </c>
      <c r="F60" t="s">
        <f>I60&amp;" "&amp;J60&amp;" "&amp;K60&amp;" "&amp;L60&amp;" "&amp;M60&amp;" "&amp;N60</f>
        <v>45</v>
      </c>
      <c r="G60" t="s">
        <f>TEXT(D60,"mmm dd")</f>
        <v>179</v>
      </c>
      <c r="I60" t="s">
        <v>46</v>
      </c>
      <c r="J60" t="s">
        <v>47</v>
      </c>
      <c r="K60" t="s">
        <v>48</v>
      </c>
      <c r="L60" t="s">
        <v>49</v>
      </c>
    </row>
    <row r="61" spans="1:23">
      <c r="A61">
        <v>15</v>
      </c>
      <c r="B61">
        <v>4</v>
      </c>
      <c r="C61">
        <v>2008</v>
      </c>
      <c r="D61" s="3" t="s">
        <f>B61&amp;"/"&amp;A61&amp;"/"&amp;C61</f>
        <v>178</v>
      </c>
      <c r="E61" t="s">
        <v>42</v>
      </c>
      <c r="F61" t="s">
        <f>I61&amp;" "&amp;J61&amp;" "&amp;K61&amp;" "&amp;L61&amp;" "&amp;M61&amp;" "&amp;N61</f>
        <v>180</v>
      </c>
      <c r="G61" t="s">
        <f>TEXT(D61,"mmm dd")</f>
        <v>179</v>
      </c>
      <c r="I61" t="s">
        <v>181</v>
      </c>
      <c r="J61" t="s">
        <v>182</v>
      </c>
    </row>
    <row r="62" spans="1:23">
      <c r="A62">
        <v>15</v>
      </c>
      <c r="B62">
        <v>4</v>
      </c>
      <c r="C62">
        <v>2008</v>
      </c>
      <c r="D62" s="3" t="s">
        <f>B62&amp;"/"&amp;A62&amp;"/"&amp;C62</f>
        <v>178</v>
      </c>
      <c r="E62" t="s">
        <v>42</v>
      </c>
      <c r="F62" t="s">
        <f>I62&amp;" "&amp;J62&amp;" "&amp;K62&amp;" "&amp;L62&amp;" "&amp;M62&amp;" "&amp;N62</f>
        <v>180</v>
      </c>
      <c r="G62" t="s">
        <f>TEXT(D62,"mmm dd")</f>
        <v>179</v>
      </c>
      <c r="I62" t="s">
        <v>181</v>
      </c>
      <c r="J62" t="s">
        <v>182</v>
      </c>
    </row>
    <row r="63" spans="1:23">
      <c r="A63">
        <v>15</v>
      </c>
      <c r="B63">
        <v>4</v>
      </c>
      <c r="C63">
        <v>2008</v>
      </c>
      <c r="D63" s="3" t="s">
        <f>B63&amp;"/"&amp;A63&amp;"/"&amp;C63</f>
        <v>178</v>
      </c>
      <c r="E63">
        <v>0.88541666666666663</v>
      </c>
      <c r="F63" t="s">
        <f>I63&amp;" "&amp;J63&amp;" "&amp;K63&amp;" "&amp;L63&amp;" "&amp;M63&amp;" "&amp;N63</f>
        <v>45</v>
      </c>
      <c r="G63" t="s">
        <f>TEXT(D63,"mmm dd")</f>
        <v>179</v>
      </c>
      <c r="I63" t="s">
        <v>46</v>
      </c>
      <c r="J63" t="s">
        <v>47</v>
      </c>
      <c r="K63" t="s">
        <v>48</v>
      </c>
      <c r="L63" t="s">
        <v>49</v>
      </c>
    </row>
    <row r="64" spans="1:23">
      <c r="A64">
        <v>16</v>
      </c>
      <c r="B64">
        <v>4</v>
      </c>
      <c r="C64">
        <v>2008</v>
      </c>
      <c r="D64" s="3" t="s">
        <f>B64&amp;"/"&amp;A64&amp;"/"&amp;C64</f>
        <v>183</v>
      </c>
      <c r="E64">
        <v>0.9375</v>
      </c>
      <c r="F64" t="s">
        <f>I64&amp;" "&amp;J64&amp;" "&amp;K64&amp;" "&amp;L64&amp;" "&amp;M64&amp;" "&amp;N64</f>
        <v>64</v>
      </c>
      <c r="G64" t="s">
        <f>TEXT(D64,"mmm dd")</f>
        <v>184</v>
      </c>
      <c r="I64" t="s">
        <v>66</v>
      </c>
    </row>
    <row r="65" spans="1:23">
      <c r="A65">
        <v>16</v>
      </c>
      <c r="B65">
        <v>4</v>
      </c>
      <c r="C65">
        <v>2008</v>
      </c>
      <c r="D65" s="3" t="s">
        <f>B65&amp;"/"&amp;A65&amp;"/"&amp;C65</f>
        <v>183</v>
      </c>
      <c r="E65">
        <v>1.0416666666666667</v>
      </c>
      <c r="F65" t="s">
        <f>I65&amp;" "&amp;J65&amp;" "&amp;K65&amp;" "&amp;L65&amp;" "&amp;M65&amp;" "&amp;N65</f>
        <v>68</v>
      </c>
      <c r="G65" t="s">
        <f>TEXT(D65,"mmm dd")</f>
        <v>184</v>
      </c>
      <c r="I65" t="s">
        <v>69</v>
      </c>
    </row>
    <row r="66" spans="1:23">
      <c r="A66">
        <v>16</v>
      </c>
      <c r="B66">
        <v>4</v>
      </c>
      <c r="C66">
        <v>2008</v>
      </c>
      <c r="D66" s="3" t="s">
        <f>B66&amp;"/"&amp;A66&amp;"/"&amp;C66</f>
        <v>183</v>
      </c>
      <c r="E66">
        <v>1</v>
      </c>
      <c r="F66" t="s">
        <f>I66&amp;" "&amp;J66&amp;" "&amp;K66&amp;" "&amp;L66&amp;" "&amp;M66&amp;" "&amp;N66</f>
        <v>71</v>
      </c>
      <c r="G66" t="s">
        <f>TEXT(D66,"mmm dd")</f>
        <v>184</v>
      </c>
      <c r="I66" t="s">
        <v>72</v>
      </c>
      <c r="J66" t="s">
        <v>73</v>
      </c>
      <c r="K66" t="s">
        <v>74</v>
      </c>
    </row>
    <row r="67" spans="1:23">
      <c r="A67">
        <v>16</v>
      </c>
      <c r="B67">
        <v>4</v>
      </c>
      <c r="C67">
        <v>2008</v>
      </c>
      <c r="D67" s="3" t="s">
        <f>B67&amp;"/"&amp;A67&amp;"/"&amp;C67</f>
        <v>183</v>
      </c>
      <c r="E67">
        <v>0.9375</v>
      </c>
      <c r="F67" t="s">
        <f>I67&amp;" "&amp;J67&amp;" "&amp;K67&amp;" "&amp;L67&amp;" "&amp;M67&amp;" "&amp;N67</f>
        <v>64</v>
      </c>
      <c r="G67" t="s">
        <f>TEXT(D67,"mmm dd")</f>
        <v>184</v>
      </c>
      <c r="I67" t="s">
        <v>66</v>
      </c>
    </row>
    <row r="68" spans="1:23">
      <c r="A68">
        <v>16</v>
      </c>
      <c r="B68">
        <v>4</v>
      </c>
      <c r="C68">
        <v>2008</v>
      </c>
      <c r="D68" s="3" t="s">
        <f>B68&amp;"/"&amp;A68&amp;"/"&amp;C68</f>
        <v>183</v>
      </c>
      <c r="E68">
        <v>1</v>
      </c>
      <c r="F68" t="s">
        <f>I68&amp;" "&amp;J68&amp;" "&amp;K68&amp;" "&amp;L68&amp;" "&amp;M68&amp;" "&amp;N68</f>
        <v>71</v>
      </c>
      <c r="G68" t="s">
        <f>TEXT(D68,"mmm dd")</f>
        <v>184</v>
      </c>
      <c r="I68" t="s">
        <v>72</v>
      </c>
      <c r="J68" t="s">
        <v>73</v>
      </c>
      <c r="K68" t="s">
        <v>74</v>
      </c>
    </row>
    <row r="69" spans="1:23">
      <c r="A69">
        <v>16</v>
      </c>
      <c r="B69">
        <v>4</v>
      </c>
      <c r="C69">
        <v>2008</v>
      </c>
      <c r="D69" s="3" t="s">
        <f>B69&amp;"/"&amp;A69&amp;"/"&amp;C69</f>
        <v>183</v>
      </c>
      <c r="E69">
        <v>1.0416666666666667</v>
      </c>
      <c r="F69" t="s">
        <f>I69&amp;" "&amp;J69&amp;" "&amp;K69&amp;" "&amp;L69&amp;" "&amp;M69&amp;" "&amp;N69</f>
        <v>68</v>
      </c>
      <c r="G69" t="s">
        <f>TEXT(D69,"mmm dd")</f>
        <v>184</v>
      </c>
      <c r="I69" t="s">
        <v>69</v>
      </c>
    </row>
    <row r="70" spans="1:23">
      <c r="A70">
        <v>17</v>
      </c>
      <c r="B70">
        <v>4</v>
      </c>
      <c r="C70">
        <v>2008</v>
      </c>
      <c r="D70" s="3" t="s">
        <f>B70&amp;"/"&amp;A70&amp;"/"&amp;C70</f>
        <v>185</v>
      </c>
      <c r="E70">
        <v>1.0833333333333333</v>
      </c>
      <c r="F70" t="s">
        <f>I70&amp;" "&amp;J70&amp;" "&amp;K70&amp;" "&amp;L70&amp;" "&amp;M70&amp;" "&amp;N70</f>
        <v>186</v>
      </c>
      <c r="G70" t="s">
        <f>TEXT(D70,"mmm dd")</f>
        <v>187</v>
      </c>
      <c r="I70" t="s">
        <v>188</v>
      </c>
      <c r="J70" t="s">
        <v>189</v>
      </c>
      <c r="K70" t="s">
        <v>190</v>
      </c>
    </row>
    <row r="71" spans="1:23">
      <c r="A71">
        <v>17</v>
      </c>
      <c r="B71">
        <v>4</v>
      </c>
      <c r="C71">
        <v>2008</v>
      </c>
      <c r="D71" s="3" t="s">
        <f>B71&amp;"/"&amp;A71&amp;"/"&amp;C71</f>
        <v>185</v>
      </c>
      <c r="E71">
        <v>1.0833333333333333</v>
      </c>
      <c r="F71" t="s">
        <f>I71&amp;" "&amp;J71&amp;" "&amp;K71&amp;" "&amp;L71&amp;" "&amp;M71&amp;" "&amp;N71</f>
        <v>186</v>
      </c>
      <c r="G71" t="s">
        <f>TEXT(D71,"mmm dd")</f>
        <v>187</v>
      </c>
      <c r="I71" t="s">
        <v>188</v>
      </c>
      <c r="J71" t="s">
        <v>189</v>
      </c>
      <c r="K71" t="s">
        <v>190</v>
      </c>
    </row>
    <row r="72" spans="1:23">
      <c r="A72">
        <v>18</v>
      </c>
      <c r="B72">
        <v>4</v>
      </c>
      <c r="C72">
        <v>2008</v>
      </c>
      <c r="D72" s="3" t="s">
        <f>B72&amp;"/"&amp;A72&amp;"/"&amp;C72</f>
        <v>191</v>
      </c>
      <c r="E72">
        <v>0.29166666666666669</v>
      </c>
      <c r="F72" t="s">
        <f>I72&amp;" "&amp;J72&amp;" "&amp;K72&amp;" "&amp;L72&amp;" "&amp;M72&amp;" "&amp;N72</f>
        <v>192</v>
      </c>
      <c r="G72" t="s">
        <f>TEXT(D72,"mmm dd")</f>
        <v>193</v>
      </c>
      <c r="I72" t="s">
        <v>194</v>
      </c>
    </row>
    <row r="73" spans="1:23">
      <c r="A73">
        <v>18</v>
      </c>
      <c r="B73">
        <v>4</v>
      </c>
      <c r="C73">
        <v>2008</v>
      </c>
      <c r="D73" s="3" t="s">
        <f>B73&amp;"/"&amp;A73&amp;"/"&amp;C73</f>
        <v>191</v>
      </c>
      <c r="E73">
        <v>0.29166666666666669</v>
      </c>
      <c r="F73" t="s">
        <f>I73&amp;" "&amp;J73&amp;" "&amp;K73&amp;" "&amp;L73&amp;" "&amp;M73&amp;" "&amp;N73</f>
        <v>192</v>
      </c>
      <c r="G73" t="s">
        <f>TEXT(D73,"mmm dd")</f>
        <v>193</v>
      </c>
      <c r="I73" t="s">
        <v>194</v>
      </c>
    </row>
    <row r="74" spans="1:23">
      <c r="A74">
        <v>19</v>
      </c>
      <c r="B74">
        <v>4</v>
      </c>
      <c r="C74">
        <v>2008</v>
      </c>
      <c r="D74" s="3" t="s">
        <f>B74&amp;"/"&amp;A74&amp;"/"&amp;C74</f>
        <v>195</v>
      </c>
      <c r="E74">
        <v>0.3125</v>
      </c>
      <c r="F74" t="s">
        <f>I74&amp;" "&amp;J74&amp;" "&amp;K74&amp;" "&amp;L74&amp;" "&amp;M74&amp;" "&amp;N74</f>
        <v>107</v>
      </c>
      <c r="G74" t="s">
        <f>TEXT(D74,"mmm dd")</f>
        <v>196</v>
      </c>
      <c r="I74" t="s">
        <v>109</v>
      </c>
      <c r="J74" t="s">
        <v>110</v>
      </c>
    </row>
    <row r="75" spans="1:23">
      <c r="A75">
        <v>19</v>
      </c>
      <c r="B75">
        <v>4</v>
      </c>
      <c r="C75">
        <v>2008</v>
      </c>
      <c r="D75" s="3" t="s">
        <f>B75&amp;"/"&amp;A75&amp;"/"&amp;C75</f>
        <v>195</v>
      </c>
      <c r="E75" t="s">
        <v>42</v>
      </c>
      <c r="F75" t="s">
        <f>I75&amp;" "&amp;J75&amp;" "&amp;K75&amp;" "&amp;L75&amp;" "&amp;M75&amp;" "&amp;N75</f>
        <v>197</v>
      </c>
      <c r="G75" t="s">
        <f>TEXT(D75,"mmm dd")</f>
        <v>196</v>
      </c>
      <c r="I75" t="s">
        <v>198</v>
      </c>
      <c r="J75" t="s">
        <v>199</v>
      </c>
      <c r="K75" t="s">
        <v>86</v>
      </c>
      <c r="L75" t="s">
        <v>200</v>
      </c>
      <c r="M75" t="s">
        <v>135</v>
      </c>
      <c r="N75" t="s">
        <v>201</v>
      </c>
    </row>
    <row r="76" spans="1:23">
      <c r="A76">
        <v>19</v>
      </c>
      <c r="B76">
        <v>4</v>
      </c>
      <c r="C76">
        <v>2008</v>
      </c>
      <c r="D76" s="3" t="s">
        <f>B76&amp;"/"&amp;A76&amp;"/"&amp;C76</f>
        <v>195</v>
      </c>
      <c r="E76" t="s">
        <v>42</v>
      </c>
      <c r="F76" t="s">
        <f>I76&amp;" "&amp;J76&amp;" "&amp;K76&amp;" "&amp;L76&amp;" "&amp;M76&amp;" "&amp;N76</f>
        <v>197</v>
      </c>
      <c r="G76" t="s">
        <f>TEXT(D76,"mmm dd")</f>
        <v>196</v>
      </c>
      <c r="I76" t="s">
        <v>198</v>
      </c>
      <c r="J76" t="s">
        <v>199</v>
      </c>
      <c r="K76" t="s">
        <v>86</v>
      </c>
      <c r="L76" t="s">
        <v>200</v>
      </c>
      <c r="M76" t="s">
        <v>135</v>
      </c>
      <c r="N76" t="s">
        <v>201</v>
      </c>
    </row>
    <row r="77" spans="1:23">
      <c r="A77">
        <v>19</v>
      </c>
      <c r="B77">
        <v>4</v>
      </c>
      <c r="C77">
        <v>2008</v>
      </c>
      <c r="D77" s="3" t="s">
        <f>B77&amp;"/"&amp;A77&amp;"/"&amp;C77</f>
        <v>195</v>
      </c>
      <c r="E77">
        <v>0.3125</v>
      </c>
      <c r="F77" t="s">
        <f>I77&amp;" "&amp;J77&amp;" "&amp;K77&amp;" "&amp;L77&amp;" "&amp;M77&amp;" "&amp;N77</f>
        <v>107</v>
      </c>
      <c r="G77" t="s">
        <f>TEXT(D77,"mmm dd")</f>
        <v>196</v>
      </c>
      <c r="I77" t="s">
        <v>109</v>
      </c>
      <c r="J77" t="s">
        <v>110</v>
      </c>
      <c r="O77">
        <v>304</v>
      </c>
    </row>
    <row r="78" spans="1:23">
      <c r="A78">
        <v>20</v>
      </c>
      <c r="B78">
        <v>4</v>
      </c>
      <c r="C78">
        <v>2008</v>
      </c>
      <c r="D78" s="3" t="s">
        <f>B78&amp;"/"&amp;A78&amp;"/"&amp;C78</f>
        <v>202</v>
      </c>
      <c r="E78">
        <v>0.35416666666666669</v>
      </c>
      <c r="F78" t="s">
        <f>I78&amp;" "&amp;J78&amp;" "&amp;K78&amp;" "&amp;L78&amp;" "&amp;M78&amp;" "&amp;N78</f>
        <v>203</v>
      </c>
      <c r="G78" t="s">
        <f>TEXT(D78,"mmm dd")</f>
        <v>204</v>
      </c>
      <c r="I78" t="s">
        <v>205</v>
      </c>
      <c r="J78" t="s">
        <v>206</v>
      </c>
      <c r="K78" t="s">
        <v>207</v>
      </c>
      <c r="L78" t="s">
        <v>53</v>
      </c>
      <c r="M78" t="s">
        <v>208</v>
      </c>
    </row>
    <row r="79" spans="1:23">
      <c r="A79">
        <v>20</v>
      </c>
      <c r="B79">
        <v>4</v>
      </c>
      <c r="C79">
        <v>2008</v>
      </c>
      <c r="D79" s="3" t="s">
        <f>B79&amp;"/"&amp;A79&amp;"/"&amp;C79</f>
        <v>202</v>
      </c>
      <c r="E79">
        <v>0.35416666666666669</v>
      </c>
      <c r="F79" t="s">
        <f>I79&amp;" "&amp;J79&amp;" "&amp;K79&amp;" "&amp;L79&amp;" "&amp;M79&amp;" "&amp;N79</f>
        <v>203</v>
      </c>
      <c r="G79" t="s">
        <f>TEXT(D79,"mmm dd")</f>
        <v>204</v>
      </c>
      <c r="I79" t="s">
        <v>205</v>
      </c>
      <c r="J79" t="s">
        <v>206</v>
      </c>
      <c r="K79" t="s">
        <v>207</v>
      </c>
      <c r="L79" t="s">
        <v>53</v>
      </c>
      <c r="M79" t="s">
        <v>208</v>
      </c>
    </row>
    <row r="80" spans="1:23">
      <c r="A80">
        <v>21</v>
      </c>
      <c r="B80">
        <v>4</v>
      </c>
      <c r="C80">
        <v>2008</v>
      </c>
      <c r="D80" s="3" t="s">
        <f>B80&amp;"/"&amp;A80&amp;"/"&amp;C80</f>
        <v>209</v>
      </c>
      <c r="E80" t="s">
        <v>42</v>
      </c>
      <c r="F80" t="s">
        <f>I80&amp;" "&amp;J80&amp;" "&amp;K80&amp;" "&amp;L80&amp;" "&amp;M80&amp;" "&amp;N80</f>
        <v>210</v>
      </c>
      <c r="G80" t="s">
        <f>TEXT(D80,"mmm dd")</f>
        <v>211</v>
      </c>
      <c r="I80" t="s">
        <v>212</v>
      </c>
      <c r="J80" t="s">
        <v>199</v>
      </c>
      <c r="K80" t="s">
        <v>86</v>
      </c>
      <c r="L80" t="s">
        <v>200</v>
      </c>
      <c r="M80">
        <v>1109</v>
      </c>
    </row>
    <row r="81" spans="1:23">
      <c r="A81">
        <v>21</v>
      </c>
      <c r="B81">
        <v>4</v>
      </c>
      <c r="C81">
        <v>2008</v>
      </c>
      <c r="D81" s="3" t="s">
        <f>B81&amp;"/"&amp;A81&amp;"/"&amp;C81</f>
        <v>209</v>
      </c>
      <c r="E81" t="s">
        <v>42</v>
      </c>
      <c r="F81" t="s">
        <f>I81&amp;" "&amp;J81&amp;" "&amp;K81&amp;" "&amp;L81&amp;" "&amp;M81&amp;" "&amp;N81</f>
        <v>210</v>
      </c>
      <c r="G81" t="s">
        <f>TEXT(D81,"mmm dd")</f>
        <v>211</v>
      </c>
      <c r="I81" t="s">
        <v>212</v>
      </c>
      <c r="J81" t="s">
        <v>199</v>
      </c>
      <c r="K81" t="s">
        <v>86</v>
      </c>
      <c r="L81" t="s">
        <v>200</v>
      </c>
      <c r="M81">
        <v>1109</v>
      </c>
      <c r="O81" t="s">
        <v>213</v>
      </c>
    </row>
    <row r="82" spans="1:23">
      <c r="A82">
        <v>22</v>
      </c>
      <c r="B82">
        <v>4</v>
      </c>
      <c r="C82">
        <v>2008</v>
      </c>
      <c r="D82" s="3" t="s">
        <f>B82&amp;"/"&amp;A82&amp;"/"&amp;C82</f>
        <v>214</v>
      </c>
      <c r="E82">
        <v>0.88541666666666663</v>
      </c>
      <c r="F82" t="s">
        <f>I82&amp;" "&amp;J82&amp;" "&amp;K82&amp;" "&amp;L82&amp;" "&amp;M82&amp;" "&amp;N82</f>
        <v>45</v>
      </c>
      <c r="G82" t="s">
        <f>TEXT(D82,"mmm dd")</f>
        <v>215</v>
      </c>
      <c r="I82" t="s">
        <v>46</v>
      </c>
      <c r="J82" t="s">
        <v>47</v>
      </c>
      <c r="K82" t="s">
        <v>48</v>
      </c>
      <c r="L82" t="s">
        <v>49</v>
      </c>
    </row>
    <row r="83" spans="1:23">
      <c r="A83">
        <v>22</v>
      </c>
      <c r="B83">
        <v>4</v>
      </c>
      <c r="C83">
        <v>2008</v>
      </c>
      <c r="D83" s="3" t="s">
        <f>B83&amp;"/"&amp;A83&amp;"/"&amp;C83</f>
        <v>214</v>
      </c>
      <c r="E83">
        <v>1</v>
      </c>
      <c r="F83" t="s">
        <f>I83&amp;" "&amp;J83&amp;" "&amp;K83&amp;" "&amp;L83&amp;" "&amp;M83&amp;" "&amp;N83</f>
        <v>216</v>
      </c>
      <c r="G83" t="s">
        <f>TEXT(D83,"mmm dd")</f>
        <v>215</v>
      </c>
      <c r="I83" t="s">
        <v>217</v>
      </c>
      <c r="J83" t="s">
        <v>110</v>
      </c>
      <c r="K83" t="s">
        <v>53</v>
      </c>
      <c r="L83" t="s">
        <v>218</v>
      </c>
      <c r="M83" t="s">
        <v>219</v>
      </c>
    </row>
    <row r="84" spans="1:23">
      <c r="A84">
        <v>22</v>
      </c>
      <c r="B84">
        <v>4</v>
      </c>
      <c r="C84">
        <v>2008</v>
      </c>
      <c r="D84" s="3" t="s">
        <f>B84&amp;"/"&amp;A84&amp;"/"&amp;C84</f>
        <v>214</v>
      </c>
      <c r="E84">
        <v>1</v>
      </c>
      <c r="F84" t="s">
        <f>I84&amp;" "&amp;J84&amp;" "&amp;K84&amp;" "&amp;L84&amp;" "&amp;M84&amp;" "&amp;N84</f>
        <v>216</v>
      </c>
      <c r="G84" t="s">
        <f>TEXT(D84,"mmm dd")</f>
        <v>215</v>
      </c>
      <c r="I84" t="s">
        <v>217</v>
      </c>
      <c r="J84" t="s">
        <v>110</v>
      </c>
      <c r="K84" t="s">
        <v>53</v>
      </c>
      <c r="L84" t="s">
        <v>218</v>
      </c>
      <c r="M84" t="s">
        <v>219</v>
      </c>
    </row>
    <row r="85" spans="1:23">
      <c r="A85">
        <v>22</v>
      </c>
      <c r="B85">
        <v>4</v>
      </c>
      <c r="C85">
        <v>2008</v>
      </c>
      <c r="D85" s="3" t="s">
        <f>B85&amp;"/"&amp;A85&amp;"/"&amp;C85</f>
        <v>214</v>
      </c>
      <c r="E85">
        <v>0.88541666666666663</v>
      </c>
      <c r="F85" t="s">
        <f>I85&amp;" "&amp;J85&amp;" "&amp;K85&amp;" "&amp;L85&amp;" "&amp;M85&amp;" "&amp;N85</f>
        <v>45</v>
      </c>
      <c r="G85" t="s">
        <f>TEXT(D85,"mmm dd")</f>
        <v>215</v>
      </c>
      <c r="I85" t="s">
        <v>46</v>
      </c>
      <c r="J85" t="s">
        <v>47</v>
      </c>
      <c r="K85" t="s">
        <v>48</v>
      </c>
      <c r="L85" t="s">
        <v>49</v>
      </c>
    </row>
    <row r="86" spans="1:23">
      <c r="A86">
        <v>23</v>
      </c>
      <c r="B86">
        <v>4</v>
      </c>
      <c r="C86">
        <v>2008</v>
      </c>
      <c r="D86" s="3" t="s">
        <f>B86&amp;"/"&amp;A86&amp;"/"&amp;C86</f>
        <v>220</v>
      </c>
      <c r="E86">
        <v>0.9375</v>
      </c>
      <c r="F86" t="s">
        <f>I86&amp;" "&amp;J86&amp;" "&amp;K86&amp;" "&amp;L86&amp;" "&amp;M86&amp;" "&amp;N86</f>
        <v>64</v>
      </c>
      <c r="G86" t="s">
        <f>TEXT(D86,"mmm dd")</f>
        <v>221</v>
      </c>
      <c r="I86" t="s">
        <v>66</v>
      </c>
    </row>
    <row r="87" spans="1:23">
      <c r="A87">
        <v>23</v>
      </c>
      <c r="B87">
        <v>4</v>
      </c>
      <c r="C87">
        <v>2008</v>
      </c>
      <c r="D87" s="3" t="s">
        <f>B87&amp;"/"&amp;A87&amp;"/"&amp;C87</f>
        <v>220</v>
      </c>
      <c r="E87">
        <v>1.0416666666666667</v>
      </c>
      <c r="F87" t="s">
        <f>I87&amp;" "&amp;J87&amp;" "&amp;K87&amp;" "&amp;L87&amp;" "&amp;M87&amp;" "&amp;N87</f>
        <v>68</v>
      </c>
      <c r="G87" t="s">
        <f>TEXT(D87,"mmm dd")</f>
        <v>221</v>
      </c>
      <c r="I87" t="s">
        <v>69</v>
      </c>
    </row>
    <row r="88" spans="1:23">
      <c r="A88">
        <v>23</v>
      </c>
      <c r="B88">
        <v>4</v>
      </c>
      <c r="C88">
        <v>2008</v>
      </c>
      <c r="D88" s="3" t="s">
        <f>B88&amp;"/"&amp;A88&amp;"/"&amp;C88</f>
        <v>220</v>
      </c>
      <c r="E88">
        <v>1</v>
      </c>
      <c r="F88" t="s">
        <f>I88&amp;" "&amp;J88&amp;" "&amp;K88&amp;" "&amp;L88&amp;" "&amp;M88&amp;" "&amp;N88</f>
        <v>71</v>
      </c>
      <c r="G88" t="s">
        <f>TEXT(D88,"mmm dd")</f>
        <v>221</v>
      </c>
      <c r="I88" t="s">
        <v>72</v>
      </c>
      <c r="J88" t="s">
        <v>73</v>
      </c>
      <c r="K88" t="s">
        <v>74</v>
      </c>
    </row>
    <row r="89" spans="1:23">
      <c r="A89">
        <v>23</v>
      </c>
      <c r="B89">
        <v>4</v>
      </c>
      <c r="C89">
        <v>2008</v>
      </c>
      <c r="D89" s="3" t="s">
        <f>B89&amp;"/"&amp;A89&amp;"/"&amp;C89</f>
        <v>220</v>
      </c>
      <c r="E89">
        <v>1.0416666666666667</v>
      </c>
      <c r="F89" t="s">
        <f>I89&amp;" "&amp;J89&amp;" "&amp;K89&amp;" "&amp;L89&amp;" "&amp;M89&amp;" "&amp;N89</f>
        <v>68</v>
      </c>
      <c r="G89" t="s">
        <f>TEXT(D89,"mmm dd")</f>
        <v>221</v>
      </c>
      <c r="I89" t="s">
        <v>69</v>
      </c>
      <c r="O89" t="s">
        <v>222</v>
      </c>
    </row>
    <row r="90" spans="1:23">
      <c r="A90">
        <v>23</v>
      </c>
      <c r="B90">
        <v>4</v>
      </c>
      <c r="C90">
        <v>2008</v>
      </c>
      <c r="D90" s="3" t="s">
        <f>B90&amp;"/"&amp;A90&amp;"/"&amp;C90</f>
        <v>220</v>
      </c>
      <c r="E90">
        <v>0.9375</v>
      </c>
      <c r="F90" t="s">
        <f>I90&amp;" "&amp;J90&amp;" "&amp;K90&amp;" "&amp;L90&amp;" "&amp;M90&amp;" "&amp;N90</f>
        <v>64</v>
      </c>
      <c r="G90" t="s">
        <f>TEXT(D90,"mmm dd")</f>
        <v>221</v>
      </c>
      <c r="I90" t="s">
        <v>66</v>
      </c>
    </row>
    <row r="91" spans="1:23">
      <c r="A91">
        <v>23</v>
      </c>
      <c r="B91">
        <v>4</v>
      </c>
      <c r="C91">
        <v>2008</v>
      </c>
      <c r="D91" s="3" t="s">
        <f>B91&amp;"/"&amp;A91&amp;"/"&amp;C91</f>
        <v>220</v>
      </c>
      <c r="E91">
        <v>1</v>
      </c>
      <c r="F91" t="s">
        <f>I91&amp;" "&amp;J91&amp;" "&amp;K91&amp;" "&amp;L91&amp;" "&amp;M91&amp;" "&amp;N91</f>
        <v>71</v>
      </c>
      <c r="G91" t="s">
        <f>TEXT(D91,"mmm dd")</f>
        <v>221</v>
      </c>
      <c r="I91" t="s">
        <v>72</v>
      </c>
      <c r="J91" t="s">
        <v>73</v>
      </c>
      <c r="K91" t="s">
        <v>74</v>
      </c>
    </row>
    <row r="92" spans="1:23">
      <c r="A92">
        <v>24</v>
      </c>
      <c r="B92">
        <v>4</v>
      </c>
      <c r="C92">
        <v>2008</v>
      </c>
      <c r="D92" s="3" t="s">
        <f>B92&amp;"/"&amp;A92&amp;"/"&amp;C92</f>
        <v>223</v>
      </c>
      <c r="E92" t="s">
        <v>42</v>
      </c>
      <c r="F92" t="s">
        <f>I92&amp;" "&amp;J92&amp;" "&amp;K92&amp;" "&amp;L92&amp;" "&amp;M92&amp;" "&amp;N92</f>
        <v>155</v>
      </c>
      <c r="G92" t="s">
        <f>TEXT(D92,"mmm dd")</f>
        <v>224</v>
      </c>
      <c r="I92" t="s">
        <v>156</v>
      </c>
      <c r="J92" t="s">
        <v>157</v>
      </c>
    </row>
    <row r="93" spans="1:23">
      <c r="A93">
        <v>24</v>
      </c>
      <c r="B93">
        <v>4</v>
      </c>
      <c r="C93">
        <v>2008</v>
      </c>
      <c r="D93" s="3" t="s">
        <f>B93&amp;"/"&amp;A93&amp;"/"&amp;C93</f>
        <v>223</v>
      </c>
      <c r="E93" t="s">
        <v>42</v>
      </c>
      <c r="F93" t="s">
        <f>I93&amp;" "&amp;J93&amp;" "&amp;K93&amp;" "&amp;L93&amp;" "&amp;M93&amp;" "&amp;N93</f>
        <v>155</v>
      </c>
      <c r="G93" t="s">
        <f>TEXT(D93,"mmm dd")</f>
        <v>224</v>
      </c>
      <c r="I93" t="s">
        <v>156</v>
      </c>
      <c r="J93" t="s">
        <v>157</v>
      </c>
    </row>
    <row r="94" spans="1:23">
      <c r="A94">
        <v>25</v>
      </c>
      <c r="B94">
        <v>4</v>
      </c>
      <c r="C94">
        <v>2008</v>
      </c>
      <c r="D94" s="3" t="s">
        <f>B94&amp;"/"&amp;A94&amp;"/"&amp;C94</f>
        <v>225</v>
      </c>
      <c r="E94" t="s">
        <v>42</v>
      </c>
      <c r="F94" t="s">
        <f>I94&amp;" "&amp;J94&amp;" "&amp;K94&amp;" "&amp;L94&amp;" "&amp;M94&amp;" "&amp;N94</f>
        <v>226</v>
      </c>
      <c r="G94" t="s">
        <f>TEXT(D94,"mmm dd")</f>
        <v>227</v>
      </c>
      <c r="I94" t="s">
        <v>228</v>
      </c>
      <c r="J94" t="s">
        <v>229</v>
      </c>
      <c r="K94" t="s">
        <v>139</v>
      </c>
      <c r="L94" t="s">
        <v>230</v>
      </c>
    </row>
    <row r="95" spans="1:23">
      <c r="A95">
        <v>25</v>
      </c>
      <c r="B95">
        <v>4</v>
      </c>
      <c r="C95">
        <v>2008</v>
      </c>
      <c r="D95" s="3" t="s">
        <f>B95&amp;"/"&amp;A95&amp;"/"&amp;C95</f>
        <v>225</v>
      </c>
      <c r="E95" t="s">
        <v>42</v>
      </c>
      <c r="F95" t="s">
        <f>I95&amp;" "&amp;J95&amp;" "&amp;K95&amp;" "&amp;L95&amp;" "&amp;M95&amp;" "&amp;N95</f>
        <v>226</v>
      </c>
      <c r="G95" t="s">
        <f>TEXT(D95,"mmm dd")</f>
        <v>227</v>
      </c>
      <c r="I95" t="s">
        <v>228</v>
      </c>
      <c r="J95" t="s">
        <v>229</v>
      </c>
      <c r="K95" t="s">
        <v>139</v>
      </c>
      <c r="L95" t="s">
        <v>230</v>
      </c>
    </row>
    <row r="96" spans="1:23">
      <c r="A96">
        <v>26</v>
      </c>
      <c r="B96">
        <v>4</v>
      </c>
      <c r="C96">
        <v>2008</v>
      </c>
      <c r="D96" s="3" t="s">
        <f>B96&amp;"/"&amp;A96&amp;"/"&amp;C96</f>
        <v>231</v>
      </c>
      <c r="E96">
        <v>0.3125</v>
      </c>
      <c r="F96" t="s">
        <f>I96&amp;" "&amp;J96&amp;" "&amp;K96&amp;" "&amp;L96&amp;" "&amp;M96&amp;" "&amp;N96</f>
        <v>107</v>
      </c>
      <c r="G96" t="s">
        <f>TEXT(D96,"mmm dd")</f>
        <v>232</v>
      </c>
      <c r="I96" t="s">
        <v>109</v>
      </c>
      <c r="J96" t="s">
        <v>110</v>
      </c>
    </row>
    <row r="97" spans="1:23">
      <c r="A97">
        <v>26</v>
      </c>
      <c r="B97">
        <v>4</v>
      </c>
      <c r="C97">
        <v>2008</v>
      </c>
      <c r="D97" s="3" t="s">
        <f>B97&amp;"/"&amp;A97&amp;"/"&amp;C97</f>
        <v>231</v>
      </c>
      <c r="E97">
        <v>0.3125</v>
      </c>
      <c r="F97" t="s">
        <f>I97&amp;" "&amp;J97&amp;" "&amp;K97&amp;" "&amp;L97&amp;" "&amp;M97&amp;" "&amp;N97</f>
        <v>107</v>
      </c>
      <c r="G97" t="s">
        <f>TEXT(D97,"mmm dd")</f>
        <v>232</v>
      </c>
      <c r="I97" t="s">
        <v>109</v>
      </c>
      <c r="J97" t="s">
        <v>110</v>
      </c>
    </row>
    <row r="98" spans="1:23">
      <c r="A98">
        <v>27</v>
      </c>
      <c r="B98">
        <v>4</v>
      </c>
      <c r="C98">
        <v>2008</v>
      </c>
      <c r="D98" s="3" t="s">
        <f>B98&amp;"/"&amp;A98&amp;"/"&amp;C98</f>
        <v>233</v>
      </c>
      <c r="E98">
        <v>0.22916666666666666</v>
      </c>
      <c r="F98" t="s">
        <f>I98&amp;" "&amp;J98&amp;" "&amp;K98&amp;" "&amp;L98&amp;" "&amp;M98&amp;" "&amp;N98</f>
        <v>169</v>
      </c>
      <c r="G98" t="s">
        <f>TEXT(D98,"mmm dd")</f>
        <v>234</v>
      </c>
      <c r="I98" t="s">
        <v>170</v>
      </c>
      <c r="J98" t="s">
        <v>53</v>
      </c>
      <c r="K98" t="s">
        <v>171</v>
      </c>
      <c r="L98">
        <v>1</v>
      </c>
    </row>
    <row r="99" spans="1:23">
      <c r="A99">
        <v>27</v>
      </c>
      <c r="B99">
        <v>4</v>
      </c>
      <c r="C99">
        <v>2008</v>
      </c>
      <c r="D99" s="3" t="s">
        <f>B99&amp;"/"&amp;A99&amp;"/"&amp;C99</f>
        <v>233</v>
      </c>
      <c r="E99">
        <v>0.22916666666666666</v>
      </c>
      <c r="F99" t="s">
        <f>I99&amp;" "&amp;J99&amp;" "&amp;K99&amp;" "&amp;L99&amp;" "&amp;M99&amp;" "&amp;N99</f>
        <v>169</v>
      </c>
      <c r="G99" t="s">
        <f>TEXT(D99,"mmm dd")</f>
        <v>234</v>
      </c>
      <c r="I99" t="s">
        <v>170</v>
      </c>
      <c r="J99" t="s">
        <v>53</v>
      </c>
      <c r="K99" t="s">
        <v>171</v>
      </c>
      <c r="L99">
        <v>1</v>
      </c>
    </row>
    <row r="100" spans="1:23">
      <c r="A100">
        <v>28</v>
      </c>
      <c r="B100">
        <v>4</v>
      </c>
      <c r="C100">
        <v>2008</v>
      </c>
      <c r="D100" s="3" t="s">
        <f>B100&amp;"/"&amp;A100&amp;"/"&amp;C100</f>
        <v>235</v>
      </c>
      <c r="E100">
        <v>0.16666666666666666</v>
      </c>
      <c r="F100" t="s">
        <f>I100&amp;" "&amp;J100&amp;" "&amp;K100&amp;" "&amp;L100&amp;" "&amp;M100&amp;" "&amp;N100</f>
        <v>169</v>
      </c>
      <c r="G100" t="s">
        <f>TEXT(D100,"mmm dd")</f>
        <v>236</v>
      </c>
      <c r="I100" t="s">
        <v>170</v>
      </c>
      <c r="J100" t="s">
        <v>53</v>
      </c>
      <c r="K100" t="s">
        <v>171</v>
      </c>
      <c r="L100">
        <v>1</v>
      </c>
    </row>
    <row r="101" spans="1:23">
      <c r="A101">
        <v>28</v>
      </c>
      <c r="B101">
        <v>4</v>
      </c>
      <c r="C101">
        <v>2008</v>
      </c>
      <c r="D101" s="3" t="s">
        <f>B101&amp;"/"&amp;A101&amp;"/"&amp;C101</f>
        <v>235</v>
      </c>
      <c r="E101">
        <v>0.16666666666666666</v>
      </c>
      <c r="F101" t="s">
        <f>I101&amp;" "&amp;J101&amp;" "&amp;K101&amp;" "&amp;L101&amp;" "&amp;M101&amp;" "&amp;N101</f>
        <v>169</v>
      </c>
      <c r="G101" t="s">
        <f>TEXT(D101,"mmm dd")</f>
        <v>236</v>
      </c>
      <c r="I101" t="s">
        <v>170</v>
      </c>
      <c r="J101" t="s">
        <v>53</v>
      </c>
      <c r="K101" t="s">
        <v>171</v>
      </c>
      <c r="L101">
        <v>1</v>
      </c>
    </row>
    <row r="102" spans="1:23">
      <c r="A102">
        <v>29</v>
      </c>
      <c r="B102">
        <v>4</v>
      </c>
      <c r="C102">
        <v>2008</v>
      </c>
      <c r="D102" s="3" t="s">
        <f>B102&amp;"/"&amp;A102&amp;"/"&amp;C102</f>
        <v>237</v>
      </c>
      <c r="E102" t="s">
        <v>42</v>
      </c>
      <c r="F102" t="s">
        <f>I102&amp;" "&amp;J102&amp;" "&amp;K102&amp;" "&amp;L102&amp;" "&amp;M102&amp;" "&amp;N102</f>
        <v>238</v>
      </c>
      <c r="G102" t="s">
        <f>TEXT(D102,"mmm dd")</f>
        <v>239</v>
      </c>
      <c r="I102" t="s">
        <v>240</v>
      </c>
      <c r="J102" t="s">
        <v>86</v>
      </c>
      <c r="K102" t="s">
        <v>241</v>
      </c>
      <c r="L102">
        <v>1380</v>
      </c>
    </row>
    <row r="103" spans="1:23">
      <c r="A103">
        <v>29</v>
      </c>
      <c r="B103">
        <v>4</v>
      </c>
      <c r="C103">
        <v>2008</v>
      </c>
      <c r="D103" s="3" t="s">
        <f>B103&amp;"/"&amp;A103&amp;"/"&amp;C103</f>
        <v>237</v>
      </c>
      <c r="E103">
        <v>0.88541666666666663</v>
      </c>
      <c r="F103" t="s">
        <f>I103&amp;" "&amp;J103&amp;" "&amp;K103&amp;" "&amp;L103&amp;" "&amp;M103&amp;" "&amp;N103</f>
        <v>45</v>
      </c>
      <c r="G103" t="s">
        <f>TEXT(D103,"mmm dd")</f>
        <v>239</v>
      </c>
      <c r="I103" t="s">
        <v>46</v>
      </c>
      <c r="J103" t="s">
        <v>47</v>
      </c>
      <c r="K103" t="s">
        <v>48</v>
      </c>
      <c r="L103" t="s">
        <v>49</v>
      </c>
    </row>
    <row r="104" spans="1:23">
      <c r="A104">
        <v>29</v>
      </c>
      <c r="B104">
        <v>4</v>
      </c>
      <c r="C104">
        <v>2008</v>
      </c>
      <c r="D104" s="3" t="s">
        <f>B104&amp;"/"&amp;A104&amp;"/"&amp;C104</f>
        <v>237</v>
      </c>
      <c r="E104" t="s">
        <v>42</v>
      </c>
      <c r="F104" t="s">
        <f>I104&amp;" "&amp;J104&amp;" "&amp;K104&amp;" "&amp;L104&amp;" "&amp;M104&amp;" "&amp;N104</f>
        <v>238</v>
      </c>
      <c r="G104" t="s">
        <f>TEXT(D104,"mmm dd")</f>
        <v>239</v>
      </c>
      <c r="I104" t="s">
        <v>240</v>
      </c>
      <c r="J104" t="s">
        <v>86</v>
      </c>
      <c r="K104" t="s">
        <v>241</v>
      </c>
      <c r="L104">
        <v>1380</v>
      </c>
      <c r="O104" t="s">
        <v>242</v>
      </c>
      <c r="P104" t="s">
        <v>243</v>
      </c>
      <c r="Q104" t="s">
        <v>244</v>
      </c>
    </row>
    <row r="105" spans="1:23">
      <c r="A105">
        <v>29</v>
      </c>
      <c r="B105">
        <v>4</v>
      </c>
      <c r="C105">
        <v>2008</v>
      </c>
      <c r="D105" s="3" t="s">
        <f>B105&amp;"/"&amp;A105&amp;"/"&amp;C105</f>
        <v>237</v>
      </c>
      <c r="E105">
        <v>0.88541666666666663</v>
      </c>
      <c r="F105" t="s">
        <f>I105&amp;" "&amp;J105&amp;" "&amp;K105&amp;" "&amp;L105&amp;" "&amp;M105&amp;" "&amp;N105</f>
        <v>45</v>
      </c>
      <c r="G105" t="s">
        <f>TEXT(D105,"mmm dd")</f>
        <v>239</v>
      </c>
      <c r="I105" t="s">
        <v>46</v>
      </c>
      <c r="J105" t="s">
        <v>47</v>
      </c>
      <c r="K105" t="s">
        <v>48</v>
      </c>
      <c r="L105" t="s">
        <v>49</v>
      </c>
      <c r="O105" t="s">
        <v>222</v>
      </c>
    </row>
    <row r="106" spans="1:23">
      <c r="A106">
        <v>30</v>
      </c>
      <c r="B106">
        <v>4</v>
      </c>
      <c r="C106">
        <v>2008</v>
      </c>
      <c r="D106" s="3" t="s">
        <f>B106&amp;"/"&amp;A106&amp;"/"&amp;C106</f>
        <v>245</v>
      </c>
      <c r="E106">
        <v>1</v>
      </c>
      <c r="F106" t="s">
        <f>I106&amp;" "&amp;J106&amp;" "&amp;K106&amp;" "&amp;L106&amp;" "&amp;M106&amp;" "&amp;N106</f>
        <v>71</v>
      </c>
      <c r="G106" t="s">
        <f>TEXT(D106,"mmm dd")</f>
        <v>246</v>
      </c>
      <c r="I106" t="s">
        <v>72</v>
      </c>
      <c r="J106" t="s">
        <v>73</v>
      </c>
      <c r="K106" t="s">
        <v>74</v>
      </c>
      <c r="O106" t="s">
        <v>222</v>
      </c>
    </row>
    <row r="107" spans="1:23">
      <c r="A107">
        <v>30</v>
      </c>
      <c r="B107">
        <v>4</v>
      </c>
      <c r="C107">
        <v>2008</v>
      </c>
      <c r="D107" s="3" t="s">
        <f>B107&amp;"/"&amp;A107&amp;"/"&amp;C107</f>
        <v>245</v>
      </c>
      <c r="E107">
        <v>0.9375</v>
      </c>
      <c r="F107" t="s">
        <f>I107&amp;" "&amp;J107&amp;" "&amp;K107&amp;" "&amp;L107&amp;" "&amp;M107&amp;" "&amp;N107</f>
        <v>64</v>
      </c>
      <c r="G107" t="s">
        <f>TEXT(D107,"mmm dd")</f>
        <v>246</v>
      </c>
      <c r="I107" t="s">
        <v>66</v>
      </c>
    </row>
    <row r="108" spans="1:23">
      <c r="A108">
        <v>30</v>
      </c>
      <c r="B108">
        <v>4</v>
      </c>
      <c r="C108">
        <v>2008</v>
      </c>
      <c r="D108" s="3" t="s">
        <f>B108&amp;"/"&amp;A108&amp;"/"&amp;C108</f>
        <v>245</v>
      </c>
      <c r="E108">
        <v>1.0416666666666667</v>
      </c>
      <c r="F108" t="s">
        <f>I108&amp;" "&amp;J108&amp;" "&amp;K108&amp;" "&amp;L108&amp;" "&amp;M108&amp;" "&amp;N108</f>
        <v>68</v>
      </c>
      <c r="G108" t="s">
        <f>TEXT(D108,"mmm dd")</f>
        <v>246</v>
      </c>
      <c r="I108" t="s">
        <v>69</v>
      </c>
    </row>
    <row r="109" spans="1:23">
      <c r="A109">
        <v>30</v>
      </c>
      <c r="B109">
        <v>4</v>
      </c>
      <c r="C109">
        <v>2008</v>
      </c>
      <c r="D109" s="3" t="s">
        <f>B109&amp;"/"&amp;A109&amp;"/"&amp;C109</f>
        <v>245</v>
      </c>
      <c r="E109">
        <v>1.0416666666666667</v>
      </c>
      <c r="F109" t="s">
        <f>I109&amp;" "&amp;J109&amp;" "&amp;K109&amp;" "&amp;L109&amp;" "&amp;M109&amp;" "&amp;N109</f>
        <v>68</v>
      </c>
      <c r="G109" t="s">
        <f>TEXT(D109,"mmm dd")</f>
        <v>246</v>
      </c>
      <c r="I109" t="s">
        <v>69</v>
      </c>
    </row>
    <row r="110" spans="1:23">
      <c r="A110">
        <v>30</v>
      </c>
      <c r="B110">
        <v>4</v>
      </c>
      <c r="C110">
        <v>2008</v>
      </c>
      <c r="D110" s="3" t="s">
        <f>B110&amp;"/"&amp;A110&amp;"/"&amp;C110</f>
        <v>245</v>
      </c>
      <c r="E110">
        <v>0.9375</v>
      </c>
      <c r="F110" t="s">
        <f>I110&amp;" "&amp;J110&amp;" "&amp;K110&amp;" "&amp;L110&amp;" "&amp;M110&amp;" "&amp;N110</f>
        <v>64</v>
      </c>
      <c r="G110" t="s">
        <f>TEXT(D110,"mmm dd")</f>
        <v>246</v>
      </c>
      <c r="I110" t="s">
        <v>66</v>
      </c>
    </row>
    <row r="111" spans="1:23">
      <c r="A111">
        <v>30</v>
      </c>
      <c r="B111">
        <v>4</v>
      </c>
      <c r="C111">
        <v>2008</v>
      </c>
      <c r="D111" s="3" t="s">
        <f>B111&amp;"/"&amp;A111&amp;"/"&amp;C111</f>
        <v>245</v>
      </c>
      <c r="E111">
        <v>1</v>
      </c>
      <c r="F111" t="s">
        <f>I111&amp;" "&amp;J111&amp;" "&amp;K111&amp;" "&amp;L111&amp;" "&amp;M111&amp;" "&amp;N111</f>
        <v>71</v>
      </c>
      <c r="G111" t="s">
        <f>TEXT(D111,"mmm dd")</f>
        <v>246</v>
      </c>
      <c r="I111" t="s">
        <v>72</v>
      </c>
      <c r="J111" t="s">
        <v>73</v>
      </c>
      <c r="K111" t="s">
        <v>74</v>
      </c>
    </row>
    <row r="112" spans="1:23">
      <c r="A112">
        <v>1</v>
      </c>
      <c r="B112">
        <v>5</v>
      </c>
      <c r="C112">
        <v>2008</v>
      </c>
      <c r="D112" s="3" t="s">
        <f>B112&amp;"/"&amp;A112&amp;"/"&amp;C112</f>
        <v>247</v>
      </c>
      <c r="E112" t="s">
        <v>42</v>
      </c>
      <c r="F112" t="s">
        <f>I112&amp;" "&amp;J112&amp;" "&amp;K112&amp;" "&amp;L112&amp;" "&amp;M112&amp;" "&amp;N112</f>
        <v>248</v>
      </c>
      <c r="G112" t="s">
        <f>TEXT(D112,"mmm dd")</f>
        <v>249</v>
      </c>
      <c r="I112" t="s">
        <v>228</v>
      </c>
      <c r="J112" t="s">
        <v>250</v>
      </c>
      <c r="K112" t="s">
        <v>135</v>
      </c>
      <c r="L112" t="s">
        <v>228</v>
      </c>
      <c r="M112" t="s">
        <v>251</v>
      </c>
      <c r="N112" t="s">
        <v>252</v>
      </c>
    </row>
    <row r="113" spans="1:23">
      <c r="A113">
        <v>1</v>
      </c>
      <c r="B113">
        <v>5</v>
      </c>
      <c r="C113">
        <v>2008</v>
      </c>
      <c r="D113" s="3" t="s">
        <f>B113&amp;"/"&amp;A113&amp;"/"&amp;C113</f>
        <v>247</v>
      </c>
      <c r="E113" t="s">
        <v>42</v>
      </c>
      <c r="F113" t="s">
        <f>I113&amp;" "&amp;J113&amp;" "&amp;K113&amp;" "&amp;L113&amp;" "&amp;M113&amp;" "&amp;N113</f>
        <v>253</v>
      </c>
      <c r="G113" t="s">
        <f>TEXT(D113,"mmm dd")</f>
        <v>249</v>
      </c>
      <c r="I113" t="s">
        <v>254</v>
      </c>
      <c r="J113" t="s">
        <v>10</v>
      </c>
    </row>
    <row r="114" spans="1:23">
      <c r="A114">
        <v>1</v>
      </c>
      <c r="B114">
        <v>5</v>
      </c>
      <c r="C114">
        <v>2008</v>
      </c>
      <c r="D114" s="3" t="s">
        <f>B114&amp;"/"&amp;A114&amp;"/"&amp;C114</f>
        <v>247</v>
      </c>
      <c r="E114" t="s">
        <v>42</v>
      </c>
      <c r="F114" t="s">
        <f>I114&amp;" "&amp;J114&amp;" "&amp;K114&amp;" "&amp;L114&amp;" "&amp;M114&amp;" "&amp;N114</f>
        <v>253</v>
      </c>
      <c r="G114" t="s">
        <f>TEXT(D114,"mmm dd")</f>
        <v>249</v>
      </c>
      <c r="I114" t="s">
        <v>254</v>
      </c>
      <c r="J114" t="s">
        <v>10</v>
      </c>
    </row>
    <row r="115" spans="1:23">
      <c r="A115">
        <v>1</v>
      </c>
      <c r="B115">
        <v>5</v>
      </c>
      <c r="C115">
        <v>2008</v>
      </c>
      <c r="D115" s="3" t="s">
        <f>B115&amp;"/"&amp;A115&amp;"/"&amp;C115</f>
        <v>247</v>
      </c>
      <c r="E115" t="s">
        <v>42</v>
      </c>
      <c r="F115" t="s">
        <f>I115&amp;" "&amp;J115&amp;" "&amp;K115&amp;" "&amp;L115&amp;" "&amp;M115&amp;" "&amp;N115</f>
        <v>248</v>
      </c>
      <c r="G115" t="s">
        <f>TEXT(D115,"mmm dd")</f>
        <v>249</v>
      </c>
      <c r="I115" t="s">
        <v>228</v>
      </c>
      <c r="J115" t="s">
        <v>250</v>
      </c>
      <c r="K115" t="s">
        <v>135</v>
      </c>
      <c r="L115" t="s">
        <v>228</v>
      </c>
      <c r="M115" t="s">
        <v>251</v>
      </c>
      <c r="N115" t="s">
        <v>252</v>
      </c>
    </row>
    <row r="116" spans="1:23">
      <c r="A116">
        <v>2</v>
      </c>
      <c r="B116">
        <v>5</v>
      </c>
      <c r="C116">
        <v>2008</v>
      </c>
      <c r="D116" s="3" t="s">
        <f>B116&amp;"/"&amp;A116&amp;"/"&amp;C116</f>
        <v>255</v>
      </c>
      <c r="E116">
        <v>0.3125</v>
      </c>
      <c r="F116" t="s">
        <f>I116&amp;" "&amp;J116&amp;" "&amp;K116&amp;" "&amp;L116&amp;" "&amp;M116&amp;" "&amp;N116</f>
        <v>99</v>
      </c>
      <c r="G116" t="s">
        <f>TEXT(D116,"mmm dd")</f>
        <v>256</v>
      </c>
      <c r="I116" t="s">
        <v>100</v>
      </c>
      <c r="J116" t="s">
        <v>101</v>
      </c>
      <c r="K116" t="s">
        <v>102</v>
      </c>
      <c r="L116" t="s">
        <v>103</v>
      </c>
      <c r="M116" t="s">
        <v>53</v>
      </c>
      <c r="N116" t="s">
        <v>104</v>
      </c>
    </row>
    <row r="117" spans="1:23">
      <c r="A117">
        <v>2</v>
      </c>
      <c r="B117">
        <v>5</v>
      </c>
      <c r="C117">
        <v>2008</v>
      </c>
      <c r="D117" s="3" t="s">
        <f>B117&amp;"/"&amp;A117&amp;"/"&amp;C117</f>
        <v>255</v>
      </c>
      <c r="E117" t="s">
        <v>42</v>
      </c>
      <c r="F117" t="s">
        <f>I117&amp;" "&amp;J117&amp;" "&amp;K117&amp;" "&amp;L117&amp;" "&amp;M117&amp;" "&amp;N117</f>
        <v>257</v>
      </c>
      <c r="G117" t="s">
        <f>TEXT(D117,"mmm dd")</f>
        <v>256</v>
      </c>
      <c r="I117" t="s">
        <v>258</v>
      </c>
      <c r="J117" t="s">
        <v>85</v>
      </c>
      <c r="K117" t="s">
        <v>86</v>
      </c>
      <c r="L117" t="s">
        <v>259</v>
      </c>
      <c r="M117">
        <v>373</v>
      </c>
    </row>
    <row r="118" spans="1:23">
      <c r="A118">
        <v>2</v>
      </c>
      <c r="B118">
        <v>5</v>
      </c>
      <c r="C118">
        <v>2008</v>
      </c>
      <c r="D118" s="3" t="s">
        <f>B118&amp;"/"&amp;A118&amp;"/"&amp;C118</f>
        <v>255</v>
      </c>
      <c r="E118">
        <v>0.3125</v>
      </c>
      <c r="F118" t="s">
        <f>I118&amp;" "&amp;J118&amp;" "&amp;K118&amp;" "&amp;L118&amp;" "&amp;M118&amp;" "&amp;N118</f>
        <v>99</v>
      </c>
      <c r="G118" t="s">
        <f>TEXT(D118,"mmm dd")</f>
        <v>256</v>
      </c>
      <c r="I118" t="s">
        <v>100</v>
      </c>
      <c r="J118" t="s">
        <v>101</v>
      </c>
      <c r="K118" t="s">
        <v>102</v>
      </c>
      <c r="L118" t="s">
        <v>103</v>
      </c>
      <c r="M118" t="s">
        <v>53</v>
      </c>
      <c r="N118" t="s">
        <v>104</v>
      </c>
    </row>
    <row r="119" spans="1:23">
      <c r="A119">
        <v>2</v>
      </c>
      <c r="B119">
        <v>5</v>
      </c>
      <c r="C119">
        <v>2008</v>
      </c>
      <c r="D119" s="3" t="s">
        <f>B119&amp;"/"&amp;A119&amp;"/"&amp;C119</f>
        <v>255</v>
      </c>
      <c r="E119" t="s">
        <v>42</v>
      </c>
      <c r="F119" t="s">
        <f>I119&amp;" "&amp;J119&amp;" "&amp;K119&amp;" "&amp;L119&amp;" "&amp;M119&amp;" "&amp;N119</f>
        <v>257</v>
      </c>
      <c r="G119" t="s">
        <f>TEXT(D119,"mmm dd")</f>
        <v>256</v>
      </c>
      <c r="I119" t="s">
        <v>258</v>
      </c>
      <c r="J119" t="s">
        <v>85</v>
      </c>
      <c r="K119" t="s">
        <v>86</v>
      </c>
      <c r="L119" t="s">
        <v>259</v>
      </c>
      <c r="M119">
        <v>373</v>
      </c>
    </row>
    <row r="120" spans="1:23">
      <c r="A120">
        <v>3</v>
      </c>
      <c r="B120">
        <v>5</v>
      </c>
      <c r="C120">
        <v>2008</v>
      </c>
      <c r="D120" s="3" t="s">
        <f>B120&amp;"/"&amp;A120&amp;"/"&amp;C120</f>
        <v>260</v>
      </c>
      <c r="E120">
        <v>0.91666666666666663</v>
      </c>
      <c r="F120" t="s">
        <f>I120&amp;" "&amp;J120&amp;" "&amp;K120&amp;" "&amp;L120&amp;" "&amp;M120&amp;" "&amp;N120</f>
        <v>261</v>
      </c>
      <c r="G120" t="s">
        <f>TEXT(D120,"mmm dd")</f>
        <v>262</v>
      </c>
      <c r="I120" t="s">
        <v>263</v>
      </c>
      <c r="J120" t="s">
        <v>264</v>
      </c>
      <c r="K120" t="s">
        <v>53</v>
      </c>
      <c r="L120" t="s">
        <v>218</v>
      </c>
      <c r="M120" t="s">
        <v>265</v>
      </c>
    </row>
    <row r="121" spans="1:23">
      <c r="A121">
        <v>3</v>
      </c>
      <c r="B121">
        <v>5</v>
      </c>
      <c r="C121">
        <v>2008</v>
      </c>
      <c r="D121" s="3" t="s">
        <f>B121&amp;"/"&amp;A121&amp;"/"&amp;C121</f>
        <v>260</v>
      </c>
      <c r="E121">
        <v>0.3125</v>
      </c>
      <c r="F121" t="s">
        <f>I121&amp;" "&amp;J121&amp;" "&amp;K121&amp;" "&amp;L121&amp;" "&amp;M121&amp;" "&amp;N121</f>
        <v>107</v>
      </c>
      <c r="G121" t="s">
        <f>TEXT(D121,"mmm dd")</f>
        <v>262</v>
      </c>
      <c r="I121" t="s">
        <v>109</v>
      </c>
      <c r="J121" t="s">
        <v>110</v>
      </c>
    </row>
    <row r="122" spans="1:23">
      <c r="A122">
        <v>3</v>
      </c>
      <c r="B122">
        <v>5</v>
      </c>
      <c r="C122">
        <v>2008</v>
      </c>
      <c r="D122" s="3" t="s">
        <f>B122&amp;"/"&amp;A122&amp;"/"&amp;C122</f>
        <v>260</v>
      </c>
      <c r="E122">
        <v>0.3125</v>
      </c>
      <c r="F122" t="s">
        <f>I122&amp;" "&amp;J122&amp;" "&amp;K122&amp;" "&amp;L122&amp;" "&amp;M122&amp;" "&amp;N122</f>
        <v>107</v>
      </c>
      <c r="G122" t="s">
        <f>TEXT(D122,"mmm dd")</f>
        <v>262</v>
      </c>
      <c r="I122" t="s">
        <v>109</v>
      </c>
      <c r="J122" t="s">
        <v>110</v>
      </c>
    </row>
    <row r="123" spans="1:23">
      <c r="A123">
        <v>3</v>
      </c>
      <c r="B123">
        <v>5</v>
      </c>
      <c r="C123">
        <v>2008</v>
      </c>
      <c r="D123" s="3" t="s">
        <f>B123&amp;"/"&amp;A123&amp;"/"&amp;C123</f>
        <v>260</v>
      </c>
      <c r="E123">
        <v>0.91666666666666663</v>
      </c>
      <c r="F123" t="s">
        <f>I123&amp;" "&amp;J123&amp;" "&amp;K123&amp;" "&amp;L123&amp;" "&amp;M123&amp;" "&amp;N123</f>
        <v>261</v>
      </c>
      <c r="G123" t="s">
        <f>TEXT(D123,"mmm dd")</f>
        <v>262</v>
      </c>
      <c r="I123" t="s">
        <v>263</v>
      </c>
      <c r="J123" t="s">
        <v>264</v>
      </c>
      <c r="K123" t="s">
        <v>53</v>
      </c>
      <c r="L123" t="s">
        <v>218</v>
      </c>
      <c r="M123" t="s">
        <v>265</v>
      </c>
      <c r="O123">
        <v>1925</v>
      </c>
    </row>
    <row r="124" spans="1:23">
      <c r="A124">
        <v>4</v>
      </c>
      <c r="B124">
        <v>5</v>
      </c>
      <c r="C124">
        <v>2008</v>
      </c>
      <c r="D124" s="3" t="s">
        <f>B124&amp;"/"&amp;A124&amp;"/"&amp;C124</f>
        <v>266</v>
      </c>
      <c r="E124">
        <v>0.22916666666666666</v>
      </c>
      <c r="F124" t="s">
        <f>I124&amp;" "&amp;J124&amp;" "&amp;K124&amp;" "&amp;L124&amp;" "&amp;M124&amp;" "&amp;N124</f>
        <v>267</v>
      </c>
      <c r="G124" t="s">
        <f>TEXT(D124,"mmm dd")</f>
        <v>268</v>
      </c>
      <c r="I124" t="s">
        <v>170</v>
      </c>
      <c r="J124" t="s">
        <v>53</v>
      </c>
      <c r="K124" t="s">
        <v>269</v>
      </c>
      <c r="L124">
        <v>5</v>
      </c>
    </row>
    <row r="125" spans="1:23">
      <c r="A125">
        <v>4</v>
      </c>
      <c r="B125">
        <v>5</v>
      </c>
      <c r="C125">
        <v>2008</v>
      </c>
      <c r="D125" s="3" t="s">
        <f>B125&amp;"/"&amp;A125&amp;"/"&amp;C125</f>
        <v>266</v>
      </c>
      <c r="E125" t="s">
        <v>42</v>
      </c>
      <c r="F125" t="s">
        <f>I125&amp;" "&amp;J125&amp;" "&amp;K125&amp;" "&amp;L125&amp;" "&amp;M125&amp;" "&amp;N125</f>
        <v>270</v>
      </c>
      <c r="G125" t="s">
        <f>TEXT(D125,"mmm dd")</f>
        <v>268</v>
      </c>
      <c r="I125" t="s">
        <v>271</v>
      </c>
      <c r="J125" t="s">
        <v>272</v>
      </c>
      <c r="K125" t="s">
        <v>86</v>
      </c>
      <c r="L125" t="s">
        <v>273</v>
      </c>
      <c r="M125" t="s">
        <v>86</v>
      </c>
      <c r="N125" t="s">
        <v>274</v>
      </c>
    </row>
    <row r="126" spans="1:23">
      <c r="A126">
        <v>4</v>
      </c>
      <c r="B126">
        <v>5</v>
      </c>
      <c r="C126">
        <v>2008</v>
      </c>
      <c r="D126" s="3" t="s">
        <f>B126&amp;"/"&amp;A126&amp;"/"&amp;C126</f>
        <v>266</v>
      </c>
      <c r="E126">
        <v>1.0416666666666667</v>
      </c>
      <c r="F126" t="s">
        <f>I126&amp;" "&amp;J126&amp;" "&amp;K126&amp;" "&amp;L126&amp;" "&amp;M126&amp;" "&amp;N126</f>
        <v>275</v>
      </c>
      <c r="G126" t="s">
        <f>TEXT(D126,"mmm dd")</f>
        <v>268</v>
      </c>
      <c r="I126" t="s">
        <v>170</v>
      </c>
      <c r="J126" t="s">
        <v>53</v>
      </c>
      <c r="K126" t="s">
        <v>171</v>
      </c>
      <c r="L126">
        <v>2</v>
      </c>
      <c r="O126">
        <v>804</v>
      </c>
    </row>
    <row r="127" spans="1:23">
      <c r="A127">
        <v>4</v>
      </c>
      <c r="B127">
        <v>5</v>
      </c>
      <c r="C127">
        <v>2008</v>
      </c>
      <c r="D127" s="3" t="s">
        <f>B127&amp;"/"&amp;A127&amp;"/"&amp;C127</f>
        <v>266</v>
      </c>
      <c r="E127">
        <v>0.22916666666666666</v>
      </c>
      <c r="F127" t="s">
        <f>I127&amp;" "&amp;J127&amp;" "&amp;K127&amp;" "&amp;L127&amp;" "&amp;M127&amp;" "&amp;N127</f>
        <v>267</v>
      </c>
      <c r="G127" t="s">
        <f>TEXT(D127,"mmm dd")</f>
        <v>268</v>
      </c>
      <c r="I127" t="s">
        <v>170</v>
      </c>
      <c r="J127" t="s">
        <v>53</v>
      </c>
      <c r="K127" t="s">
        <v>269</v>
      </c>
      <c r="L127">
        <v>5</v>
      </c>
    </row>
    <row r="128" spans="1:23">
      <c r="A128">
        <v>4</v>
      </c>
      <c r="B128">
        <v>5</v>
      </c>
      <c r="C128">
        <v>2008</v>
      </c>
      <c r="D128" s="3" t="s">
        <f>B128&amp;"/"&amp;A128&amp;"/"&amp;C128</f>
        <v>266</v>
      </c>
      <c r="E128">
        <v>1.0416666666666667</v>
      </c>
      <c r="F128" t="s">
        <f>I128&amp;" "&amp;J128&amp;" "&amp;K128&amp;" "&amp;L128&amp;" "&amp;M128&amp;" "&amp;N128</f>
        <v>275</v>
      </c>
      <c r="G128" t="s">
        <f>TEXT(D128,"mmm dd")</f>
        <v>268</v>
      </c>
      <c r="I128" t="s">
        <v>170</v>
      </c>
      <c r="J128" t="s">
        <v>53</v>
      </c>
      <c r="K128" t="s">
        <v>171</v>
      </c>
      <c r="L128">
        <v>2</v>
      </c>
    </row>
    <row r="129" spans="1:23">
      <c r="A129">
        <v>4</v>
      </c>
      <c r="B129">
        <v>5</v>
      </c>
      <c r="C129">
        <v>2008</v>
      </c>
      <c r="D129" s="3" t="s">
        <f>B129&amp;"/"&amp;A129&amp;"/"&amp;C129</f>
        <v>266</v>
      </c>
      <c r="E129" t="s">
        <v>42</v>
      </c>
      <c r="F129" t="s">
        <f>I129&amp;" "&amp;J129&amp;" "&amp;K129&amp;" "&amp;L129&amp;" "&amp;M129&amp;" "&amp;N129</f>
        <v>270</v>
      </c>
      <c r="G129" t="s">
        <f>TEXT(D129,"mmm dd")</f>
        <v>268</v>
      </c>
      <c r="I129" t="s">
        <v>271</v>
      </c>
      <c r="J129" t="s">
        <v>272</v>
      </c>
      <c r="K129" t="s">
        <v>86</v>
      </c>
      <c r="L129" t="s">
        <v>273</v>
      </c>
      <c r="M129" t="s">
        <v>86</v>
      </c>
      <c r="N129" t="s">
        <v>274</v>
      </c>
    </row>
    <row r="130" spans="1:23">
      <c r="A130">
        <v>6</v>
      </c>
      <c r="B130">
        <v>5</v>
      </c>
      <c r="C130">
        <v>2008</v>
      </c>
      <c r="D130" s="3" t="s">
        <f>B130&amp;"/"&amp;A130&amp;"/"&amp;C130</f>
        <v>276</v>
      </c>
      <c r="E130">
        <v>0.88541666666666663</v>
      </c>
      <c r="F130" t="s">
        <f>I130&amp;" "&amp;J130&amp;" "&amp;K130&amp;" "&amp;L130&amp;" "&amp;M130&amp;" "&amp;N130</f>
        <v>45</v>
      </c>
      <c r="G130" t="s">
        <f>TEXT(D130,"mmm dd")</f>
        <v>277</v>
      </c>
      <c r="I130" t="s">
        <v>46</v>
      </c>
      <c r="J130" t="s">
        <v>47</v>
      </c>
      <c r="K130" t="s">
        <v>48</v>
      </c>
      <c r="L130" t="s">
        <v>49</v>
      </c>
    </row>
    <row r="131" spans="1:23">
      <c r="A131">
        <v>6</v>
      </c>
      <c r="B131">
        <v>5</v>
      </c>
      <c r="C131">
        <v>2008</v>
      </c>
      <c r="D131" s="3" t="s">
        <f>B131&amp;"/"&amp;A131&amp;"/"&amp;C131</f>
        <v>276</v>
      </c>
      <c r="E131">
        <v>0.88541666666666663</v>
      </c>
      <c r="F131" t="s">
        <f>I131&amp;" "&amp;J131&amp;" "&amp;K131&amp;" "&amp;L131&amp;" "&amp;M131&amp;" "&amp;N131</f>
        <v>45</v>
      </c>
      <c r="G131" t="s">
        <f>TEXT(D131,"mmm dd")</f>
        <v>277</v>
      </c>
      <c r="I131" t="s">
        <v>46</v>
      </c>
      <c r="J131" t="s">
        <v>47</v>
      </c>
      <c r="K131" t="s">
        <v>48</v>
      </c>
      <c r="L131" t="s">
        <v>49</v>
      </c>
    </row>
    <row r="132" spans="1:23">
      <c r="A132">
        <v>7</v>
      </c>
      <c r="B132">
        <v>5</v>
      </c>
      <c r="C132">
        <v>2008</v>
      </c>
      <c r="D132" s="3" t="s">
        <f>B132&amp;"/"&amp;A132&amp;"/"&amp;C132</f>
        <v>278</v>
      </c>
      <c r="E132">
        <v>1</v>
      </c>
      <c r="F132" t="s">
        <f>I132&amp;" "&amp;J132&amp;" "&amp;K132&amp;" "&amp;L132&amp;" "&amp;M132&amp;" "&amp;N132</f>
        <v>71</v>
      </c>
      <c r="G132" t="s">
        <f>TEXT(D132,"mmm dd")</f>
        <v>279</v>
      </c>
      <c r="I132" t="s">
        <v>72</v>
      </c>
      <c r="J132" t="s">
        <v>73</v>
      </c>
      <c r="K132" t="s">
        <v>74</v>
      </c>
    </row>
    <row r="133" spans="1:23">
      <c r="A133">
        <v>7</v>
      </c>
      <c r="B133">
        <v>5</v>
      </c>
      <c r="C133">
        <v>2008</v>
      </c>
      <c r="D133" s="3" t="s">
        <f>B133&amp;"/"&amp;A133&amp;"/"&amp;C133</f>
        <v>278</v>
      </c>
      <c r="E133">
        <v>0.9375</v>
      </c>
      <c r="F133" t="s">
        <f>I133&amp;" "&amp;J133&amp;" "&amp;K133&amp;" "&amp;L133&amp;" "&amp;M133&amp;" "&amp;N133</f>
        <v>64</v>
      </c>
      <c r="G133" t="s">
        <f>TEXT(D133,"mmm dd")</f>
        <v>279</v>
      </c>
      <c r="I133" t="s">
        <v>66</v>
      </c>
    </row>
    <row r="134" spans="1:23">
      <c r="A134">
        <v>7</v>
      </c>
      <c r="B134">
        <v>5</v>
      </c>
      <c r="C134">
        <v>2008</v>
      </c>
      <c r="D134" s="3" t="s">
        <f>B134&amp;"/"&amp;A134&amp;"/"&amp;C134</f>
        <v>278</v>
      </c>
      <c r="E134">
        <v>1.0416666666666667</v>
      </c>
      <c r="F134" t="s">
        <f>I134&amp;" "&amp;J134&amp;" "&amp;K134&amp;" "&amp;L134&amp;" "&amp;M134&amp;" "&amp;N134</f>
        <v>68</v>
      </c>
      <c r="G134" t="s">
        <f>TEXT(D134,"mmm dd")</f>
        <v>279</v>
      </c>
      <c r="I134" t="s">
        <v>69</v>
      </c>
    </row>
    <row r="135" spans="1:23">
      <c r="A135">
        <v>7</v>
      </c>
      <c r="B135">
        <v>5</v>
      </c>
      <c r="C135">
        <v>2008</v>
      </c>
      <c r="D135" s="3" t="s">
        <f>B135&amp;"/"&amp;A135&amp;"/"&amp;C135</f>
        <v>278</v>
      </c>
      <c r="E135">
        <v>0.9375</v>
      </c>
      <c r="F135" t="s">
        <f>I135&amp;" "&amp;J135&amp;" "&amp;K135&amp;" "&amp;L135&amp;" "&amp;M135&amp;" "&amp;N135</f>
        <v>64</v>
      </c>
      <c r="G135" t="s">
        <f>TEXT(D135,"mmm dd")</f>
        <v>279</v>
      </c>
      <c r="I135" t="s">
        <v>66</v>
      </c>
    </row>
    <row r="136" spans="1:23">
      <c r="A136">
        <v>7</v>
      </c>
      <c r="B136">
        <v>5</v>
      </c>
      <c r="C136">
        <v>2008</v>
      </c>
      <c r="D136" s="3" t="s">
        <f>B136&amp;"/"&amp;A136&amp;"/"&amp;C136</f>
        <v>278</v>
      </c>
      <c r="E136">
        <v>1</v>
      </c>
      <c r="F136" t="s">
        <f>I136&amp;" "&amp;J136&amp;" "&amp;K136&amp;" "&amp;L136&amp;" "&amp;M136&amp;" "&amp;N136</f>
        <v>71</v>
      </c>
      <c r="G136" t="s">
        <f>TEXT(D136,"mmm dd")</f>
        <v>279</v>
      </c>
      <c r="I136" t="s">
        <v>72</v>
      </c>
      <c r="J136" t="s">
        <v>73</v>
      </c>
      <c r="K136" t="s">
        <v>74</v>
      </c>
      <c r="O136">
        <v>387</v>
      </c>
    </row>
    <row r="137" spans="1:23">
      <c r="A137">
        <v>7</v>
      </c>
      <c r="B137">
        <v>5</v>
      </c>
      <c r="C137">
        <v>2008</v>
      </c>
      <c r="D137" s="3" t="s">
        <f>B137&amp;"/"&amp;A137&amp;"/"&amp;C137</f>
        <v>278</v>
      </c>
      <c r="E137">
        <v>1.0416666666666667</v>
      </c>
      <c r="F137" t="s">
        <f>I137&amp;" "&amp;J137&amp;" "&amp;K137&amp;" "&amp;L137&amp;" "&amp;M137&amp;" "&amp;N137</f>
        <v>68</v>
      </c>
      <c r="G137" t="s">
        <f>TEXT(D137,"mmm dd")</f>
        <v>279</v>
      </c>
      <c r="I137" t="s">
        <v>69</v>
      </c>
    </row>
    <row r="138" spans="1:23">
      <c r="A138">
        <v>8</v>
      </c>
      <c r="B138">
        <v>5</v>
      </c>
      <c r="C138">
        <v>2008</v>
      </c>
      <c r="D138" s="3" t="s">
        <f>B138&amp;"/"&amp;A138&amp;"/"&amp;C138</f>
        <v>280</v>
      </c>
      <c r="E138" t="s">
        <v>42</v>
      </c>
      <c r="F138" t="s">
        <f>I138&amp;" "&amp;J138&amp;" "&amp;K138&amp;" "&amp;L138&amp;" "&amp;M138&amp;" "&amp;N138</f>
        <v>281</v>
      </c>
      <c r="G138" t="s">
        <f>TEXT(D138,"mmm dd")</f>
        <v>282</v>
      </c>
      <c r="I138" t="s">
        <v>283</v>
      </c>
      <c r="J138" t="s">
        <v>284</v>
      </c>
      <c r="K138" t="s">
        <v>86</v>
      </c>
      <c r="L138" t="s">
        <v>285</v>
      </c>
      <c r="M138" t="s">
        <v>286</v>
      </c>
      <c r="N138">
        <v>1417</v>
      </c>
      <c r="O138" t="s">
        <v>222</v>
      </c>
    </row>
    <row r="139" spans="1:23">
      <c r="A139">
        <v>8</v>
      </c>
      <c r="B139">
        <v>5</v>
      </c>
      <c r="C139">
        <v>2008</v>
      </c>
      <c r="D139" s="3" t="s">
        <f>B139&amp;"/"&amp;A139&amp;"/"&amp;C139</f>
        <v>280</v>
      </c>
      <c r="E139" t="s">
        <v>42</v>
      </c>
      <c r="F139" t="s">
        <f>I139&amp;" "&amp;J139&amp;" "&amp;K139&amp;" "&amp;L139&amp;" "&amp;M139&amp;" "&amp;N139</f>
        <v>155</v>
      </c>
      <c r="G139" t="s">
        <f>TEXT(D139,"mmm dd")</f>
        <v>282</v>
      </c>
      <c r="I139" t="s">
        <v>156</v>
      </c>
      <c r="J139" t="s">
        <v>157</v>
      </c>
    </row>
    <row r="140" spans="1:23">
      <c r="A140">
        <v>8</v>
      </c>
      <c r="B140">
        <v>5</v>
      </c>
      <c r="C140">
        <v>2008</v>
      </c>
      <c r="D140" s="3" t="s">
        <f>B140&amp;"/"&amp;A140&amp;"/"&amp;C140</f>
        <v>280</v>
      </c>
      <c r="E140">
        <v>0.25</v>
      </c>
      <c r="F140" t="s">
        <f>I140&amp;" "&amp;J140&amp;" "&amp;K140&amp;" "&amp;L140&amp;" "&amp;M140&amp;" "&amp;N140</f>
        <v>287</v>
      </c>
      <c r="G140" t="s">
        <f>TEXT(D140,"mmm dd")</f>
        <v>282</v>
      </c>
      <c r="I140" t="s">
        <v>288</v>
      </c>
      <c r="J140" t="s">
        <v>170</v>
      </c>
      <c r="K140" t="s">
        <v>289</v>
      </c>
    </row>
    <row r="141" spans="1:23">
      <c r="A141">
        <v>8</v>
      </c>
      <c r="B141">
        <v>5</v>
      </c>
      <c r="C141">
        <v>2008</v>
      </c>
      <c r="D141" s="3" t="s">
        <f>B141&amp;"/"&amp;A141&amp;"/"&amp;C141</f>
        <v>280</v>
      </c>
      <c r="E141">
        <v>0.875</v>
      </c>
      <c r="F141" t="s">
        <f>I141&amp;" "&amp;J141&amp;" "&amp;K141&amp;" "&amp;L141&amp;" "&amp;M141&amp;" "&amp;N141</f>
        <v>290</v>
      </c>
      <c r="G141" t="s">
        <f>TEXT(D141,"mmm dd")</f>
        <v>282</v>
      </c>
      <c r="I141" t="s">
        <v>291</v>
      </c>
      <c r="J141" t="s">
        <v>53</v>
      </c>
      <c r="K141" t="s">
        <v>292</v>
      </c>
    </row>
    <row r="142" spans="1:23">
      <c r="A142">
        <v>8</v>
      </c>
      <c r="B142">
        <v>5</v>
      </c>
      <c r="C142">
        <v>2008</v>
      </c>
      <c r="D142" s="3" t="s">
        <f>B142&amp;"/"&amp;A142&amp;"/"&amp;C142</f>
        <v>280</v>
      </c>
      <c r="E142" t="s">
        <v>42</v>
      </c>
      <c r="F142" t="s">
        <f>I142&amp;" "&amp;J142&amp;" "&amp;K142&amp;" "&amp;L142&amp;" "&amp;M142&amp;" "&amp;N142</f>
        <v>281</v>
      </c>
      <c r="G142" t="s">
        <f>TEXT(D142,"mmm dd")</f>
        <v>282</v>
      </c>
      <c r="I142" t="s">
        <v>283</v>
      </c>
      <c r="J142" t="s">
        <v>284</v>
      </c>
      <c r="K142" t="s">
        <v>86</v>
      </c>
      <c r="L142" t="s">
        <v>285</v>
      </c>
      <c r="M142" t="s">
        <v>286</v>
      </c>
      <c r="N142">
        <v>1417</v>
      </c>
    </row>
    <row r="143" spans="1:23">
      <c r="A143">
        <v>8</v>
      </c>
      <c r="B143">
        <v>5</v>
      </c>
      <c r="C143">
        <v>2008</v>
      </c>
      <c r="D143" s="3" t="s">
        <f>B143&amp;"/"&amp;A143&amp;"/"&amp;C143</f>
        <v>280</v>
      </c>
      <c r="E143">
        <v>0.875</v>
      </c>
      <c r="F143" t="s">
        <f>I143&amp;" "&amp;J143&amp;" "&amp;K143&amp;" "&amp;L143&amp;" "&amp;M143&amp;" "&amp;N143</f>
        <v>290</v>
      </c>
      <c r="G143" t="s">
        <f>TEXT(D143,"mmm dd")</f>
        <v>282</v>
      </c>
      <c r="I143" t="s">
        <v>291</v>
      </c>
      <c r="J143" t="s">
        <v>53</v>
      </c>
      <c r="K143" t="s">
        <v>292</v>
      </c>
    </row>
    <row r="144" spans="1:23">
      <c r="A144">
        <v>8</v>
      </c>
      <c r="B144">
        <v>5</v>
      </c>
      <c r="C144">
        <v>2008</v>
      </c>
      <c r="D144" s="3" t="s">
        <f>B144&amp;"/"&amp;A144&amp;"/"&amp;C144</f>
        <v>280</v>
      </c>
      <c r="E144">
        <v>0.25</v>
      </c>
      <c r="F144" t="s">
        <f>I144&amp;" "&amp;J144&amp;" "&amp;K144&amp;" "&amp;L144&amp;" "&amp;M144&amp;" "&amp;N144</f>
        <v>287</v>
      </c>
      <c r="G144" t="s">
        <f>TEXT(D144,"mmm dd")</f>
        <v>282</v>
      </c>
      <c r="I144" t="s">
        <v>288</v>
      </c>
      <c r="J144" t="s">
        <v>170</v>
      </c>
      <c r="K144" t="s">
        <v>289</v>
      </c>
      <c r="O144" t="s">
        <v>242</v>
      </c>
      <c r="P144" t="s">
        <v>243</v>
      </c>
      <c r="Q144" t="s">
        <v>244</v>
      </c>
    </row>
    <row r="145" spans="1:23">
      <c r="A145">
        <v>8</v>
      </c>
      <c r="B145">
        <v>5</v>
      </c>
      <c r="C145">
        <v>2008</v>
      </c>
      <c r="D145" s="3" t="s">
        <f>B145&amp;"/"&amp;A145&amp;"/"&amp;C145</f>
        <v>280</v>
      </c>
      <c r="E145" t="s">
        <v>42</v>
      </c>
      <c r="F145" t="s">
        <f>I145&amp;" "&amp;J145&amp;" "&amp;K145&amp;" "&amp;L145&amp;" "&amp;M145&amp;" "&amp;N145</f>
        <v>155</v>
      </c>
      <c r="G145" t="s">
        <f>TEXT(D145,"mmm dd")</f>
        <v>282</v>
      </c>
      <c r="I145" t="s">
        <v>156</v>
      </c>
      <c r="J145" t="s">
        <v>157</v>
      </c>
    </row>
    <row r="146" spans="1:23">
      <c r="A146">
        <v>9</v>
      </c>
      <c r="B146">
        <v>5</v>
      </c>
      <c r="C146">
        <v>2008</v>
      </c>
      <c r="D146" s="3" t="s">
        <f>B146&amp;"/"&amp;A146&amp;"/"&amp;C146</f>
        <v>293</v>
      </c>
      <c r="E146" t="s">
        <v>42</v>
      </c>
      <c r="F146" t="s">
        <f>I146&amp;" "&amp;J146&amp;" "&amp;K146&amp;" "&amp;L146&amp;" "&amp;M146&amp;" "&amp;N146</f>
        <v>294</v>
      </c>
      <c r="G146" t="s">
        <f>TEXT(D146,"mmm dd")</f>
        <v>295</v>
      </c>
      <c r="I146" t="s">
        <v>296</v>
      </c>
      <c r="J146" t="s">
        <v>86</v>
      </c>
      <c r="K146" t="s">
        <v>297</v>
      </c>
      <c r="L146" t="s">
        <v>85</v>
      </c>
      <c r="M146" t="s">
        <v>86</v>
      </c>
      <c r="N146" t="s">
        <v>298</v>
      </c>
    </row>
    <row r="147" spans="1:23">
      <c r="A147">
        <v>9</v>
      </c>
      <c r="B147">
        <v>5</v>
      </c>
      <c r="C147">
        <v>2008</v>
      </c>
      <c r="D147" s="3" t="s">
        <f>B147&amp;"/"&amp;A147&amp;"/"&amp;C147</f>
        <v>293</v>
      </c>
      <c r="E147">
        <v>0.27083333333333331</v>
      </c>
      <c r="F147" t="s">
        <f>I147&amp;" "&amp;J147&amp;" "&amp;K147&amp;" "&amp;L147&amp;" "&amp;M147&amp;" "&amp;N147</f>
        <v>299</v>
      </c>
      <c r="G147" t="s">
        <f>TEXT(D147,"mmm dd")</f>
        <v>295</v>
      </c>
      <c r="I147" t="s">
        <v>300</v>
      </c>
      <c r="J147" t="s">
        <v>301</v>
      </c>
      <c r="K147" t="s">
        <v>302</v>
      </c>
    </row>
    <row r="148" spans="1:23">
      <c r="A148">
        <v>9</v>
      </c>
      <c r="B148">
        <v>5</v>
      </c>
      <c r="C148">
        <v>2008</v>
      </c>
      <c r="D148" s="3" t="s">
        <f>B148&amp;"/"&amp;A148&amp;"/"&amp;C148</f>
        <v>293</v>
      </c>
      <c r="E148" t="s">
        <v>42</v>
      </c>
      <c r="F148" t="s">
        <f>I148&amp;" "&amp;J148&amp;" "&amp;K148&amp;" "&amp;L148&amp;" "&amp;M148&amp;" "&amp;N148</f>
        <v>294</v>
      </c>
      <c r="G148" t="s">
        <f>TEXT(D148,"mmm dd")</f>
        <v>295</v>
      </c>
      <c r="I148" t="s">
        <v>296</v>
      </c>
      <c r="J148" t="s">
        <v>86</v>
      </c>
      <c r="K148" t="s">
        <v>297</v>
      </c>
      <c r="L148" t="s">
        <v>85</v>
      </c>
      <c r="M148" t="s">
        <v>86</v>
      </c>
      <c r="N148" t="s">
        <v>298</v>
      </c>
    </row>
    <row r="149" spans="1:23">
      <c r="A149">
        <v>9</v>
      </c>
      <c r="B149">
        <v>5</v>
      </c>
      <c r="C149">
        <v>2008</v>
      </c>
      <c r="D149" s="3" t="s">
        <f>B149&amp;"/"&amp;A149&amp;"/"&amp;C149</f>
        <v>293</v>
      </c>
      <c r="E149">
        <v>0.27083333333333331</v>
      </c>
      <c r="F149" t="s">
        <f>I149&amp;" "&amp;J149&amp;" "&amp;K149&amp;" "&amp;L149&amp;" "&amp;M149&amp;" "&amp;N149</f>
        <v>299</v>
      </c>
      <c r="G149" t="s">
        <f>TEXT(D149,"mmm dd")</f>
        <v>295</v>
      </c>
      <c r="I149" t="s">
        <v>300</v>
      </c>
      <c r="J149" t="s">
        <v>301</v>
      </c>
      <c r="K149" t="s">
        <v>302</v>
      </c>
    </row>
    <row r="150" spans="1:23">
      <c r="A150">
        <v>10</v>
      </c>
      <c r="B150">
        <v>5</v>
      </c>
      <c r="C150">
        <v>2008</v>
      </c>
      <c r="D150" s="3" t="s">
        <f>B150&amp;"/"&amp;A150&amp;"/"&amp;C150</f>
        <v>303</v>
      </c>
      <c r="E150">
        <v>0.3125</v>
      </c>
      <c r="F150" t="s">
        <f>I150&amp;" "&amp;J150&amp;" "&amp;K150&amp;" "&amp;L150&amp;" "&amp;M150&amp;" "&amp;N150</f>
        <v>107</v>
      </c>
      <c r="G150" t="s">
        <f>TEXT(D150,"mmm dd")</f>
        <v>304</v>
      </c>
      <c r="I150" t="s">
        <v>109</v>
      </c>
      <c r="J150" t="s">
        <v>110</v>
      </c>
    </row>
    <row r="151" spans="1:23">
      <c r="A151">
        <v>10</v>
      </c>
      <c r="B151">
        <v>5</v>
      </c>
      <c r="C151">
        <v>2008</v>
      </c>
      <c r="D151" s="3" t="s">
        <f>B151&amp;"/"&amp;A151&amp;"/"&amp;C151</f>
        <v>303</v>
      </c>
      <c r="E151">
        <v>1.1041666666666667</v>
      </c>
      <c r="F151" t="s">
        <f>I151&amp;" "&amp;J151&amp;" "&amp;K151&amp;" "&amp;L151&amp;" "&amp;M151&amp;" "&amp;N151</f>
        <v>305</v>
      </c>
      <c r="G151" t="s">
        <f>TEXT(D151,"mmm dd")</f>
        <v>304</v>
      </c>
      <c r="I151" t="s">
        <v>171</v>
      </c>
      <c r="J151">
        <v>3</v>
      </c>
    </row>
    <row r="152" spans="1:23">
      <c r="A152">
        <v>10</v>
      </c>
      <c r="B152">
        <v>5</v>
      </c>
      <c r="C152">
        <v>2008</v>
      </c>
      <c r="D152" s="3" t="s">
        <f>B152&amp;"/"&amp;A152&amp;"/"&amp;C152</f>
        <v>303</v>
      </c>
      <c r="E152">
        <v>1.1041666666666667</v>
      </c>
      <c r="F152" t="s">
        <f>I152&amp;" "&amp;J152&amp;" "&amp;K152&amp;" "&amp;L152&amp;" "&amp;M152&amp;" "&amp;N152</f>
        <v>305</v>
      </c>
      <c r="G152" t="s">
        <f>TEXT(D152,"mmm dd")</f>
        <v>304</v>
      </c>
      <c r="I152" t="s">
        <v>171</v>
      </c>
      <c r="J152">
        <v>3</v>
      </c>
    </row>
    <row r="153" spans="1:23">
      <c r="A153">
        <v>10</v>
      </c>
      <c r="B153">
        <v>5</v>
      </c>
      <c r="C153">
        <v>2008</v>
      </c>
      <c r="D153" s="3" t="s">
        <f>B153&amp;"/"&amp;A153&amp;"/"&amp;C153</f>
        <v>303</v>
      </c>
      <c r="E153">
        <v>0.3125</v>
      </c>
      <c r="F153" t="s">
        <f>I153&amp;" "&amp;J153&amp;" "&amp;K153&amp;" "&amp;L153&amp;" "&amp;M153&amp;" "&amp;N153</f>
        <v>107</v>
      </c>
      <c r="G153" t="s">
        <f>TEXT(D153,"mmm dd")</f>
        <v>304</v>
      </c>
      <c r="I153" t="s">
        <v>109</v>
      </c>
      <c r="J153" t="s">
        <v>110</v>
      </c>
    </row>
    <row r="154" spans="1:23">
      <c r="A154">
        <v>11</v>
      </c>
      <c r="B154">
        <v>5</v>
      </c>
      <c r="C154">
        <v>2008</v>
      </c>
      <c r="D154" s="3" t="s">
        <f>B154&amp;"/"&amp;A154&amp;"/"&amp;C154</f>
        <v>306</v>
      </c>
      <c r="E154" t="s">
        <v>42</v>
      </c>
      <c r="F154" t="s">
        <f>I154&amp;" "&amp;J154&amp;" "&amp;K154&amp;" "&amp;L154&amp;" "&amp;M154&amp;" "&amp;N154</f>
        <v>307</v>
      </c>
      <c r="G154" t="s">
        <f>TEXT(D154,"mmm dd")</f>
        <v>308</v>
      </c>
      <c r="I154" t="s">
        <v>309</v>
      </c>
      <c r="J154" t="s">
        <v>10</v>
      </c>
    </row>
    <row r="155" spans="1:23">
      <c r="A155">
        <v>11</v>
      </c>
      <c r="B155">
        <v>5</v>
      </c>
      <c r="C155">
        <v>2008</v>
      </c>
      <c r="D155" s="3" t="s">
        <f>B155&amp;"/"&amp;A155&amp;"/"&amp;C155</f>
        <v>306</v>
      </c>
      <c r="E155" t="s">
        <v>42</v>
      </c>
      <c r="F155" t="s">
        <f>I155&amp;" "&amp;J155&amp;" "&amp;K155&amp;" "&amp;L155&amp;" "&amp;M155&amp;" "&amp;N155</f>
        <v>310</v>
      </c>
      <c r="G155" t="s">
        <f>TEXT(D155,"mmm dd")</f>
        <v>308</v>
      </c>
      <c r="I155" t="s">
        <v>10</v>
      </c>
      <c r="J155" t="s">
        <v>86</v>
      </c>
      <c r="K155" t="s">
        <v>311</v>
      </c>
    </row>
    <row r="156" spans="1:23">
      <c r="A156">
        <v>11</v>
      </c>
      <c r="B156">
        <v>5</v>
      </c>
      <c r="C156">
        <v>2008</v>
      </c>
      <c r="D156" s="3" t="s">
        <f>B156&amp;"/"&amp;A156&amp;"/"&amp;C156</f>
        <v>306</v>
      </c>
      <c r="E156">
        <v>0.20833333333333334</v>
      </c>
      <c r="F156" t="s">
        <f>I156&amp;" "&amp;J156&amp;" "&amp;K156&amp;" "&amp;L156&amp;" "&amp;M156&amp;" "&amp;N156</f>
        <v>312</v>
      </c>
      <c r="G156" t="s">
        <f>TEXT(D156,"mmm dd")</f>
        <v>308</v>
      </c>
      <c r="I156" t="s">
        <v>313</v>
      </c>
      <c r="J156" t="s">
        <v>53</v>
      </c>
      <c r="K156" t="s">
        <v>218</v>
      </c>
      <c r="L156" t="s">
        <v>314</v>
      </c>
    </row>
    <row r="157" spans="1:23">
      <c r="A157">
        <v>11</v>
      </c>
      <c r="B157">
        <v>5</v>
      </c>
      <c r="C157">
        <v>2008</v>
      </c>
      <c r="D157" s="3" t="s">
        <f>B157&amp;"/"&amp;A157&amp;"/"&amp;C157</f>
        <v>306</v>
      </c>
      <c r="E157">
        <v>0.20833333333333334</v>
      </c>
      <c r="F157" t="s">
        <f>I157&amp;" "&amp;J157&amp;" "&amp;K157&amp;" "&amp;L157&amp;" "&amp;M157&amp;" "&amp;N157</f>
        <v>312</v>
      </c>
      <c r="G157" t="s">
        <f>TEXT(D157,"mmm dd")</f>
        <v>308</v>
      </c>
      <c r="I157" t="s">
        <v>313</v>
      </c>
      <c r="J157" t="s">
        <v>53</v>
      </c>
      <c r="K157" t="s">
        <v>218</v>
      </c>
      <c r="L157" t="s">
        <v>314</v>
      </c>
    </row>
    <row r="158" spans="1:23">
      <c r="A158">
        <v>11</v>
      </c>
      <c r="B158">
        <v>5</v>
      </c>
      <c r="C158">
        <v>2008</v>
      </c>
      <c r="D158" s="3" t="s">
        <f>B158&amp;"/"&amp;A158&amp;"/"&amp;C158</f>
        <v>306</v>
      </c>
      <c r="E158" t="s">
        <v>42</v>
      </c>
      <c r="F158" t="s">
        <f>I158&amp;" "&amp;J158&amp;" "&amp;K158&amp;" "&amp;L158&amp;" "&amp;M158&amp;" "&amp;N158</f>
        <v>307</v>
      </c>
      <c r="G158" t="s">
        <f>TEXT(D158,"mmm dd")</f>
        <v>308</v>
      </c>
      <c r="I158" t="s">
        <v>309</v>
      </c>
      <c r="J158" t="s">
        <v>10</v>
      </c>
    </row>
    <row r="159" spans="1:23">
      <c r="A159">
        <v>11</v>
      </c>
      <c r="B159">
        <v>5</v>
      </c>
      <c r="C159">
        <v>2008</v>
      </c>
      <c r="D159" s="3" t="s">
        <f>B159&amp;"/"&amp;A159&amp;"/"&amp;C159</f>
        <v>306</v>
      </c>
      <c r="E159" t="s">
        <v>42</v>
      </c>
      <c r="F159" t="s">
        <f>I159&amp;" "&amp;J159&amp;" "&amp;K159&amp;" "&amp;L159&amp;" "&amp;M159&amp;" "&amp;N159</f>
        <v>310</v>
      </c>
      <c r="G159" t="s">
        <f>TEXT(D159,"mmm dd")</f>
        <v>308</v>
      </c>
      <c r="I159" t="s">
        <v>10</v>
      </c>
      <c r="J159" t="s">
        <v>86</v>
      </c>
      <c r="K159" t="s">
        <v>311</v>
      </c>
    </row>
    <row r="160" spans="1:23">
      <c r="A160">
        <v>12</v>
      </c>
      <c r="B160">
        <v>5</v>
      </c>
      <c r="C160">
        <v>2008</v>
      </c>
      <c r="D160" s="3" t="s">
        <f>B160&amp;"/"&amp;A160&amp;"/"&amp;C160</f>
        <v>315</v>
      </c>
      <c r="E160" t="s">
        <v>42</v>
      </c>
      <c r="F160" t="s">
        <f>I160&amp;" "&amp;J160&amp;" "&amp;K160&amp;" "&amp;L160&amp;" "&amp;M160&amp;" "&amp;N160</f>
        <v>316</v>
      </c>
      <c r="G160" t="s">
        <f>TEXT(D160,"mmm dd")</f>
        <v>317</v>
      </c>
      <c r="I160" t="s">
        <v>318</v>
      </c>
      <c r="J160" t="s">
        <v>319</v>
      </c>
    </row>
    <row r="161" spans="1:23">
      <c r="A161">
        <v>12</v>
      </c>
      <c r="B161">
        <v>5</v>
      </c>
      <c r="C161">
        <v>2008</v>
      </c>
      <c r="D161" s="3" t="s">
        <f>B161&amp;"/"&amp;A161&amp;"/"&amp;C161</f>
        <v>315</v>
      </c>
      <c r="E161" t="s">
        <v>42</v>
      </c>
      <c r="F161" t="s">
        <f>I161&amp;" "&amp;J161&amp;" "&amp;K161&amp;" "&amp;L161&amp;" "&amp;M161&amp;" "&amp;N161</f>
        <v>316</v>
      </c>
      <c r="G161" t="s">
        <f>TEXT(D161,"mmm dd")</f>
        <v>317</v>
      </c>
      <c r="I161" t="s">
        <v>318</v>
      </c>
      <c r="J161" t="s">
        <v>319</v>
      </c>
    </row>
    <row r="162" spans="1:23">
      <c r="A162">
        <v>13</v>
      </c>
      <c r="B162">
        <v>5</v>
      </c>
      <c r="C162">
        <v>2008</v>
      </c>
      <c r="D162" s="3" t="s">
        <f>B162&amp;"/"&amp;A162&amp;"/"&amp;C162</f>
        <v>320</v>
      </c>
      <c r="E162">
        <v>0.88541666666666663</v>
      </c>
      <c r="F162" t="s">
        <f>I162&amp;" "&amp;J162&amp;" "&amp;K162&amp;" "&amp;L162&amp;" "&amp;M162&amp;" "&amp;N162</f>
        <v>45</v>
      </c>
      <c r="G162" t="s">
        <f>TEXT(D162,"mmm dd")</f>
        <v>321</v>
      </c>
      <c r="I162" t="s">
        <v>46</v>
      </c>
      <c r="J162" t="s">
        <v>47</v>
      </c>
      <c r="K162" t="s">
        <v>48</v>
      </c>
      <c r="L162" t="s">
        <v>49</v>
      </c>
    </row>
    <row r="163" spans="1:23">
      <c r="A163">
        <v>13</v>
      </c>
      <c r="B163">
        <v>5</v>
      </c>
      <c r="C163">
        <v>2008</v>
      </c>
      <c r="D163" s="3" t="s">
        <f>B163&amp;"/"&amp;A163&amp;"/"&amp;C163</f>
        <v>320</v>
      </c>
      <c r="E163">
        <v>0.88541666666666663</v>
      </c>
      <c r="F163" t="s">
        <f>I163&amp;" "&amp;J163&amp;" "&amp;K163&amp;" "&amp;L163&amp;" "&amp;M163&amp;" "&amp;N163</f>
        <v>45</v>
      </c>
      <c r="G163" t="s">
        <f>TEXT(D163,"mmm dd")</f>
        <v>321</v>
      </c>
      <c r="I163" t="s">
        <v>46</v>
      </c>
      <c r="J163" t="s">
        <v>47</v>
      </c>
      <c r="K163" t="s">
        <v>48</v>
      </c>
      <c r="L163" t="s">
        <v>49</v>
      </c>
    </row>
    <row r="164" spans="1:23">
      <c r="A164">
        <v>14</v>
      </c>
      <c r="B164">
        <v>5</v>
      </c>
      <c r="C164">
        <v>2008</v>
      </c>
      <c r="D164" s="3" t="s">
        <f>B164&amp;"/"&amp;A164&amp;"/"&amp;C164</f>
        <v>322</v>
      </c>
      <c r="E164">
        <v>1</v>
      </c>
      <c r="F164" t="s">
        <f>I164&amp;" "&amp;J164&amp;" "&amp;K164&amp;" "&amp;L164&amp;" "&amp;M164&amp;" "&amp;N164</f>
        <v>71</v>
      </c>
      <c r="G164" t="s">
        <f>TEXT(D164,"mmm dd")</f>
        <v>323</v>
      </c>
      <c r="I164" t="s">
        <v>72</v>
      </c>
      <c r="J164" t="s">
        <v>73</v>
      </c>
      <c r="K164" t="s">
        <v>74</v>
      </c>
    </row>
    <row r="165" spans="1:23">
      <c r="A165">
        <v>14</v>
      </c>
      <c r="B165">
        <v>5</v>
      </c>
      <c r="C165">
        <v>2008</v>
      </c>
      <c r="D165" s="3" t="s">
        <f>B165&amp;"/"&amp;A165&amp;"/"&amp;C165</f>
        <v>322</v>
      </c>
      <c r="E165">
        <v>1.0416666666666667</v>
      </c>
      <c r="F165" t="s">
        <f>I165&amp;" "&amp;J165&amp;" "&amp;K165&amp;" "&amp;L165&amp;" "&amp;M165&amp;" "&amp;N165</f>
        <v>68</v>
      </c>
      <c r="G165" t="s">
        <f>TEXT(D165,"mmm dd")</f>
        <v>323</v>
      </c>
      <c r="I165" t="s">
        <v>69</v>
      </c>
    </row>
    <row r="166" spans="1:23">
      <c r="A166">
        <v>14</v>
      </c>
      <c r="B166">
        <v>5</v>
      </c>
      <c r="C166">
        <v>2008</v>
      </c>
      <c r="D166" s="3" t="s">
        <f>B166&amp;"/"&amp;A166&amp;"/"&amp;C166</f>
        <v>322</v>
      </c>
      <c r="E166">
        <v>0.9375</v>
      </c>
      <c r="F166" t="s">
        <f>I166&amp;" "&amp;J166&amp;" "&amp;K166&amp;" "&amp;L166&amp;" "&amp;M166&amp;" "&amp;N166</f>
        <v>64</v>
      </c>
      <c r="G166" t="s">
        <f>TEXT(D166,"mmm dd")</f>
        <v>323</v>
      </c>
      <c r="I166" t="s">
        <v>66</v>
      </c>
    </row>
    <row r="167" spans="1:23">
      <c r="A167">
        <v>14</v>
      </c>
      <c r="B167">
        <v>5</v>
      </c>
      <c r="C167">
        <v>2008</v>
      </c>
      <c r="D167" s="3" t="s">
        <f>B167&amp;"/"&amp;A167&amp;"/"&amp;C167</f>
        <v>322</v>
      </c>
      <c r="E167">
        <v>1.0416666666666667</v>
      </c>
      <c r="F167" t="s">
        <f>I167&amp;" "&amp;J167&amp;" "&amp;K167&amp;" "&amp;L167&amp;" "&amp;M167&amp;" "&amp;N167</f>
        <v>68</v>
      </c>
      <c r="G167" t="s">
        <f>TEXT(D167,"mmm dd")</f>
        <v>323</v>
      </c>
      <c r="I167" t="s">
        <v>69</v>
      </c>
    </row>
    <row r="168" spans="1:23">
      <c r="A168">
        <v>14</v>
      </c>
      <c r="B168">
        <v>5</v>
      </c>
      <c r="C168">
        <v>2008</v>
      </c>
      <c r="D168" s="3" t="s">
        <f>B168&amp;"/"&amp;A168&amp;"/"&amp;C168</f>
        <v>322</v>
      </c>
      <c r="E168">
        <v>0.9375</v>
      </c>
      <c r="F168" t="s">
        <f>I168&amp;" "&amp;J168&amp;" "&amp;K168&amp;" "&amp;L168&amp;" "&amp;M168&amp;" "&amp;N168</f>
        <v>64</v>
      </c>
      <c r="G168" t="s">
        <f>TEXT(D168,"mmm dd")</f>
        <v>323</v>
      </c>
      <c r="I168" t="s">
        <v>66</v>
      </c>
    </row>
    <row r="169" spans="1:23">
      <c r="A169">
        <v>14</v>
      </c>
      <c r="B169">
        <v>5</v>
      </c>
      <c r="C169">
        <v>2008</v>
      </c>
      <c r="D169" s="3" t="s">
        <f>B169&amp;"/"&amp;A169&amp;"/"&amp;C169</f>
        <v>322</v>
      </c>
      <c r="E169">
        <v>1</v>
      </c>
      <c r="F169" t="s">
        <f>I169&amp;" "&amp;J169&amp;" "&amp;K169&amp;" "&amp;L169&amp;" "&amp;M169&amp;" "&amp;N169</f>
        <v>71</v>
      </c>
      <c r="G169" t="s">
        <f>TEXT(D169,"mmm dd")</f>
        <v>323</v>
      </c>
      <c r="I169" t="s">
        <v>72</v>
      </c>
      <c r="J169" t="s">
        <v>73</v>
      </c>
      <c r="K169" t="s">
        <v>74</v>
      </c>
      <c r="O169" t="s">
        <v>324</v>
      </c>
      <c r="P169" t="s">
        <v>137</v>
      </c>
    </row>
    <row r="170" spans="1:23">
      <c r="A170">
        <v>15</v>
      </c>
      <c r="B170">
        <v>5</v>
      </c>
      <c r="C170">
        <v>2008</v>
      </c>
      <c r="D170" s="3" t="s">
        <f>B170&amp;"/"&amp;A170&amp;"/"&amp;C170</f>
        <v>325</v>
      </c>
      <c r="E170">
        <v>1.0833333333333333</v>
      </c>
      <c r="F170" t="s">
        <f>I170&amp;" "&amp;J170&amp;" "&amp;K170&amp;" "&amp;L170&amp;" "&amp;M170&amp;" "&amp;N170</f>
        <v>186</v>
      </c>
      <c r="G170" t="s">
        <f>TEXT(D170,"mmm dd")</f>
        <v>326</v>
      </c>
      <c r="I170" t="s">
        <v>188</v>
      </c>
      <c r="J170" t="s">
        <v>189</v>
      </c>
      <c r="K170" t="s">
        <v>190</v>
      </c>
    </row>
    <row r="171" spans="1:23">
      <c r="A171">
        <v>15</v>
      </c>
      <c r="B171">
        <v>5</v>
      </c>
      <c r="C171">
        <v>2008</v>
      </c>
      <c r="D171" s="3" t="s">
        <f>B171&amp;"/"&amp;A171&amp;"/"&amp;C171</f>
        <v>325</v>
      </c>
      <c r="E171">
        <v>1.0833333333333333</v>
      </c>
      <c r="F171" t="s">
        <f>I171&amp;" "&amp;J171&amp;" "&amp;K171&amp;" "&amp;L171&amp;" "&amp;M171&amp;" "&amp;N171</f>
        <v>186</v>
      </c>
      <c r="G171" t="s">
        <f>TEXT(D171,"mmm dd")</f>
        <v>326</v>
      </c>
      <c r="I171" t="s">
        <v>188</v>
      </c>
      <c r="J171" t="s">
        <v>189</v>
      </c>
      <c r="K171" t="s">
        <v>190</v>
      </c>
    </row>
    <row r="172" spans="1:23">
      <c r="A172">
        <v>16</v>
      </c>
      <c r="B172">
        <v>5</v>
      </c>
      <c r="C172">
        <v>2008</v>
      </c>
      <c r="D172" s="3" t="s">
        <f>B172&amp;"/"&amp;A172&amp;"/"&amp;C172</f>
        <v>327</v>
      </c>
      <c r="E172">
        <v>0.29166666666666669</v>
      </c>
      <c r="F172" t="s">
        <f>I172&amp;" "&amp;J172&amp;" "&amp;K172&amp;" "&amp;L172&amp;" "&amp;M172&amp;" "&amp;N172</f>
        <v>192</v>
      </c>
      <c r="G172" t="s">
        <f>TEXT(D172,"mmm dd")</f>
        <v>328</v>
      </c>
      <c r="I172" t="s">
        <v>194</v>
      </c>
    </row>
    <row r="173" spans="1:23">
      <c r="A173">
        <v>16</v>
      </c>
      <c r="B173">
        <v>5</v>
      </c>
      <c r="C173">
        <v>2008</v>
      </c>
      <c r="D173" s="3" t="s">
        <f>B173&amp;"/"&amp;A173&amp;"/"&amp;C173</f>
        <v>327</v>
      </c>
      <c r="E173" t="s">
        <v>42</v>
      </c>
      <c r="F173" t="s">
        <f>I173&amp;" "&amp;J173&amp;" "&amp;K173&amp;" "&amp;L173&amp;" "&amp;M173&amp;" "&amp;N173</f>
        <v>329</v>
      </c>
      <c r="G173" t="s">
        <f>TEXT(D173,"mmm dd")</f>
        <v>328</v>
      </c>
      <c r="I173" t="s">
        <v>330</v>
      </c>
      <c r="J173" t="s">
        <v>86</v>
      </c>
      <c r="K173" t="s">
        <v>331</v>
      </c>
      <c r="L173">
        <v>1983</v>
      </c>
      <c r="O173" t="s">
        <v>86</v>
      </c>
      <c r="P173" t="s">
        <v>332</v>
      </c>
      <c r="Q173" t="s">
        <v>333</v>
      </c>
    </row>
    <row r="174" spans="1:23">
      <c r="A174">
        <v>16</v>
      </c>
      <c r="B174">
        <v>5</v>
      </c>
      <c r="C174">
        <v>2008</v>
      </c>
      <c r="D174" s="3" t="s">
        <f>B174&amp;"/"&amp;A174&amp;"/"&amp;C174</f>
        <v>327</v>
      </c>
      <c r="E174" t="s">
        <v>42</v>
      </c>
      <c r="F174" t="s">
        <f>I174&amp;" "&amp;J174&amp;" "&amp;K174&amp;" "&amp;L174&amp;" "&amp;M174&amp;" "&amp;N174</f>
        <v>329</v>
      </c>
      <c r="G174" t="s">
        <f>TEXT(D174,"mmm dd")</f>
        <v>328</v>
      </c>
      <c r="I174" t="s">
        <v>330</v>
      </c>
      <c r="J174" t="s">
        <v>86</v>
      </c>
      <c r="K174" t="s">
        <v>331</v>
      </c>
      <c r="L174">
        <v>1983</v>
      </c>
    </row>
    <row r="175" spans="1:23">
      <c r="A175">
        <v>16</v>
      </c>
      <c r="B175">
        <v>5</v>
      </c>
      <c r="C175">
        <v>2008</v>
      </c>
      <c r="D175" s="3" t="s">
        <f>B175&amp;"/"&amp;A175&amp;"/"&amp;C175</f>
        <v>327</v>
      </c>
      <c r="E175">
        <v>0.29166666666666669</v>
      </c>
      <c r="F175" t="s">
        <f>I175&amp;" "&amp;J175&amp;" "&amp;K175&amp;" "&amp;L175&amp;" "&amp;M175&amp;" "&amp;N175</f>
        <v>192</v>
      </c>
      <c r="G175" t="s">
        <f>TEXT(D175,"mmm dd")</f>
        <v>328</v>
      </c>
      <c r="I175" t="s">
        <v>194</v>
      </c>
    </row>
    <row r="176" spans="1:23">
      <c r="A176">
        <v>17</v>
      </c>
      <c r="B176">
        <v>5</v>
      </c>
      <c r="C176">
        <v>2008</v>
      </c>
      <c r="D176" s="3" t="s">
        <f>B176&amp;"/"&amp;A176&amp;"/"&amp;C176</f>
        <v>334</v>
      </c>
      <c r="E176">
        <v>0.3125</v>
      </c>
      <c r="F176" t="s">
        <f>I176&amp;" "&amp;J176&amp;" "&amp;K176&amp;" "&amp;L176&amp;" "&amp;M176&amp;" "&amp;N176</f>
        <v>107</v>
      </c>
      <c r="G176" t="s">
        <f>TEXT(D176,"mmm dd")</f>
        <v>335</v>
      </c>
      <c r="I176" t="s">
        <v>109</v>
      </c>
      <c r="J176" t="s">
        <v>110</v>
      </c>
      <c r="O176" t="s">
        <v>336</v>
      </c>
      <c r="P176" t="s">
        <v>286</v>
      </c>
      <c r="Q176">
        <v>540</v>
      </c>
    </row>
    <row r="177" spans="1:23">
      <c r="A177">
        <v>17</v>
      </c>
      <c r="B177">
        <v>5</v>
      </c>
      <c r="C177">
        <v>2008</v>
      </c>
      <c r="D177" s="3" t="s">
        <f>B177&amp;"/"&amp;A177&amp;"/"&amp;C177</f>
        <v>334</v>
      </c>
      <c r="E177">
        <v>0.3125</v>
      </c>
      <c r="F177" t="s">
        <f>I177&amp;" "&amp;J177&amp;" "&amp;K177&amp;" "&amp;L177&amp;" "&amp;M177&amp;" "&amp;N177</f>
        <v>107</v>
      </c>
      <c r="G177" t="s">
        <f>TEXT(D177,"mmm dd")</f>
        <v>335</v>
      </c>
      <c r="I177" t="s">
        <v>109</v>
      </c>
      <c r="J177" t="s">
        <v>110</v>
      </c>
    </row>
    <row r="178" spans="1:23">
      <c r="A178">
        <v>18</v>
      </c>
      <c r="B178">
        <v>5</v>
      </c>
      <c r="C178">
        <v>2008</v>
      </c>
      <c r="D178" s="3" t="s">
        <f>B178&amp;"/"&amp;A178&amp;"/"&amp;C178</f>
        <v>337</v>
      </c>
      <c r="E178" t="s">
        <v>42</v>
      </c>
      <c r="F178" t="s">
        <f>I178&amp;" "&amp;J178&amp;" "&amp;K178&amp;" "&amp;L178&amp;" "&amp;M178&amp;" "&amp;N178</f>
        <v>338</v>
      </c>
      <c r="G178" t="s">
        <f>TEXT(D178,"mmm dd")</f>
        <v>339</v>
      </c>
      <c r="I178" t="s">
        <v>340</v>
      </c>
      <c r="J178" t="s">
        <v>341</v>
      </c>
    </row>
    <row r="179" spans="1:23">
      <c r="A179">
        <v>18</v>
      </c>
      <c r="B179">
        <v>5</v>
      </c>
      <c r="C179">
        <v>2008</v>
      </c>
      <c r="D179" s="3" t="s">
        <f>B179&amp;"/"&amp;A179&amp;"/"&amp;C179</f>
        <v>337</v>
      </c>
      <c r="E179" t="s">
        <v>42</v>
      </c>
      <c r="F179" t="s">
        <f>I179&amp;" "&amp;J179&amp;" "&amp;K179&amp;" "&amp;L179&amp;" "&amp;M179&amp;" "&amp;N179</f>
        <v>338</v>
      </c>
      <c r="G179" t="s">
        <f>TEXT(D179,"mmm dd")</f>
        <v>339</v>
      </c>
      <c r="I179" t="s">
        <v>340</v>
      </c>
      <c r="J179" t="s">
        <v>341</v>
      </c>
    </row>
    <row r="180" spans="1:23">
      <c r="A180">
        <v>19</v>
      </c>
      <c r="B180">
        <v>5</v>
      </c>
      <c r="C180">
        <v>2008</v>
      </c>
      <c r="D180" s="3" t="s">
        <f>B180&amp;"/"&amp;A180&amp;"/"&amp;C180</f>
        <v>342</v>
      </c>
      <c r="E180" t="s">
        <v>42</v>
      </c>
      <c r="F180" t="s">
        <f>I180&amp;" "&amp;J180&amp;" "&amp;K180&amp;" "&amp;L180&amp;" "&amp;M180&amp;" "&amp;N180</f>
        <v>343</v>
      </c>
      <c r="G180" t="s">
        <f>TEXT(D180,"mmm dd")</f>
        <v>344</v>
      </c>
      <c r="I180" t="s">
        <v>345</v>
      </c>
      <c r="J180" t="s">
        <v>199</v>
      </c>
      <c r="K180" t="s">
        <v>86</v>
      </c>
      <c r="L180" t="s">
        <v>200</v>
      </c>
      <c r="M180">
        <v>988</v>
      </c>
    </row>
    <row r="181" spans="1:23">
      <c r="A181">
        <v>19</v>
      </c>
      <c r="B181">
        <v>5</v>
      </c>
      <c r="C181">
        <v>2008</v>
      </c>
      <c r="D181" s="3" t="s">
        <f>B181&amp;"/"&amp;A181&amp;"/"&amp;C181</f>
        <v>342</v>
      </c>
      <c r="E181" t="s">
        <v>42</v>
      </c>
      <c r="F181" t="s">
        <f>I181&amp;" "&amp;J181&amp;" "&amp;K181&amp;" "&amp;L181&amp;" "&amp;M181&amp;" "&amp;N181</f>
        <v>343</v>
      </c>
      <c r="G181" t="s">
        <f>TEXT(D181,"mmm dd")</f>
        <v>344</v>
      </c>
      <c r="I181" t="s">
        <v>345</v>
      </c>
      <c r="J181" t="s">
        <v>199</v>
      </c>
      <c r="K181" t="s">
        <v>86</v>
      </c>
      <c r="L181" t="s">
        <v>200</v>
      </c>
      <c r="M181">
        <v>988</v>
      </c>
    </row>
    <row r="182" spans="1:23">
      <c r="A182">
        <v>20</v>
      </c>
      <c r="B182">
        <v>5</v>
      </c>
      <c r="C182">
        <v>2008</v>
      </c>
      <c r="D182" s="3" t="s">
        <f>B182&amp;"/"&amp;A182&amp;"/"&amp;C182</f>
        <v>346</v>
      </c>
      <c r="E182">
        <v>0.88541666666666663</v>
      </c>
      <c r="F182" t="s">
        <f>I182&amp;" "&amp;J182&amp;" "&amp;K182&amp;" "&amp;L182&amp;" "&amp;M182&amp;" "&amp;N182</f>
        <v>45</v>
      </c>
      <c r="G182" t="s">
        <f>TEXT(D182,"mmm dd")</f>
        <v>347</v>
      </c>
      <c r="I182" t="s">
        <v>46</v>
      </c>
      <c r="J182" t="s">
        <v>47</v>
      </c>
      <c r="K182" t="s">
        <v>48</v>
      </c>
      <c r="L182" t="s">
        <v>49</v>
      </c>
      <c r="O182">
        <v>379</v>
      </c>
    </row>
    <row r="183" spans="1:23">
      <c r="A183">
        <v>20</v>
      </c>
      <c r="B183">
        <v>5</v>
      </c>
      <c r="C183">
        <v>2008</v>
      </c>
      <c r="D183" s="3" t="s">
        <f>B183&amp;"/"&amp;A183&amp;"/"&amp;C183</f>
        <v>346</v>
      </c>
      <c r="E183" t="s">
        <v>42</v>
      </c>
      <c r="F183" t="s">
        <f>I183&amp;" "&amp;J183&amp;" "&amp;K183&amp;" "&amp;L183&amp;" "&amp;M183&amp;" "&amp;N183</f>
        <v>348</v>
      </c>
      <c r="G183" t="s">
        <f>TEXT(D183,"mmm dd")</f>
        <v>347</v>
      </c>
      <c r="I183" t="s">
        <v>349</v>
      </c>
      <c r="J183" t="s">
        <v>350</v>
      </c>
      <c r="K183" t="s">
        <v>135</v>
      </c>
      <c r="L183" t="s">
        <v>351</v>
      </c>
      <c r="M183" t="s">
        <v>86</v>
      </c>
      <c r="N183" t="s">
        <v>352</v>
      </c>
    </row>
    <row r="184" spans="1:23">
      <c r="A184">
        <v>20</v>
      </c>
      <c r="B184">
        <v>5</v>
      </c>
      <c r="C184">
        <v>2008</v>
      </c>
      <c r="D184" s="3" t="s">
        <f>B184&amp;"/"&amp;A184&amp;"/"&amp;C184</f>
        <v>346</v>
      </c>
      <c r="E184">
        <v>0.88541666666666663</v>
      </c>
      <c r="F184" t="s">
        <f>I184&amp;" "&amp;J184&amp;" "&amp;K184&amp;" "&amp;L184&amp;" "&amp;M184&amp;" "&amp;N184</f>
        <v>45</v>
      </c>
      <c r="G184" t="s">
        <f>TEXT(D184,"mmm dd")</f>
        <v>347</v>
      </c>
      <c r="I184" t="s">
        <v>46</v>
      </c>
      <c r="J184" t="s">
        <v>47</v>
      </c>
      <c r="K184" t="s">
        <v>48</v>
      </c>
      <c r="L184" t="s">
        <v>49</v>
      </c>
    </row>
    <row r="185" spans="1:23">
      <c r="A185">
        <v>20</v>
      </c>
      <c r="B185">
        <v>5</v>
      </c>
      <c r="C185">
        <v>2008</v>
      </c>
      <c r="D185" s="3" t="s">
        <f>B185&amp;"/"&amp;A185&amp;"/"&amp;C185</f>
        <v>346</v>
      </c>
      <c r="E185" t="s">
        <v>42</v>
      </c>
      <c r="F185" t="s">
        <f>I185&amp;" "&amp;J185&amp;" "&amp;K185&amp;" "&amp;L185&amp;" "&amp;M185&amp;" "&amp;N185</f>
        <v>348</v>
      </c>
      <c r="G185" t="s">
        <f>TEXT(D185,"mmm dd")</f>
        <v>347</v>
      </c>
      <c r="I185" t="s">
        <v>349</v>
      </c>
      <c r="J185" t="s">
        <v>350</v>
      </c>
      <c r="K185" t="s">
        <v>135</v>
      </c>
      <c r="L185" t="s">
        <v>351</v>
      </c>
      <c r="M185" t="s">
        <v>86</v>
      </c>
      <c r="N185" t="s">
        <v>352</v>
      </c>
    </row>
    <row r="186" spans="1:23">
      <c r="A186">
        <v>21</v>
      </c>
      <c r="B186">
        <v>5</v>
      </c>
      <c r="C186">
        <v>2008</v>
      </c>
      <c r="D186" s="3" t="s">
        <f>B186&amp;"/"&amp;A186&amp;"/"&amp;C186</f>
        <v>353</v>
      </c>
      <c r="E186">
        <v>0.9375</v>
      </c>
      <c r="F186" t="s">
        <f>I186&amp;" "&amp;J186&amp;" "&amp;K186&amp;" "&amp;L186&amp;" "&amp;M186&amp;" "&amp;N186</f>
        <v>64</v>
      </c>
      <c r="G186" t="s">
        <f>TEXT(D186,"mmm dd")</f>
        <v>354</v>
      </c>
      <c r="I186" t="s">
        <v>66</v>
      </c>
      <c r="O186" t="s">
        <v>355</v>
      </c>
    </row>
    <row r="187" spans="1:23">
      <c r="A187">
        <v>21</v>
      </c>
      <c r="B187">
        <v>5</v>
      </c>
      <c r="C187">
        <v>2008</v>
      </c>
      <c r="D187" s="3" t="s">
        <f>B187&amp;"/"&amp;A187&amp;"/"&amp;C187</f>
        <v>353</v>
      </c>
      <c r="E187">
        <v>1.0416666666666667</v>
      </c>
      <c r="F187" t="s">
        <f>I187&amp;" "&amp;J187&amp;" "&amp;K187&amp;" "&amp;L187&amp;" "&amp;M187&amp;" "&amp;N187</f>
        <v>68</v>
      </c>
      <c r="G187" t="s">
        <f>TEXT(D187,"mmm dd")</f>
        <v>354</v>
      </c>
      <c r="I187" t="s">
        <v>69</v>
      </c>
    </row>
    <row r="188" spans="1:23">
      <c r="A188">
        <v>21</v>
      </c>
      <c r="B188">
        <v>5</v>
      </c>
      <c r="C188">
        <v>2008</v>
      </c>
      <c r="D188" s="3" t="s">
        <f>B188&amp;"/"&amp;A188&amp;"/"&amp;C188</f>
        <v>353</v>
      </c>
      <c r="E188">
        <v>1</v>
      </c>
      <c r="F188" t="s">
        <f>I188&amp;" "&amp;J188&amp;" "&amp;K188&amp;" "&amp;L188&amp;" "&amp;M188&amp;" "&amp;N188</f>
        <v>71</v>
      </c>
      <c r="G188" t="s">
        <f>TEXT(D188,"mmm dd")</f>
        <v>354</v>
      </c>
      <c r="I188" t="s">
        <v>72</v>
      </c>
      <c r="J188" t="s">
        <v>73</v>
      </c>
      <c r="K188" t="s">
        <v>74</v>
      </c>
    </row>
    <row r="189" spans="1:23">
      <c r="A189">
        <v>21</v>
      </c>
      <c r="B189">
        <v>5</v>
      </c>
      <c r="C189">
        <v>2008</v>
      </c>
      <c r="D189" s="3" t="s">
        <f>B189&amp;"/"&amp;A189&amp;"/"&amp;C189</f>
        <v>353</v>
      </c>
      <c r="E189">
        <v>1</v>
      </c>
      <c r="F189" t="s">
        <f>I189&amp;" "&amp;J189&amp;" "&amp;K189&amp;" "&amp;L189&amp;" "&amp;M189&amp;" "&amp;N189</f>
        <v>71</v>
      </c>
      <c r="G189" t="s">
        <f>TEXT(D189,"mmm dd")</f>
        <v>354</v>
      </c>
      <c r="I189" t="s">
        <v>72</v>
      </c>
      <c r="J189" t="s">
        <v>73</v>
      </c>
      <c r="K189" t="s">
        <v>74</v>
      </c>
    </row>
    <row r="190" spans="1:23">
      <c r="A190">
        <v>21</v>
      </c>
      <c r="B190">
        <v>5</v>
      </c>
      <c r="C190">
        <v>2008</v>
      </c>
      <c r="D190" s="3" t="s">
        <f>B190&amp;"/"&amp;A190&amp;"/"&amp;C190</f>
        <v>353</v>
      </c>
      <c r="E190">
        <v>1.0416666666666667</v>
      </c>
      <c r="F190" t="s">
        <f>I190&amp;" "&amp;J190&amp;" "&amp;K190&amp;" "&amp;L190&amp;" "&amp;M190&amp;" "&amp;N190</f>
        <v>68</v>
      </c>
      <c r="G190" t="s">
        <f>TEXT(D190,"mmm dd")</f>
        <v>354</v>
      </c>
      <c r="I190" t="s">
        <v>69</v>
      </c>
    </row>
    <row r="191" spans="1:23">
      <c r="A191">
        <v>21</v>
      </c>
      <c r="B191">
        <v>5</v>
      </c>
      <c r="C191">
        <v>2008</v>
      </c>
      <c r="D191" s="3" t="s">
        <f>B191&amp;"/"&amp;A191&amp;"/"&amp;C191</f>
        <v>353</v>
      </c>
      <c r="E191">
        <v>0.9375</v>
      </c>
      <c r="F191" t="s">
        <f>I191&amp;" "&amp;J191&amp;" "&amp;K191&amp;" "&amp;L191&amp;" "&amp;M191&amp;" "&amp;N191</f>
        <v>64</v>
      </c>
      <c r="G191" t="s">
        <f>TEXT(D191,"mmm dd")</f>
        <v>354</v>
      </c>
      <c r="I191" t="s">
        <v>66</v>
      </c>
    </row>
    <row r="192" spans="1:23">
      <c r="A192">
        <v>22</v>
      </c>
      <c r="B192">
        <v>5</v>
      </c>
      <c r="C192">
        <v>2008</v>
      </c>
      <c r="D192" s="3" t="s">
        <f>B192&amp;"/"&amp;A192&amp;"/"&amp;C192</f>
        <v>356</v>
      </c>
      <c r="E192" t="s">
        <v>42</v>
      </c>
      <c r="F192" t="s">
        <f>I192&amp;" "&amp;J192&amp;" "&amp;K192&amp;" "&amp;L192&amp;" "&amp;M192&amp;" "&amp;N192</f>
        <v>155</v>
      </c>
      <c r="G192" t="s">
        <f>TEXT(D192,"mmm dd")</f>
        <v>357</v>
      </c>
      <c r="I192" t="s">
        <v>156</v>
      </c>
      <c r="J192" t="s">
        <v>157</v>
      </c>
    </row>
    <row r="193" spans="1:23">
      <c r="A193">
        <v>22</v>
      </c>
      <c r="B193">
        <v>5</v>
      </c>
      <c r="C193">
        <v>2008</v>
      </c>
      <c r="D193" s="3" t="s">
        <f>B193&amp;"/"&amp;A193&amp;"/"&amp;C193</f>
        <v>356</v>
      </c>
      <c r="E193" t="s">
        <v>42</v>
      </c>
      <c r="F193" t="s">
        <f>I193&amp;" "&amp;J193&amp;" "&amp;K193&amp;" "&amp;L193&amp;" "&amp;M193&amp;" "&amp;N193</f>
        <v>155</v>
      </c>
      <c r="G193" t="s">
        <f>TEXT(D193,"mmm dd")</f>
        <v>357</v>
      </c>
      <c r="I193" t="s">
        <v>156</v>
      </c>
      <c r="J193" t="s">
        <v>157</v>
      </c>
    </row>
    <row r="194" spans="1:23">
      <c r="A194">
        <v>23</v>
      </c>
      <c r="B194">
        <v>5</v>
      </c>
      <c r="C194">
        <v>2008</v>
      </c>
      <c r="D194" s="3" t="s">
        <f>B194&amp;"/"&amp;A194&amp;"/"&amp;C194</f>
        <v>358</v>
      </c>
      <c r="E194">
        <v>0.3125</v>
      </c>
      <c r="F194" t="s">
        <f>I194&amp;" "&amp;J194&amp;" "&amp;K194&amp;" "&amp;L194&amp;" "&amp;M194&amp;" "&amp;N194</f>
        <v>359</v>
      </c>
      <c r="G194" t="s">
        <f>TEXT(D194,"mmm dd")</f>
        <v>360</v>
      </c>
      <c r="I194" t="s">
        <v>361</v>
      </c>
      <c r="J194" t="s">
        <v>362</v>
      </c>
      <c r="O194" t="s">
        <v>363</v>
      </c>
      <c r="P194" t="s">
        <v>364</v>
      </c>
    </row>
    <row r="195" spans="1:23">
      <c r="A195">
        <v>23</v>
      </c>
      <c r="B195">
        <v>5</v>
      </c>
      <c r="C195">
        <v>2008</v>
      </c>
      <c r="D195" s="3" t="s">
        <f>B195&amp;"/"&amp;A195&amp;"/"&amp;C195</f>
        <v>358</v>
      </c>
      <c r="E195">
        <v>0.3125</v>
      </c>
      <c r="F195" t="s">
        <f>I195&amp;" "&amp;J195&amp;" "&amp;K195&amp;" "&amp;L195&amp;" "&amp;M195&amp;" "&amp;N195</f>
        <v>359</v>
      </c>
      <c r="G195" t="s">
        <f>TEXT(D195,"mmm dd")</f>
        <v>360</v>
      </c>
      <c r="I195" t="s">
        <v>361</v>
      </c>
      <c r="J195" t="s">
        <v>362</v>
      </c>
    </row>
    <row r="196" spans="1:23">
      <c r="A196">
        <v>24</v>
      </c>
      <c r="B196">
        <v>5</v>
      </c>
      <c r="C196">
        <v>2008</v>
      </c>
      <c r="D196" s="3" t="s">
        <f>B196&amp;"/"&amp;A196&amp;"/"&amp;C196</f>
        <v>365</v>
      </c>
      <c r="E196" t="s">
        <v>42</v>
      </c>
      <c r="F196" t="s">
        <f>I196&amp;" "&amp;J196&amp;" "&amp;K196&amp;" "&amp;L196&amp;" "&amp;M196&amp;" "&amp;N196</f>
        <v>366</v>
      </c>
      <c r="G196" t="s">
        <f>TEXT(D196,"mmm dd")</f>
        <v>367</v>
      </c>
      <c r="I196" t="s">
        <v>368</v>
      </c>
      <c r="J196" t="s">
        <v>369</v>
      </c>
      <c r="K196" t="s">
        <v>370</v>
      </c>
      <c r="L196" t="s">
        <v>371</v>
      </c>
      <c r="M196" t="s">
        <v>85</v>
      </c>
      <c r="N196" t="s">
        <v>372</v>
      </c>
    </row>
    <row r="197" spans="1:23">
      <c r="A197">
        <v>24</v>
      </c>
      <c r="B197">
        <v>5</v>
      </c>
      <c r="C197">
        <v>2008</v>
      </c>
      <c r="D197" s="3" t="s">
        <f>B197&amp;"/"&amp;A197&amp;"/"&amp;C197</f>
        <v>365</v>
      </c>
      <c r="E197">
        <v>0.3125</v>
      </c>
      <c r="F197" t="s">
        <f>I197&amp;" "&amp;J197&amp;" "&amp;K197&amp;" "&amp;L197&amp;" "&amp;M197&amp;" "&amp;N197</f>
        <v>107</v>
      </c>
      <c r="G197" t="s">
        <f>TEXT(D197,"mmm dd")</f>
        <v>367</v>
      </c>
      <c r="I197" t="s">
        <v>109</v>
      </c>
      <c r="J197" t="s">
        <v>110</v>
      </c>
    </row>
    <row r="198" spans="1:23">
      <c r="A198">
        <v>24</v>
      </c>
      <c r="B198">
        <v>5</v>
      </c>
      <c r="C198">
        <v>2008</v>
      </c>
      <c r="D198" s="3" t="s">
        <f>B198&amp;"/"&amp;A198&amp;"/"&amp;C198</f>
        <v>365</v>
      </c>
      <c r="E198" t="s">
        <v>42</v>
      </c>
      <c r="F198" t="s">
        <f>I198&amp;" "&amp;J198&amp;" "&amp;K198&amp;" "&amp;L198&amp;" "&amp;M198&amp;" "&amp;N198</f>
        <v>373</v>
      </c>
      <c r="G198" t="s">
        <f>TEXT(D198,"mmm dd")</f>
        <v>367</v>
      </c>
      <c r="I198" t="s">
        <v>374</v>
      </c>
      <c r="J198" t="s">
        <v>375</v>
      </c>
      <c r="K198">
        <v>24</v>
      </c>
      <c r="L198">
        <v>2008</v>
      </c>
      <c r="M198" t="s">
        <v>376</v>
      </c>
      <c r="N198" t="s">
        <v>377</v>
      </c>
    </row>
    <row r="199" spans="1:23">
      <c r="A199">
        <v>24</v>
      </c>
      <c r="B199">
        <v>5</v>
      </c>
      <c r="C199">
        <v>2008</v>
      </c>
      <c r="D199" s="3" t="s">
        <f>B199&amp;"/"&amp;A199&amp;"/"&amp;C199</f>
        <v>365</v>
      </c>
      <c r="E199" t="s">
        <v>42</v>
      </c>
      <c r="F199" t="s">
        <f>I199&amp;" "&amp;J199&amp;" "&amp;K199&amp;" "&amp;L199&amp;" "&amp;M199&amp;" "&amp;N199</f>
        <v>366</v>
      </c>
      <c r="G199" t="s">
        <f>TEXT(D199,"mmm dd")</f>
        <v>367</v>
      </c>
      <c r="I199" t="s">
        <v>368</v>
      </c>
      <c r="J199" t="s">
        <v>369</v>
      </c>
      <c r="K199" t="s">
        <v>370</v>
      </c>
      <c r="L199" t="s">
        <v>371</v>
      </c>
      <c r="M199" t="s">
        <v>85</v>
      </c>
      <c r="N199" t="s">
        <v>372</v>
      </c>
    </row>
    <row r="200" spans="1:23">
      <c r="A200">
        <v>24</v>
      </c>
      <c r="B200">
        <v>5</v>
      </c>
      <c r="C200">
        <v>2008</v>
      </c>
      <c r="D200" s="3" t="s">
        <f>B200&amp;"/"&amp;A200&amp;"/"&amp;C200</f>
        <v>365</v>
      </c>
      <c r="E200" t="s">
        <v>42</v>
      </c>
      <c r="F200" t="s">
        <f>I200&amp;" "&amp;J200&amp;" "&amp;K200&amp;" "&amp;L200&amp;" "&amp;M200&amp;" "&amp;N200</f>
        <v>373</v>
      </c>
      <c r="G200" t="s">
        <f>TEXT(D200,"mmm dd")</f>
        <v>367</v>
      </c>
      <c r="I200" t="s">
        <v>374</v>
      </c>
      <c r="J200" t="s">
        <v>375</v>
      </c>
      <c r="K200">
        <v>24</v>
      </c>
      <c r="L200">
        <v>2008</v>
      </c>
      <c r="M200" t="s">
        <v>376</v>
      </c>
      <c r="N200" t="s">
        <v>377</v>
      </c>
    </row>
    <row r="201" spans="1:23">
      <c r="A201">
        <v>24</v>
      </c>
      <c r="B201">
        <v>5</v>
      </c>
      <c r="C201">
        <v>2008</v>
      </c>
      <c r="D201" s="3" t="s">
        <f>B201&amp;"/"&amp;A201&amp;"/"&amp;C201</f>
        <v>365</v>
      </c>
      <c r="E201">
        <v>0.3125</v>
      </c>
      <c r="F201" t="s">
        <f>I201&amp;" "&amp;J201&amp;" "&amp;K201&amp;" "&amp;L201&amp;" "&amp;M201&amp;" "&amp;N201</f>
        <v>107</v>
      </c>
      <c r="G201" t="s">
        <f>TEXT(D201,"mmm dd")</f>
        <v>367</v>
      </c>
      <c r="I201" t="s">
        <v>109</v>
      </c>
      <c r="J201" t="s">
        <v>110</v>
      </c>
    </row>
    <row r="202" spans="1:23">
      <c r="A202">
        <v>25</v>
      </c>
      <c r="B202">
        <v>5</v>
      </c>
      <c r="C202">
        <v>2008</v>
      </c>
      <c r="D202" s="3" t="s">
        <f>B202&amp;"/"&amp;A202&amp;"/"&amp;C202</f>
        <v>378</v>
      </c>
      <c r="E202" t="s">
        <v>42</v>
      </c>
      <c r="F202" t="s">
        <f>I202&amp;" "&amp;J202&amp;" "&amp;K202&amp;" "&amp;L202&amp;" "&amp;M202&amp;" "&amp;N202</f>
        <v>379</v>
      </c>
      <c r="G202" t="s">
        <f>TEXT(D202,"mmm dd")</f>
        <v>380</v>
      </c>
      <c r="I202" t="s">
        <v>381</v>
      </c>
      <c r="J202" t="s">
        <v>139</v>
      </c>
      <c r="K202" t="s">
        <v>382</v>
      </c>
      <c r="L202" t="s">
        <v>61</v>
      </c>
      <c r="M202" t="s">
        <v>135</v>
      </c>
      <c r="N202" t="s">
        <v>383</v>
      </c>
    </row>
    <row r="203" spans="1:23">
      <c r="A203">
        <v>25</v>
      </c>
      <c r="B203">
        <v>5</v>
      </c>
      <c r="C203">
        <v>2008</v>
      </c>
      <c r="D203" s="3" t="s">
        <f>B203&amp;"/"&amp;A203&amp;"/"&amp;C203</f>
        <v>378</v>
      </c>
      <c r="E203" t="s">
        <v>42</v>
      </c>
      <c r="F203" t="s">
        <f>I203&amp;" "&amp;J203&amp;" "&amp;K203&amp;" "&amp;L203&amp;" "&amp;M203&amp;" "&amp;N203</f>
        <v>379</v>
      </c>
      <c r="G203" t="s">
        <f>TEXT(D203,"mmm dd")</f>
        <v>380</v>
      </c>
      <c r="I203" t="s">
        <v>381</v>
      </c>
      <c r="J203" t="s">
        <v>139</v>
      </c>
      <c r="K203" t="s">
        <v>382</v>
      </c>
      <c r="L203" t="s">
        <v>61</v>
      </c>
      <c r="M203" t="s">
        <v>135</v>
      </c>
      <c r="N203" t="s">
        <v>383</v>
      </c>
    </row>
    <row r="204" spans="1:23">
      <c r="A204">
        <v>26</v>
      </c>
      <c r="B204">
        <v>5</v>
      </c>
      <c r="C204">
        <v>2008</v>
      </c>
      <c r="D204" s="3" t="s">
        <f>B204&amp;"/"&amp;A204&amp;"/"&amp;C204</f>
        <v>384</v>
      </c>
      <c r="E204" t="s">
        <v>42</v>
      </c>
      <c r="F204" t="s">
        <f>I204&amp;" "&amp;J204&amp;" "&amp;K204&amp;" "&amp;L204&amp;" "&amp;M204&amp;" "&amp;N204</f>
        <v>385</v>
      </c>
      <c r="G204" t="s">
        <f>TEXT(D204,"mmm dd")</f>
        <v>386</v>
      </c>
      <c r="I204" t="s">
        <v>387</v>
      </c>
      <c r="J204" t="s">
        <v>10</v>
      </c>
    </row>
    <row r="205" spans="1:23">
      <c r="A205">
        <v>26</v>
      </c>
      <c r="B205">
        <v>5</v>
      </c>
      <c r="C205">
        <v>2008</v>
      </c>
      <c r="D205" s="3" t="s">
        <f>B205&amp;"/"&amp;A205&amp;"/"&amp;C205</f>
        <v>384</v>
      </c>
      <c r="E205" t="s">
        <v>42</v>
      </c>
      <c r="F205" t="s">
        <f>I205&amp;" "&amp;J205&amp;" "&amp;K205&amp;" "&amp;L205&amp;" "&amp;M205&amp;" "&amp;N205</f>
        <v>373</v>
      </c>
      <c r="G205" t="s">
        <f>TEXT(D205,"mmm dd")</f>
        <v>386</v>
      </c>
      <c r="I205" t="s">
        <v>374</v>
      </c>
      <c r="J205" t="s">
        <v>375</v>
      </c>
      <c r="K205">
        <v>24</v>
      </c>
      <c r="L205">
        <v>2008</v>
      </c>
      <c r="M205" t="s">
        <v>376</v>
      </c>
      <c r="N205" t="s">
        <v>377</v>
      </c>
    </row>
    <row r="206" spans="1:23">
      <c r="A206">
        <v>26</v>
      </c>
      <c r="B206">
        <v>5</v>
      </c>
      <c r="C206">
        <v>2008</v>
      </c>
      <c r="D206" s="3" t="s">
        <f>B206&amp;"/"&amp;A206&amp;"/"&amp;C206</f>
        <v>384</v>
      </c>
      <c r="E206" t="s">
        <v>42</v>
      </c>
      <c r="F206" t="s">
        <f>I206&amp;" "&amp;J206&amp;" "&amp;K206&amp;" "&amp;L206&amp;" "&amp;M206&amp;" "&amp;N206</f>
        <v>388</v>
      </c>
      <c r="G206" t="s">
        <f>TEXT(D206,"mmm dd")</f>
        <v>386</v>
      </c>
      <c r="I206" t="s">
        <v>389</v>
      </c>
      <c r="J206" t="s">
        <v>370</v>
      </c>
      <c r="K206" t="s">
        <v>199</v>
      </c>
      <c r="L206" t="s">
        <v>86</v>
      </c>
      <c r="M206" t="s">
        <v>200</v>
      </c>
      <c r="N206">
        <v>605</v>
      </c>
    </row>
    <row r="207" spans="1:23">
      <c r="A207">
        <v>26</v>
      </c>
      <c r="B207">
        <v>5</v>
      </c>
      <c r="C207">
        <v>2008</v>
      </c>
      <c r="D207" s="3" t="s">
        <f>B207&amp;"/"&amp;A207&amp;"/"&amp;C207</f>
        <v>384</v>
      </c>
      <c r="E207" t="s">
        <v>42</v>
      </c>
      <c r="F207" t="s">
        <f>I207&amp;" "&amp;J207&amp;" "&amp;K207&amp;" "&amp;L207&amp;" "&amp;M207&amp;" "&amp;N207</f>
        <v>385</v>
      </c>
      <c r="G207" t="s">
        <f>TEXT(D207,"mmm dd")</f>
        <v>386</v>
      </c>
      <c r="I207" t="s">
        <v>387</v>
      </c>
      <c r="J207" t="s">
        <v>10</v>
      </c>
    </row>
    <row r="208" spans="1:23">
      <c r="A208">
        <v>26</v>
      </c>
      <c r="B208">
        <v>5</v>
      </c>
      <c r="C208">
        <v>2008</v>
      </c>
      <c r="D208" s="3" t="s">
        <f>B208&amp;"/"&amp;A208&amp;"/"&amp;C208</f>
        <v>384</v>
      </c>
      <c r="E208" t="s">
        <v>42</v>
      </c>
      <c r="F208" t="s">
        <f>I208&amp;" "&amp;J208&amp;" "&amp;K208&amp;" "&amp;L208&amp;" "&amp;M208&amp;" "&amp;N208</f>
        <v>388</v>
      </c>
      <c r="G208" t="s">
        <f>TEXT(D208,"mmm dd")</f>
        <v>386</v>
      </c>
      <c r="I208" t="s">
        <v>389</v>
      </c>
      <c r="J208" t="s">
        <v>370</v>
      </c>
      <c r="K208" t="s">
        <v>199</v>
      </c>
      <c r="L208" t="s">
        <v>86</v>
      </c>
      <c r="M208" t="s">
        <v>200</v>
      </c>
      <c r="N208">
        <v>605</v>
      </c>
    </row>
    <row r="209" spans="1:23">
      <c r="A209">
        <v>26</v>
      </c>
      <c r="B209">
        <v>5</v>
      </c>
      <c r="C209">
        <v>2008</v>
      </c>
      <c r="D209" s="3" t="s">
        <f>B209&amp;"/"&amp;A209&amp;"/"&amp;C209</f>
        <v>384</v>
      </c>
      <c r="E209" t="s">
        <v>42</v>
      </c>
      <c r="F209" t="s">
        <f>I209&amp;" "&amp;J209&amp;" "&amp;K209&amp;" "&amp;L209&amp;" "&amp;M209&amp;" "&amp;N209</f>
        <v>373</v>
      </c>
      <c r="G209" t="s">
        <f>TEXT(D209,"mmm dd")</f>
        <v>386</v>
      </c>
      <c r="I209" t="s">
        <v>374</v>
      </c>
      <c r="J209" t="s">
        <v>375</v>
      </c>
      <c r="K209">
        <v>24</v>
      </c>
      <c r="L209">
        <v>2008</v>
      </c>
      <c r="M209" t="s">
        <v>376</v>
      </c>
      <c r="N209" t="s">
        <v>377</v>
      </c>
    </row>
    <row r="210" spans="1:23">
      <c r="A210">
        <v>27</v>
      </c>
      <c r="B210">
        <v>5</v>
      </c>
      <c r="C210">
        <v>2008</v>
      </c>
      <c r="D210" s="3" t="s">
        <f>B210&amp;"/"&amp;A210&amp;"/"&amp;C210</f>
        <v>390</v>
      </c>
      <c r="E210">
        <v>0.88541666666666663</v>
      </c>
      <c r="F210" t="s">
        <f>I210&amp;" "&amp;J210&amp;" "&amp;K210&amp;" "&amp;L210&amp;" "&amp;M210&amp;" "&amp;N210</f>
        <v>45</v>
      </c>
      <c r="G210" t="s">
        <f>TEXT(D210,"mmm dd")</f>
        <v>391</v>
      </c>
      <c r="I210" t="s">
        <v>46</v>
      </c>
      <c r="J210" t="s">
        <v>47</v>
      </c>
      <c r="K210" t="s">
        <v>48</v>
      </c>
      <c r="L210" t="s">
        <v>49</v>
      </c>
    </row>
    <row r="211" spans="1:23">
      <c r="A211">
        <v>27</v>
      </c>
      <c r="B211">
        <v>5</v>
      </c>
      <c r="C211">
        <v>2008</v>
      </c>
      <c r="D211" s="3" t="s">
        <f>B211&amp;"/"&amp;A211&amp;"/"&amp;C211</f>
        <v>390</v>
      </c>
      <c r="E211">
        <v>0.88541666666666663</v>
      </c>
      <c r="F211" t="s">
        <f>I211&amp;" "&amp;J211&amp;" "&amp;K211&amp;" "&amp;L211&amp;" "&amp;M211&amp;" "&amp;N211</f>
        <v>45</v>
      </c>
      <c r="G211" t="s">
        <f>TEXT(D211,"mmm dd")</f>
        <v>391</v>
      </c>
      <c r="I211" t="s">
        <v>46</v>
      </c>
      <c r="J211" t="s">
        <v>47</v>
      </c>
      <c r="K211" t="s">
        <v>48</v>
      </c>
      <c r="L211" t="s">
        <v>49</v>
      </c>
    </row>
    <row r="212" spans="1:23">
      <c r="A212">
        <v>28</v>
      </c>
      <c r="B212">
        <v>5</v>
      </c>
      <c r="C212">
        <v>2008</v>
      </c>
      <c r="D212" s="3" t="s">
        <f>B212&amp;"/"&amp;A212&amp;"/"&amp;C212</f>
        <v>392</v>
      </c>
      <c r="E212">
        <v>1.0416666666666667</v>
      </c>
      <c r="F212" t="s">
        <f>I212&amp;" "&amp;J212&amp;" "&amp;K212&amp;" "&amp;L212&amp;" "&amp;M212&amp;" "&amp;N212</f>
        <v>68</v>
      </c>
      <c r="G212" t="s">
        <f>TEXT(D212,"mmm dd")</f>
        <v>393</v>
      </c>
      <c r="I212" t="s">
        <v>69</v>
      </c>
    </row>
    <row r="213" spans="1:23">
      <c r="A213">
        <v>28</v>
      </c>
      <c r="B213">
        <v>5</v>
      </c>
      <c r="C213">
        <v>2008</v>
      </c>
      <c r="D213" s="3" t="s">
        <f>B213&amp;"/"&amp;A213&amp;"/"&amp;C213</f>
        <v>392</v>
      </c>
      <c r="E213">
        <v>0.9375</v>
      </c>
      <c r="F213" t="s">
        <f>I213&amp;" "&amp;J213&amp;" "&amp;K213&amp;" "&amp;L213&amp;" "&amp;M213&amp;" "&amp;N213</f>
        <v>64</v>
      </c>
      <c r="G213" t="s">
        <f>TEXT(D213,"mmm dd")</f>
        <v>393</v>
      </c>
      <c r="I213" t="s">
        <v>66</v>
      </c>
    </row>
    <row r="214" spans="1:23">
      <c r="A214">
        <v>28</v>
      </c>
      <c r="B214">
        <v>5</v>
      </c>
      <c r="C214">
        <v>2008</v>
      </c>
      <c r="D214" s="3" t="s">
        <f>B214&amp;"/"&amp;A214&amp;"/"&amp;C214</f>
        <v>392</v>
      </c>
      <c r="E214">
        <v>1</v>
      </c>
      <c r="F214" t="s">
        <f>I214&amp;" "&amp;J214&amp;" "&amp;K214&amp;" "&amp;L214&amp;" "&amp;M214&amp;" "&amp;N214</f>
        <v>71</v>
      </c>
      <c r="G214" t="s">
        <f>TEXT(D214,"mmm dd")</f>
        <v>393</v>
      </c>
      <c r="I214" t="s">
        <v>72</v>
      </c>
      <c r="J214" t="s">
        <v>73</v>
      </c>
      <c r="K214" t="s">
        <v>74</v>
      </c>
    </row>
    <row r="215" spans="1:23">
      <c r="A215">
        <v>28</v>
      </c>
      <c r="B215">
        <v>5</v>
      </c>
      <c r="C215">
        <v>2008</v>
      </c>
      <c r="D215" s="3" t="s">
        <f>B215&amp;"/"&amp;A215&amp;"/"&amp;C215</f>
        <v>392</v>
      </c>
      <c r="E215">
        <v>0.9375</v>
      </c>
      <c r="F215" t="s">
        <f>I215&amp;" "&amp;J215&amp;" "&amp;K215&amp;" "&amp;L215&amp;" "&amp;M215&amp;" "&amp;N215</f>
        <v>64</v>
      </c>
      <c r="G215" t="s">
        <f>TEXT(D215,"mmm dd")</f>
        <v>393</v>
      </c>
      <c r="I215" t="s">
        <v>66</v>
      </c>
    </row>
    <row r="216" spans="1:23">
      <c r="A216">
        <v>28</v>
      </c>
      <c r="B216">
        <v>5</v>
      </c>
      <c r="C216">
        <v>2008</v>
      </c>
      <c r="D216" s="3" t="s">
        <f>B216&amp;"/"&amp;A216&amp;"/"&amp;C216</f>
        <v>392</v>
      </c>
      <c r="E216">
        <v>1</v>
      </c>
      <c r="F216" t="s">
        <f>I216&amp;" "&amp;J216&amp;" "&amp;K216&amp;" "&amp;L216&amp;" "&amp;M216&amp;" "&amp;N216</f>
        <v>71</v>
      </c>
      <c r="G216" t="s">
        <f>TEXT(D216,"mmm dd")</f>
        <v>393</v>
      </c>
      <c r="I216" t="s">
        <v>72</v>
      </c>
      <c r="J216" t="s">
        <v>73</v>
      </c>
      <c r="K216" t="s">
        <v>74</v>
      </c>
    </row>
    <row r="217" spans="1:23">
      <c r="A217">
        <v>28</v>
      </c>
      <c r="B217">
        <v>5</v>
      </c>
      <c r="C217">
        <v>2008</v>
      </c>
      <c r="D217" s="3" t="s">
        <f>B217&amp;"/"&amp;A217&amp;"/"&amp;C217</f>
        <v>392</v>
      </c>
      <c r="E217">
        <v>1.0416666666666667</v>
      </c>
      <c r="F217" t="s">
        <f>I217&amp;" "&amp;J217&amp;" "&amp;K217&amp;" "&amp;L217&amp;" "&amp;M217&amp;" "&amp;N217</f>
        <v>68</v>
      </c>
      <c r="G217" t="s">
        <f>TEXT(D217,"mmm dd")</f>
        <v>393</v>
      </c>
      <c r="I217" t="s">
        <v>69</v>
      </c>
      <c r="O217" t="s">
        <v>394</v>
      </c>
    </row>
    <row r="218" spans="1:23">
      <c r="A218">
        <v>29</v>
      </c>
      <c r="B218">
        <v>5</v>
      </c>
      <c r="C218">
        <v>2008</v>
      </c>
      <c r="D218" s="3" t="s">
        <f>B218&amp;"/"&amp;A218&amp;"/"&amp;C218</f>
        <v>395</v>
      </c>
      <c r="E218">
        <v>0.3125</v>
      </c>
      <c r="F218" t="s">
        <f>I218&amp;" "&amp;J218&amp;" "&amp;K218&amp;" "&amp;L218&amp;" "&amp;M218&amp;" "&amp;N218</f>
        <v>396</v>
      </c>
      <c r="G218" t="s">
        <f>TEXT(D218,"mmm dd")</f>
        <v>397</v>
      </c>
      <c r="I218" t="s">
        <v>398</v>
      </c>
      <c r="J218" t="s">
        <v>399</v>
      </c>
    </row>
    <row r="219" spans="1:23">
      <c r="A219">
        <v>29</v>
      </c>
      <c r="B219">
        <v>5</v>
      </c>
      <c r="C219">
        <v>2008</v>
      </c>
      <c r="D219" s="3" t="s">
        <f>B219&amp;"/"&amp;A219&amp;"/"&amp;C219</f>
        <v>395</v>
      </c>
      <c r="E219">
        <v>0.3125</v>
      </c>
      <c r="F219" t="s">
        <f>I219&amp;" "&amp;J219&amp;" "&amp;K219&amp;" "&amp;L219&amp;" "&amp;M219&amp;" "&amp;N219</f>
        <v>396</v>
      </c>
      <c r="G219" t="s">
        <f>TEXT(D219,"mmm dd")</f>
        <v>397</v>
      </c>
      <c r="I219" t="s">
        <v>398</v>
      </c>
      <c r="J219" t="s">
        <v>399</v>
      </c>
    </row>
    <row r="220" spans="1:23">
      <c r="A220">
        <v>30</v>
      </c>
      <c r="B220">
        <v>5</v>
      </c>
      <c r="C220">
        <v>2008</v>
      </c>
      <c r="D220" s="3" t="s">
        <f>B220&amp;"/"&amp;A220&amp;"/"&amp;C220</f>
        <v>400</v>
      </c>
      <c r="E220">
        <v>0.89583333333333337</v>
      </c>
      <c r="F220" t="s">
        <f>I220&amp;" "&amp;J220&amp;" "&amp;K220&amp;" "&amp;L220&amp;" "&amp;M220&amp;" "&amp;N220</f>
        <v>401</v>
      </c>
      <c r="G220" t="s">
        <f>TEXT(D220,"mmm dd")</f>
        <v>402</v>
      </c>
      <c r="I220" t="s">
        <v>52</v>
      </c>
      <c r="J220" t="s">
        <v>403</v>
      </c>
    </row>
    <row r="221" spans="1:23">
      <c r="A221">
        <v>30</v>
      </c>
      <c r="B221">
        <v>5</v>
      </c>
      <c r="C221">
        <v>2008</v>
      </c>
      <c r="D221" s="3" t="s">
        <f>B221&amp;"/"&amp;A221&amp;"/"&amp;C221</f>
        <v>400</v>
      </c>
      <c r="E221">
        <v>0.89583333333333337</v>
      </c>
      <c r="F221" t="s">
        <f>I221&amp;" "&amp;J221&amp;" "&amp;K221&amp;" "&amp;L221&amp;" "&amp;M221&amp;" "&amp;N221</f>
        <v>401</v>
      </c>
      <c r="G221" t="s">
        <f>TEXT(D221,"mmm dd")</f>
        <v>402</v>
      </c>
      <c r="I221" t="s">
        <v>52</v>
      </c>
      <c r="J221" t="s">
        <v>403</v>
      </c>
    </row>
    <row r="222" spans="1:23">
      <c r="A222">
        <v>31</v>
      </c>
      <c r="B222">
        <v>5</v>
      </c>
      <c r="C222">
        <v>2008</v>
      </c>
      <c r="D222" s="3" t="s">
        <f>B222&amp;"/"&amp;A222&amp;"/"&amp;C222</f>
        <v>404</v>
      </c>
      <c r="E222" t="s">
        <v>42</v>
      </c>
      <c r="F222" t="s">
        <f>I222&amp;" "&amp;J222&amp;" "&amp;K222&amp;" "&amp;L222&amp;" "&amp;M222&amp;" "&amp;N222</f>
        <v>405</v>
      </c>
      <c r="G222" t="s">
        <f>TEXT(D222,"mmm dd")</f>
        <v>406</v>
      </c>
      <c r="I222" t="s">
        <v>407</v>
      </c>
      <c r="J222" t="s">
        <v>408</v>
      </c>
      <c r="K222" t="s">
        <v>86</v>
      </c>
      <c r="L222" t="s">
        <v>139</v>
      </c>
      <c r="M222" t="s">
        <v>409</v>
      </c>
      <c r="N222" t="s">
        <v>410</v>
      </c>
    </row>
    <row r="223" spans="1:23">
      <c r="A223">
        <v>31</v>
      </c>
      <c r="B223">
        <v>5</v>
      </c>
      <c r="C223">
        <v>2008</v>
      </c>
      <c r="D223" s="3" t="s">
        <f>B223&amp;"/"&amp;A223&amp;"/"&amp;C223</f>
        <v>404</v>
      </c>
      <c r="E223">
        <v>0.3125</v>
      </c>
      <c r="F223" t="s">
        <f>I223&amp;" "&amp;J223&amp;" "&amp;K223&amp;" "&amp;L223&amp;" "&amp;M223&amp;" "&amp;N223</f>
        <v>107</v>
      </c>
      <c r="G223" t="s">
        <f>TEXT(D223,"mmm dd")</f>
        <v>406</v>
      </c>
      <c r="I223" t="s">
        <v>109</v>
      </c>
      <c r="J223" t="s">
        <v>110</v>
      </c>
    </row>
    <row r="224" spans="1:23">
      <c r="A224">
        <v>31</v>
      </c>
      <c r="B224">
        <v>5</v>
      </c>
      <c r="C224">
        <v>2008</v>
      </c>
      <c r="D224" s="3" t="s">
        <f>B224&amp;"/"&amp;A224&amp;"/"&amp;C224</f>
        <v>404</v>
      </c>
      <c r="E224">
        <v>0.95833333333333337</v>
      </c>
      <c r="F224" t="str">
        <f>I224&amp;" "&amp;J224&amp;" "&amp;K224&amp;" "&amp;L224&amp;" "&amp;M224&amp;" "&amp;N224</f>
        <v>Ordination at Holy Nativity\  white</v>
      </c>
      <c r="G224" t="s">
        <f>TEXT(D224,"mmm dd")</f>
        <v>406</v>
      </c>
      <c r="I224" t="s">
        <v>411</v>
      </c>
      <c r="J224" t="s">
        <v>53</v>
      </c>
      <c r="K224" t="s">
        <v>412</v>
      </c>
      <c r="L224" t="s">
        <v>413</v>
      </c>
      <c r="N224" t="s">
        <v>414</v>
      </c>
    </row>
    <row r="225" spans="1:23">
      <c r="A225">
        <v>31</v>
      </c>
      <c r="B225">
        <v>5</v>
      </c>
      <c r="C225">
        <v>2008</v>
      </c>
      <c r="D225" s="3" t="s">
        <f>B225&amp;"/"&amp;A225&amp;"/"&amp;C225</f>
        <v>404</v>
      </c>
      <c r="E225">
        <v>0.20833333333333334</v>
      </c>
      <c r="F225" t="s">
        <f>I225&amp;" "&amp;J225&amp;" "&amp;K225&amp;" "&amp;L225&amp;" "&amp;M225&amp;" "&amp;N225</f>
        <v>415</v>
      </c>
      <c r="G225" t="s">
        <f>TEXT(D225,"mmm dd")</f>
        <v>406</v>
      </c>
      <c r="I225" t="s">
        <v>416</v>
      </c>
      <c r="J225" t="s">
        <v>417</v>
      </c>
      <c r="K225" t="s">
        <v>418</v>
      </c>
    </row>
    <row r="226" spans="1:23">
      <c r="A226">
        <v>31</v>
      </c>
      <c r="B226">
        <v>5</v>
      </c>
      <c r="C226">
        <v>2008</v>
      </c>
      <c r="D226" s="3" t="s">
        <f>B226&amp;"/"&amp;A226&amp;"/"&amp;C226</f>
        <v>404</v>
      </c>
      <c r="E226">
        <v>0.95833333333333337</v>
      </c>
      <c r="F226" t="str">
        <f>I226&amp;" "&amp;J226&amp;" "&amp;K226&amp;" "&amp;L226&amp;" "&amp;M226&amp;" "&amp;N226&amp;" "&amp;O226</f>
        <v>Ordination at Holy Nativity\  white Mary</v>
      </c>
      <c r="G226" t="s">
        <f>TEXT(D226,"mmm dd")</f>
        <v>406</v>
      </c>
      <c r="I226" t="s">
        <v>411</v>
      </c>
      <c r="J226" t="s">
        <v>53</v>
      </c>
      <c r="K226" t="s">
        <v>412</v>
      </c>
      <c r="L226" t="s">
        <v>413</v>
      </c>
      <c r="N226" t="s">
        <v>414</v>
      </c>
      <c r="O226" t="s">
        <v>410</v>
      </c>
    </row>
    <row r="227" spans="1:23">
      <c r="A227">
        <v>31</v>
      </c>
      <c r="B227">
        <v>5</v>
      </c>
      <c r="C227">
        <v>2008</v>
      </c>
      <c r="D227" s="3" t="s">
        <f>B227&amp;"/"&amp;A227&amp;"/"&amp;C227</f>
        <v>404</v>
      </c>
      <c r="E227">
        <v>0.3125</v>
      </c>
      <c r="F227" t="s">
        <f>I227&amp;" "&amp;J227&amp;" "&amp;K227&amp;" "&amp;L227&amp;" "&amp;M227&amp;" "&amp;N227</f>
        <v>107</v>
      </c>
      <c r="G227" t="s">
        <f>TEXT(D227,"mmm dd")</f>
        <v>406</v>
      </c>
      <c r="I227" t="s">
        <v>109</v>
      </c>
      <c r="J227" t="s">
        <v>110</v>
      </c>
    </row>
    <row r="228" spans="1:23">
      <c r="A228">
        <v>31</v>
      </c>
      <c r="B228">
        <v>5</v>
      </c>
      <c r="C228">
        <v>2008</v>
      </c>
      <c r="D228" s="3" t="s">
        <f>B228&amp;"/"&amp;A228&amp;"/"&amp;C228</f>
        <v>404</v>
      </c>
      <c r="E228" t="s">
        <v>42</v>
      </c>
      <c r="F228" t="s">
        <f>I228&amp;" "&amp;J228&amp;" "&amp;K228&amp;" "&amp;L228&amp;" "&amp;M228&amp;" "&amp;N228</f>
        <v>405</v>
      </c>
      <c r="G228" t="s">
        <f>TEXT(D228,"mmm dd")</f>
        <v>406</v>
      </c>
      <c r="I228" t="s">
        <v>407</v>
      </c>
      <c r="J228" t="s">
        <v>408</v>
      </c>
      <c r="K228" t="s">
        <v>86</v>
      </c>
      <c r="L228" t="s">
        <v>139</v>
      </c>
      <c r="M228" t="s">
        <v>409</v>
      </c>
      <c r="N228" t="s">
        <v>410</v>
      </c>
    </row>
    <row r="229" spans="1:23">
      <c r="A229">
        <v>31</v>
      </c>
      <c r="B229">
        <v>5</v>
      </c>
      <c r="C229">
        <v>2008</v>
      </c>
      <c r="D229" s="3" t="s">
        <f>B229&amp;"/"&amp;A229&amp;"/"&amp;C229</f>
        <v>404</v>
      </c>
      <c r="E229">
        <v>0.20833333333333334</v>
      </c>
      <c r="F229" t="s">
        <f>I229&amp;" "&amp;J229&amp;" "&amp;K229&amp;" "&amp;L229&amp;" "&amp;M229&amp;" "&amp;N229</f>
        <v>415</v>
      </c>
      <c r="G229" t="s">
        <f>TEXT(D229,"mmm dd")</f>
        <v>406</v>
      </c>
      <c r="I229" t="s">
        <v>416</v>
      </c>
      <c r="J229" t="s">
        <v>417</v>
      </c>
      <c r="K229" t="s">
        <v>418</v>
      </c>
    </row>
    <row r="230" spans="1:23">
      <c r="A230">
        <v>1</v>
      </c>
      <c r="B230">
        <v>6</v>
      </c>
      <c r="C230">
        <v>2008</v>
      </c>
      <c r="D230" s="3" t="s">
        <f>B230&amp;"/"&amp;A230&amp;"/"&amp;C230</f>
        <v>419</v>
      </c>
      <c r="E230" t="s">
        <v>42</v>
      </c>
      <c r="F230" t="s">
        <f>I230&amp;" "&amp;J230&amp;" "&amp;K230&amp;" "&amp;L230&amp;" "&amp;M230&amp;" "&amp;N230</f>
        <v>420</v>
      </c>
      <c r="G230" t="s">
        <f>TEXT(D230,"mmm dd")</f>
        <v>421</v>
      </c>
      <c r="I230" t="s">
        <v>422</v>
      </c>
      <c r="J230" t="s">
        <v>423</v>
      </c>
      <c r="K230" t="s">
        <v>53</v>
      </c>
      <c r="L230" t="s">
        <v>424</v>
      </c>
      <c r="M230" t="s">
        <v>286</v>
      </c>
      <c r="N230">
        <v>167</v>
      </c>
    </row>
    <row r="231" spans="1:23">
      <c r="A231">
        <v>1</v>
      </c>
      <c r="B231">
        <v>6</v>
      </c>
      <c r="C231">
        <v>2008</v>
      </c>
      <c r="D231" s="3" t="s">
        <f>B231&amp;"/"&amp;A231&amp;"/"&amp;C231</f>
        <v>419</v>
      </c>
      <c r="E231">
        <v>0.95833333333333337</v>
      </c>
      <c r="F231" t="s">
        <f>I231&amp;" "&amp;J231&amp;" "&amp;K231&amp;" "&amp;L231&amp;" "&amp;M231&amp;" "&amp;N231</f>
        <v>425</v>
      </c>
      <c r="G231" t="s">
        <f>TEXT(D231,"mmm dd")</f>
        <v>421</v>
      </c>
      <c r="I231" t="s">
        <v>426</v>
      </c>
      <c r="J231" t="s">
        <v>427</v>
      </c>
    </row>
    <row r="232" spans="1:23">
      <c r="A232">
        <v>1</v>
      </c>
      <c r="B232">
        <v>6</v>
      </c>
      <c r="C232">
        <v>2008</v>
      </c>
      <c r="D232" s="3" t="s">
        <f>B232&amp;"/"&amp;A232&amp;"/"&amp;C232</f>
        <v>419</v>
      </c>
      <c r="E232">
        <v>0.95833333333333337</v>
      </c>
      <c r="F232" t="s">
        <f>I232&amp;" "&amp;J232&amp;" "&amp;K232&amp;" "&amp;L232&amp;" "&amp;M232&amp;" "&amp;N232</f>
        <v>425</v>
      </c>
      <c r="G232" t="s">
        <f>TEXT(D232,"mmm dd")</f>
        <v>421</v>
      </c>
      <c r="I232" t="s">
        <v>426</v>
      </c>
      <c r="J232" t="s">
        <v>427</v>
      </c>
    </row>
    <row r="233" spans="1:23">
      <c r="A233">
        <v>1</v>
      </c>
      <c r="B233">
        <v>6</v>
      </c>
      <c r="C233">
        <v>2008</v>
      </c>
      <c r="D233" s="3" t="s">
        <f>B233&amp;"/"&amp;A233&amp;"/"&amp;C233</f>
        <v>419</v>
      </c>
      <c r="E233" t="s">
        <v>42</v>
      </c>
      <c r="F233" t="s">
        <f>I233&amp;" "&amp;J233&amp;" "&amp;K233&amp;" "&amp;L233&amp;" "&amp;M233&amp;" "&amp;N233</f>
        <v>420</v>
      </c>
      <c r="G233" t="s">
        <f>TEXT(D233,"mmm dd")</f>
        <v>421</v>
      </c>
      <c r="I233" t="s">
        <v>422</v>
      </c>
      <c r="J233" t="s">
        <v>423</v>
      </c>
      <c r="K233" t="s">
        <v>53</v>
      </c>
      <c r="L233" t="s">
        <v>424</v>
      </c>
      <c r="M233" t="s">
        <v>286</v>
      </c>
      <c r="N233">
        <v>167</v>
      </c>
    </row>
    <row r="234" spans="1:23">
      <c r="A234">
        <v>2</v>
      </c>
      <c r="B234">
        <v>6</v>
      </c>
      <c r="C234">
        <v>2008</v>
      </c>
      <c r="D234" s="3" t="s">
        <f>B234&amp;"/"&amp;A234&amp;"/"&amp;C234</f>
        <v>428</v>
      </c>
      <c r="E234" t="s">
        <v>42</v>
      </c>
      <c r="F234" t="s">
        <f>I234&amp;" "&amp;J234&amp;" "&amp;K234&amp;" "&amp;L234&amp;" "&amp;M234&amp;" "&amp;N234</f>
        <v>429</v>
      </c>
      <c r="G234" t="s">
        <f>TEXT(D234,"mmm dd")</f>
        <v>430</v>
      </c>
      <c r="I234" t="s">
        <v>407</v>
      </c>
      <c r="J234" t="s">
        <v>330</v>
      </c>
      <c r="K234" t="s">
        <v>86</v>
      </c>
      <c r="L234" t="s">
        <v>431</v>
      </c>
      <c r="M234">
        <v>177</v>
      </c>
    </row>
    <row r="235" spans="1:23">
      <c r="A235">
        <v>2</v>
      </c>
      <c r="B235">
        <v>6</v>
      </c>
      <c r="C235">
        <v>2008</v>
      </c>
      <c r="D235" s="3" t="s">
        <f>B235&amp;"/"&amp;A235&amp;"/"&amp;C235</f>
        <v>428</v>
      </c>
      <c r="E235" t="s">
        <v>42</v>
      </c>
      <c r="F235" t="s">
        <f>I235&amp;" "&amp;J235&amp;" "&amp;K235&amp;" "&amp;L235&amp;" "&amp;M235&amp;" "&amp;N235</f>
        <v>429</v>
      </c>
      <c r="G235" t="s">
        <f>TEXT(D235,"mmm dd")</f>
        <v>430</v>
      </c>
      <c r="I235" t="s">
        <v>407</v>
      </c>
      <c r="J235" t="s">
        <v>330</v>
      </c>
      <c r="K235" t="s">
        <v>86</v>
      </c>
      <c r="L235" t="s">
        <v>431</v>
      </c>
      <c r="M235">
        <v>177</v>
      </c>
    </row>
    <row r="236" spans="1:23">
      <c r="A236">
        <v>3</v>
      </c>
      <c r="B236">
        <v>6</v>
      </c>
      <c r="C236">
        <v>2008</v>
      </c>
      <c r="D236" s="3" t="s">
        <f>B236&amp;"/"&amp;A236&amp;"/"&amp;C236</f>
        <v>432</v>
      </c>
      <c r="E236" t="s">
        <v>42</v>
      </c>
      <c r="F236" t="s">
        <f>I236&amp;" "&amp;J236&amp;" "&amp;K236&amp;" "&amp;L236&amp;" "&amp;M236&amp;" "&amp;N236</f>
        <v>433</v>
      </c>
      <c r="G236" t="s">
        <f>TEXT(D236,"mmm dd")</f>
        <v>434</v>
      </c>
      <c r="I236" t="s">
        <v>407</v>
      </c>
      <c r="J236" t="s">
        <v>330</v>
      </c>
      <c r="K236" t="s">
        <v>86</v>
      </c>
      <c r="L236" t="s">
        <v>435</v>
      </c>
      <c r="M236">
        <v>1886</v>
      </c>
    </row>
    <row r="237" spans="1:23">
      <c r="A237">
        <v>3</v>
      </c>
      <c r="B237">
        <v>6</v>
      </c>
      <c r="C237">
        <v>2008</v>
      </c>
      <c r="D237" s="3" t="s">
        <f>B237&amp;"/"&amp;A237&amp;"/"&amp;C237</f>
        <v>432</v>
      </c>
      <c r="E237">
        <v>0.88541666666666663</v>
      </c>
      <c r="F237" t="s">
        <f>I237&amp;" "&amp;J237&amp;" "&amp;K237&amp;" "&amp;L237&amp;" "&amp;M237&amp;" "&amp;N237</f>
        <v>45</v>
      </c>
      <c r="G237" t="s">
        <f>TEXT(D237,"mmm dd")</f>
        <v>434</v>
      </c>
      <c r="I237" t="s">
        <v>46</v>
      </c>
      <c r="J237" t="s">
        <v>47</v>
      </c>
      <c r="K237" t="s">
        <v>48</v>
      </c>
      <c r="L237" t="s">
        <v>49</v>
      </c>
    </row>
    <row r="238" spans="1:23">
      <c r="A238">
        <v>3</v>
      </c>
      <c r="B238">
        <v>6</v>
      </c>
      <c r="C238">
        <v>2008</v>
      </c>
      <c r="D238" s="3" t="s">
        <f>B238&amp;"/"&amp;A238&amp;"/"&amp;C238</f>
        <v>432</v>
      </c>
      <c r="E238">
        <v>1</v>
      </c>
      <c r="F238" t="s">
        <f>I238&amp;" "&amp;J238&amp;" "&amp;K238&amp;" "&amp;L238&amp;" "&amp;M238&amp;" "&amp;N238</f>
        <v>436</v>
      </c>
      <c r="G238" t="s">
        <f>TEXT(D238,"mmm dd")</f>
        <v>434</v>
      </c>
      <c r="I238" t="s">
        <v>437</v>
      </c>
      <c r="J238" t="s">
        <v>438</v>
      </c>
      <c r="K238" t="s">
        <v>439</v>
      </c>
      <c r="L238" t="s">
        <v>440</v>
      </c>
      <c r="O238" t="s">
        <v>441</v>
      </c>
    </row>
    <row r="239" spans="1:23">
      <c r="A239">
        <v>3</v>
      </c>
      <c r="B239">
        <v>6</v>
      </c>
      <c r="C239">
        <v>2008</v>
      </c>
      <c r="D239" s="3" t="s">
        <f>B239&amp;"/"&amp;A239&amp;"/"&amp;C239</f>
        <v>432</v>
      </c>
      <c r="E239">
        <v>0.88541666666666663</v>
      </c>
      <c r="F239" t="s">
        <f>I239&amp;" "&amp;J239&amp;" "&amp;K239&amp;" "&amp;L239&amp;" "&amp;M239&amp;" "&amp;N239</f>
        <v>45</v>
      </c>
      <c r="G239" t="s">
        <f>TEXT(D239,"mmm dd")</f>
        <v>434</v>
      </c>
      <c r="I239" t="s">
        <v>46</v>
      </c>
      <c r="J239" t="s">
        <v>47</v>
      </c>
      <c r="K239" t="s">
        <v>48</v>
      </c>
      <c r="L239" t="s">
        <v>49</v>
      </c>
    </row>
    <row r="240" spans="1:23">
      <c r="A240">
        <v>3</v>
      </c>
      <c r="B240">
        <v>6</v>
      </c>
      <c r="C240">
        <v>2008</v>
      </c>
      <c r="D240" s="3" t="s">
        <f>B240&amp;"/"&amp;A240&amp;"/"&amp;C240</f>
        <v>432</v>
      </c>
      <c r="E240">
        <v>1</v>
      </c>
      <c r="F240" t="s">
        <f>I240&amp;" "&amp;J240&amp;" "&amp;K240&amp;" "&amp;L240&amp;" "&amp;M240&amp;" "&amp;N240</f>
        <v>436</v>
      </c>
      <c r="G240" t="s">
        <f>TEXT(D240,"mmm dd")</f>
        <v>434</v>
      </c>
      <c r="I240" t="s">
        <v>437</v>
      </c>
      <c r="J240" t="s">
        <v>438</v>
      </c>
      <c r="K240" t="s">
        <v>439</v>
      </c>
      <c r="L240" t="s">
        <v>440</v>
      </c>
    </row>
    <row r="241" spans="1:23">
      <c r="A241">
        <v>3</v>
      </c>
      <c r="B241">
        <v>6</v>
      </c>
      <c r="C241">
        <v>2008</v>
      </c>
      <c r="D241" s="3" t="s">
        <f>B241&amp;"/"&amp;A241&amp;"/"&amp;C241</f>
        <v>432</v>
      </c>
      <c r="E241" t="s">
        <v>42</v>
      </c>
      <c r="F241" t="s">
        <f>I241&amp;" "&amp;J241&amp;" "&amp;K241&amp;" "&amp;L241&amp;" "&amp;M241&amp;" "&amp;N241</f>
        <v>433</v>
      </c>
      <c r="G241" t="s">
        <f>TEXT(D241,"mmm dd")</f>
        <v>434</v>
      </c>
      <c r="I241" t="s">
        <v>407</v>
      </c>
      <c r="J241" t="s">
        <v>330</v>
      </c>
      <c r="K241" t="s">
        <v>86</v>
      </c>
      <c r="L241" t="s">
        <v>435</v>
      </c>
      <c r="M241">
        <v>1886</v>
      </c>
    </row>
    <row r="242" spans="1:23">
      <c r="A242">
        <v>4</v>
      </c>
      <c r="B242">
        <v>6</v>
      </c>
      <c r="C242">
        <v>2008</v>
      </c>
      <c r="D242" s="3" t="s">
        <f>B242&amp;"/"&amp;A242&amp;"/"&amp;C242</f>
        <v>442</v>
      </c>
      <c r="E242">
        <v>0.9375</v>
      </c>
      <c r="F242" t="s">
        <f>I242&amp;" "&amp;J242&amp;" "&amp;K242&amp;" "&amp;L242&amp;" "&amp;M242&amp;" "&amp;N242</f>
        <v>64</v>
      </c>
      <c r="G242" t="s">
        <f>TEXT(D242,"mmm dd")</f>
        <v>443</v>
      </c>
      <c r="I242" t="s">
        <v>66</v>
      </c>
    </row>
    <row r="243" spans="1:23">
      <c r="A243">
        <v>4</v>
      </c>
      <c r="B243">
        <v>6</v>
      </c>
      <c r="C243">
        <v>2008</v>
      </c>
      <c r="D243" s="3" t="s">
        <f>B243&amp;"/"&amp;A243&amp;"/"&amp;C243</f>
        <v>442</v>
      </c>
      <c r="E243">
        <v>1</v>
      </c>
      <c r="F243" t="s">
        <f>I243&amp;" "&amp;J243&amp;" "&amp;K243&amp;" "&amp;L243&amp;" "&amp;M243&amp;" "&amp;N243</f>
        <v>71</v>
      </c>
      <c r="G243" t="s">
        <f>TEXT(D243,"mmm dd")</f>
        <v>443</v>
      </c>
      <c r="I243" t="s">
        <v>72</v>
      </c>
      <c r="J243" t="s">
        <v>73</v>
      </c>
      <c r="K243" t="s">
        <v>74</v>
      </c>
    </row>
    <row r="244" spans="1:23">
      <c r="A244">
        <v>4</v>
      </c>
      <c r="B244">
        <v>6</v>
      </c>
      <c r="C244">
        <v>2008</v>
      </c>
      <c r="D244" s="3" t="s">
        <f>B244&amp;"/"&amp;A244&amp;"/"&amp;C244</f>
        <v>442</v>
      </c>
      <c r="E244">
        <v>1.0416666666666667</v>
      </c>
      <c r="F244" t="s">
        <f>I244&amp;" "&amp;J244&amp;" "&amp;K244&amp;" "&amp;L244&amp;" "&amp;M244&amp;" "&amp;N244</f>
        <v>68</v>
      </c>
      <c r="G244" t="s">
        <f>TEXT(D244,"mmm dd")</f>
        <v>443</v>
      </c>
      <c r="I244" t="s">
        <v>69</v>
      </c>
    </row>
    <row r="245" spans="1:23">
      <c r="A245">
        <v>4</v>
      </c>
      <c r="B245">
        <v>6</v>
      </c>
      <c r="C245">
        <v>2008</v>
      </c>
      <c r="D245" s="3" t="s">
        <f>B245&amp;"/"&amp;A245&amp;"/"&amp;C245</f>
        <v>442</v>
      </c>
      <c r="E245">
        <v>1</v>
      </c>
      <c r="F245" t="s">
        <f>I245&amp;" "&amp;J245&amp;" "&amp;K245&amp;" "&amp;L245&amp;" "&amp;M245&amp;" "&amp;N245</f>
        <v>71</v>
      </c>
      <c r="G245" t="s">
        <f>TEXT(D245,"mmm dd")</f>
        <v>443</v>
      </c>
      <c r="I245" t="s">
        <v>72</v>
      </c>
      <c r="J245" t="s">
        <v>73</v>
      </c>
      <c r="K245" t="s">
        <v>74</v>
      </c>
    </row>
    <row r="246" spans="1:23">
      <c r="A246">
        <v>4</v>
      </c>
      <c r="B246">
        <v>6</v>
      </c>
      <c r="C246">
        <v>2008</v>
      </c>
      <c r="D246" s="3" t="s">
        <f>B246&amp;"/"&amp;A246&amp;"/"&amp;C246</f>
        <v>442</v>
      </c>
      <c r="E246">
        <v>1.0416666666666667</v>
      </c>
      <c r="F246" t="s">
        <f>I246&amp;" "&amp;J246&amp;" "&amp;K246&amp;" "&amp;L246&amp;" "&amp;M246&amp;" "&amp;N246</f>
        <v>68</v>
      </c>
      <c r="G246" t="s">
        <f>TEXT(D246,"mmm dd")</f>
        <v>443</v>
      </c>
      <c r="I246" t="s">
        <v>69</v>
      </c>
    </row>
    <row r="247" spans="1:23">
      <c r="A247">
        <v>4</v>
      </c>
      <c r="B247">
        <v>6</v>
      </c>
      <c r="C247">
        <v>2008</v>
      </c>
      <c r="D247" s="3" t="s">
        <f>B247&amp;"/"&amp;A247&amp;"/"&amp;C247</f>
        <v>442</v>
      </c>
      <c r="E247">
        <v>0.9375</v>
      </c>
      <c r="F247" t="s">
        <f>I247&amp;" "&amp;J247&amp;" "&amp;K247&amp;" "&amp;L247&amp;" "&amp;M247&amp;" "&amp;N247</f>
        <v>64</v>
      </c>
      <c r="G247" t="s">
        <f>TEXT(D247,"mmm dd")</f>
        <v>443</v>
      </c>
      <c r="I247" t="s">
        <v>66</v>
      </c>
    </row>
    <row r="248" spans="1:23">
      <c r="A248">
        <v>5</v>
      </c>
      <c r="B248">
        <v>6</v>
      </c>
      <c r="C248">
        <v>2008</v>
      </c>
      <c r="D248" s="3" t="s">
        <f>B248&amp;"/"&amp;A248&amp;"/"&amp;C248</f>
        <v>444</v>
      </c>
      <c r="E248" t="s">
        <v>42</v>
      </c>
      <c r="F248" t="s">
        <f>I248&amp;" "&amp;J248&amp;" "&amp;K248&amp;" "&amp;L248&amp;" "&amp;M248&amp;" "&amp;N248</f>
        <v>445</v>
      </c>
      <c r="G248" t="s">
        <f>TEXT(D248,"mmm dd")</f>
        <v>446</v>
      </c>
      <c r="I248" t="s">
        <v>447</v>
      </c>
      <c r="J248" t="s">
        <v>199</v>
      </c>
      <c r="K248" t="s">
        <v>86</v>
      </c>
      <c r="L248" t="s">
        <v>448</v>
      </c>
      <c r="M248" t="s">
        <v>371</v>
      </c>
      <c r="N248" t="s">
        <v>449</v>
      </c>
    </row>
    <row r="249" spans="1:23">
      <c r="A249">
        <v>5</v>
      </c>
      <c r="B249">
        <v>6</v>
      </c>
      <c r="C249">
        <v>2008</v>
      </c>
      <c r="D249" s="3" t="s">
        <f>B249&amp;"/"&amp;A249&amp;"/"&amp;C249</f>
        <v>444</v>
      </c>
      <c r="E249" t="s">
        <v>42</v>
      </c>
      <c r="F249" t="s">
        <f>I249&amp;" "&amp;J249&amp;" "&amp;K249&amp;" "&amp;L249&amp;" "&amp;M249&amp;" "&amp;N249</f>
        <v>155</v>
      </c>
      <c r="G249" t="s">
        <f>TEXT(D249,"mmm dd")</f>
        <v>446</v>
      </c>
      <c r="I249" t="s">
        <v>156</v>
      </c>
      <c r="J249" t="s">
        <v>157</v>
      </c>
    </row>
    <row r="250" spans="1:23">
      <c r="A250">
        <v>5</v>
      </c>
      <c r="B250">
        <v>6</v>
      </c>
      <c r="C250">
        <v>2008</v>
      </c>
      <c r="D250" s="3" t="s">
        <f>B250&amp;"/"&amp;A250&amp;"/"&amp;C250</f>
        <v>444</v>
      </c>
      <c r="E250">
        <v>1</v>
      </c>
      <c r="F250" t="s">
        <f>I250&amp;" "&amp;J250&amp;" "&amp;K250&amp;" "&amp;L250&amp;" "&amp;M250&amp;" "&amp;N250</f>
        <v>450</v>
      </c>
      <c r="G250" t="s">
        <f>TEXT(D250,"mmm dd")</f>
        <v>446</v>
      </c>
      <c r="I250" t="s">
        <v>451</v>
      </c>
      <c r="J250" t="s">
        <v>452</v>
      </c>
      <c r="K250" t="s">
        <v>453</v>
      </c>
      <c r="L250" t="s">
        <v>48</v>
      </c>
      <c r="M250" t="s">
        <v>412</v>
      </c>
      <c r="N250" t="s">
        <v>454</v>
      </c>
    </row>
    <row r="251" spans="1:23">
      <c r="A251">
        <v>5</v>
      </c>
      <c r="B251">
        <v>6</v>
      </c>
      <c r="C251">
        <v>2008</v>
      </c>
      <c r="D251" s="3" t="s">
        <f>B251&amp;"/"&amp;A251&amp;"/"&amp;C251</f>
        <v>444</v>
      </c>
      <c r="E251" t="s">
        <v>42</v>
      </c>
      <c r="F251" t="s">
        <f>I251&amp;" "&amp;J251&amp;" "&amp;K251&amp;" "&amp;L251&amp;" "&amp;M251&amp;" "&amp;N251</f>
        <v>455</v>
      </c>
      <c r="G251" t="s">
        <f>TEXT(D251,"mmm dd")</f>
        <v>446</v>
      </c>
      <c r="I251" t="s">
        <v>456</v>
      </c>
      <c r="J251" t="s">
        <v>457</v>
      </c>
    </row>
    <row r="252" spans="1:23">
      <c r="A252">
        <v>5</v>
      </c>
      <c r="B252">
        <v>6</v>
      </c>
      <c r="C252">
        <v>2008</v>
      </c>
      <c r="D252" s="3" t="s">
        <f>B252&amp;"/"&amp;A252&amp;"/"&amp;C252</f>
        <v>444</v>
      </c>
      <c r="E252">
        <v>0.66666666666666663</v>
      </c>
      <c r="F252" t="s">
        <f>I252&amp;" "&amp;J252&amp;" "&amp;K252&amp;" "&amp;L252&amp;" "&amp;M252&amp;" "&amp;N252</f>
        <v>458</v>
      </c>
      <c r="G252" t="s">
        <f>TEXT(D252,"mmm dd")</f>
        <v>446</v>
      </c>
      <c r="I252" t="s">
        <v>459</v>
      </c>
    </row>
    <row r="253" spans="1:23">
      <c r="A253">
        <v>5</v>
      </c>
      <c r="B253">
        <v>6</v>
      </c>
      <c r="C253">
        <v>2008</v>
      </c>
      <c r="D253" s="3" t="s">
        <f>B253&amp;"/"&amp;A253&amp;"/"&amp;C253</f>
        <v>444</v>
      </c>
      <c r="E253" t="s">
        <v>42</v>
      </c>
      <c r="F253" t="s">
        <f>I253&amp;" "&amp;J253&amp;" "&amp;K253&amp;" "&amp;L253&amp;" "&amp;M253&amp;" "&amp;N253</f>
        <v>445</v>
      </c>
      <c r="G253" t="s">
        <f>TEXT(D253,"mmm dd")</f>
        <v>446</v>
      </c>
      <c r="I253" t="s">
        <v>447</v>
      </c>
      <c r="J253" t="s">
        <v>199</v>
      </c>
      <c r="K253" t="s">
        <v>86</v>
      </c>
      <c r="L253" t="s">
        <v>448</v>
      </c>
      <c r="M253" t="s">
        <v>371</v>
      </c>
      <c r="N253" t="s">
        <v>449</v>
      </c>
      <c r="O253" t="s">
        <v>460</v>
      </c>
    </row>
    <row r="254" spans="1:23">
      <c r="A254">
        <v>5</v>
      </c>
      <c r="B254">
        <v>6</v>
      </c>
      <c r="C254">
        <v>2008</v>
      </c>
      <c r="D254" s="3" t="s">
        <f>B254&amp;"/"&amp;A254&amp;"/"&amp;C254</f>
        <v>444</v>
      </c>
      <c r="E254">
        <v>0.66666666666666663</v>
      </c>
      <c r="F254" t="s">
        <f>I254&amp;" "&amp;J254&amp;" "&amp;K254&amp;" "&amp;L254&amp;" "&amp;M254&amp;" "&amp;N254</f>
        <v>458</v>
      </c>
      <c r="G254" t="s">
        <f>TEXT(D254,"mmm dd")</f>
        <v>446</v>
      </c>
      <c r="I254" t="s">
        <v>459</v>
      </c>
    </row>
    <row r="255" spans="1:23">
      <c r="A255">
        <v>5</v>
      </c>
      <c r="B255">
        <v>6</v>
      </c>
      <c r="C255">
        <v>2008</v>
      </c>
      <c r="D255" s="3" t="s">
        <f>B255&amp;"/"&amp;A255&amp;"/"&amp;C255</f>
        <v>444</v>
      </c>
      <c r="E255" t="s">
        <v>42</v>
      </c>
      <c r="F255" t="s">
        <f>I255&amp;" "&amp;J255&amp;" "&amp;K255&amp;" "&amp;L255&amp;" "&amp;M255&amp;" "&amp;N255</f>
        <v>155</v>
      </c>
      <c r="G255" t="s">
        <f>TEXT(D255,"mmm dd")</f>
        <v>446</v>
      </c>
      <c r="I255" t="s">
        <v>156</v>
      </c>
      <c r="J255" t="s">
        <v>157</v>
      </c>
    </row>
    <row r="256" spans="1:23">
      <c r="A256">
        <v>5</v>
      </c>
      <c r="B256">
        <v>6</v>
      </c>
      <c r="C256">
        <v>2008</v>
      </c>
      <c r="D256" s="3" t="s">
        <f>B256&amp;"/"&amp;A256&amp;"/"&amp;C256</f>
        <v>444</v>
      </c>
      <c r="E256" t="s">
        <v>42</v>
      </c>
      <c r="F256" t="s">
        <f>I256&amp;" "&amp;J256&amp;" "&amp;K256&amp;" "&amp;L256&amp;" "&amp;M256&amp;" "&amp;N256</f>
        <v>455</v>
      </c>
      <c r="G256" t="s">
        <f>TEXT(D256,"mmm dd")</f>
        <v>446</v>
      </c>
      <c r="I256" t="s">
        <v>456</v>
      </c>
      <c r="J256" t="s">
        <v>457</v>
      </c>
    </row>
    <row r="257" spans="1:23">
      <c r="A257">
        <v>5</v>
      </c>
      <c r="B257">
        <v>6</v>
      </c>
      <c r="C257">
        <v>2008</v>
      </c>
      <c r="D257" s="3" t="s">
        <f>B257&amp;"/"&amp;A257&amp;"/"&amp;C257</f>
        <v>444</v>
      </c>
      <c r="E257">
        <v>1</v>
      </c>
      <c r="F257" t="s">
        <f>I257&amp;" "&amp;J257&amp;" "&amp;K257&amp;" "&amp;L257&amp;" "&amp;M257&amp;" "&amp;N257</f>
        <v>450</v>
      </c>
      <c r="G257" t="s">
        <f>TEXT(D257,"mmm dd")</f>
        <v>446</v>
      </c>
      <c r="I257" t="s">
        <v>451</v>
      </c>
      <c r="J257" t="s">
        <v>452</v>
      </c>
      <c r="K257" t="s">
        <v>453</v>
      </c>
      <c r="L257" t="s">
        <v>48</v>
      </c>
      <c r="M257" t="s">
        <v>412</v>
      </c>
      <c r="N257" t="s">
        <v>454</v>
      </c>
    </row>
    <row r="258" spans="1:23">
      <c r="A258">
        <v>6</v>
      </c>
      <c r="B258">
        <v>6</v>
      </c>
      <c r="C258">
        <v>2008</v>
      </c>
      <c r="D258" s="3" t="s">
        <f>B258&amp;"/"&amp;A258&amp;"/"&amp;C258</f>
        <v>461</v>
      </c>
      <c r="E258">
        <v>0.3125</v>
      </c>
      <c r="F258" t="s">
        <f>I258&amp;" "&amp;J258&amp;" "&amp;K258&amp;" "&amp;L258&amp;" "&amp;M258&amp;" "&amp;N258</f>
        <v>99</v>
      </c>
      <c r="G258" t="s">
        <f>TEXT(D258,"mmm dd")</f>
        <v>462</v>
      </c>
      <c r="I258" t="s">
        <v>100</v>
      </c>
      <c r="J258" t="s">
        <v>101</v>
      </c>
      <c r="K258" t="s">
        <v>102</v>
      </c>
      <c r="L258" t="s">
        <v>103</v>
      </c>
      <c r="M258" t="s">
        <v>53</v>
      </c>
      <c r="N258" t="s">
        <v>104</v>
      </c>
    </row>
    <row r="259" spans="1:23">
      <c r="A259">
        <v>6</v>
      </c>
      <c r="B259">
        <v>6</v>
      </c>
      <c r="C259">
        <v>2008</v>
      </c>
      <c r="D259" s="3" t="s">
        <f>B259&amp;"/"&amp;A259&amp;"/"&amp;C259</f>
        <v>461</v>
      </c>
      <c r="E259">
        <v>0.3125</v>
      </c>
      <c r="F259" t="s">
        <f>I259&amp;" "&amp;J259&amp;" "&amp;K259&amp;" "&amp;L259&amp;" "&amp;M259&amp;" "&amp;N259</f>
        <v>99</v>
      </c>
      <c r="G259" t="s">
        <f>TEXT(D259,"mmm dd")</f>
        <v>462</v>
      </c>
      <c r="I259" t="s">
        <v>100</v>
      </c>
      <c r="J259" t="s">
        <v>101</v>
      </c>
      <c r="K259" t="s">
        <v>102</v>
      </c>
      <c r="L259" t="s">
        <v>103</v>
      </c>
      <c r="M259" t="s">
        <v>53</v>
      </c>
      <c r="N259" t="s">
        <v>104</v>
      </c>
    </row>
    <row r="260" spans="1:23">
      <c r="A260">
        <v>7</v>
      </c>
      <c r="B260">
        <v>6</v>
      </c>
      <c r="C260">
        <v>2008</v>
      </c>
      <c r="D260" s="3" t="s">
        <f>B260&amp;"/"&amp;A260&amp;"/"&amp;C260</f>
        <v>463</v>
      </c>
      <c r="E260">
        <v>0.3125</v>
      </c>
      <c r="F260" t="s">
        <f>I260&amp;" "&amp;J260&amp;" "&amp;K260&amp;" "&amp;L260&amp;" "&amp;M260&amp;" "&amp;N260</f>
        <v>107</v>
      </c>
      <c r="G260" t="s">
        <f>TEXT(D260,"mmm dd")</f>
        <v>464</v>
      </c>
      <c r="I260" t="s">
        <v>109</v>
      </c>
      <c r="J260" t="s">
        <v>110</v>
      </c>
    </row>
    <row r="261" spans="1:23">
      <c r="A261">
        <v>7</v>
      </c>
      <c r="B261">
        <v>6</v>
      </c>
      <c r="C261">
        <v>2008</v>
      </c>
      <c r="D261" s="3" t="s">
        <f>B261&amp;"/"&amp;A261&amp;"/"&amp;C261</f>
        <v>463</v>
      </c>
      <c r="E261">
        <v>0.3125</v>
      </c>
      <c r="F261" t="s">
        <f>I261&amp;" "&amp;J261&amp;" "&amp;K261&amp;" "&amp;L261&amp;" "&amp;M261&amp;" "&amp;N261</f>
        <v>107</v>
      </c>
      <c r="G261" t="s">
        <f>TEXT(D261,"mmm dd")</f>
        <v>464</v>
      </c>
      <c r="I261" t="s">
        <v>109</v>
      </c>
      <c r="J261" t="s">
        <v>110</v>
      </c>
    </row>
    <row r="262" spans="1:23">
      <c r="A262">
        <v>9</v>
      </c>
      <c r="B262">
        <v>6</v>
      </c>
      <c r="C262">
        <v>2008</v>
      </c>
      <c r="D262" s="3" t="s">
        <f>B262&amp;"/"&amp;A262&amp;"/"&amp;C262</f>
        <v>465</v>
      </c>
      <c r="E262" t="s">
        <v>42</v>
      </c>
      <c r="F262" t="s">
        <f>I262&amp;" "&amp;J262&amp;" "&amp;K262&amp;" "&amp;L262&amp;" "&amp;M262&amp;" "&amp;N262</f>
        <v>466</v>
      </c>
      <c r="G262" t="s">
        <f>TEXT(D262,"mmm dd")</f>
        <v>467</v>
      </c>
      <c r="I262" t="s">
        <v>468</v>
      </c>
      <c r="J262" t="s">
        <v>351</v>
      </c>
      <c r="K262" t="s">
        <v>86</v>
      </c>
      <c r="L262" t="s">
        <v>469</v>
      </c>
      <c r="M262">
        <v>597</v>
      </c>
    </row>
    <row r="263" spans="1:23">
      <c r="A263">
        <v>9</v>
      </c>
      <c r="B263">
        <v>6</v>
      </c>
      <c r="C263">
        <v>2008</v>
      </c>
      <c r="D263" s="3" t="s">
        <f>B263&amp;"/"&amp;A263&amp;"/"&amp;C263</f>
        <v>465</v>
      </c>
      <c r="E263">
        <v>1.0694444444444444</v>
      </c>
      <c r="F263" t="s">
        <f>I263&amp;" "&amp;J263&amp;" "&amp;K263&amp;" "&amp;L263&amp;" "&amp;M263&amp;" "&amp;N263</f>
        <v>470</v>
      </c>
      <c r="G263" t="s">
        <f>TEXT(D263,"mmm dd")</f>
        <v>467</v>
      </c>
      <c r="I263" t="s">
        <v>471</v>
      </c>
      <c r="J263" t="s">
        <v>472</v>
      </c>
      <c r="K263" t="s">
        <v>473</v>
      </c>
      <c r="L263">
        <v>217</v>
      </c>
    </row>
    <row r="264" spans="1:23">
      <c r="A264">
        <v>9</v>
      </c>
      <c r="B264">
        <v>6</v>
      </c>
      <c r="C264">
        <v>2008</v>
      </c>
      <c r="D264" s="3" t="s">
        <f>B264&amp;"/"&amp;A264&amp;"/"&amp;C264</f>
        <v>465</v>
      </c>
      <c r="E264">
        <v>1.0694444444444444</v>
      </c>
      <c r="F264" t="s">
        <f>I264&amp;" "&amp;J264&amp;" "&amp;K264&amp;" "&amp;L264&amp;" "&amp;M264&amp;" "&amp;N264</f>
        <v>470</v>
      </c>
      <c r="G264" t="s">
        <f>TEXT(D264,"mmm dd")</f>
        <v>467</v>
      </c>
      <c r="I264" t="s">
        <v>471</v>
      </c>
      <c r="J264" t="s">
        <v>472</v>
      </c>
      <c r="K264" t="s">
        <v>473</v>
      </c>
      <c r="L264">
        <v>217</v>
      </c>
    </row>
    <row r="265" spans="1:23">
      <c r="A265">
        <v>9</v>
      </c>
      <c r="B265">
        <v>6</v>
      </c>
      <c r="C265">
        <v>2008</v>
      </c>
      <c r="D265" s="3" t="s">
        <f>B265&amp;"/"&amp;A265&amp;"/"&amp;C265</f>
        <v>465</v>
      </c>
      <c r="E265" t="s">
        <v>42</v>
      </c>
      <c r="F265" t="s">
        <f>I265&amp;" "&amp;J265&amp;" "&amp;K265&amp;" "&amp;L265&amp;" "&amp;M265&amp;" "&amp;N265</f>
        <v>466</v>
      </c>
      <c r="G265" t="s">
        <f>TEXT(D265,"mmm dd")</f>
        <v>467</v>
      </c>
      <c r="I265" t="s">
        <v>468</v>
      </c>
      <c r="J265" t="s">
        <v>351</v>
      </c>
      <c r="K265" t="s">
        <v>86</v>
      </c>
      <c r="L265" t="s">
        <v>469</v>
      </c>
      <c r="M265">
        <v>597</v>
      </c>
    </row>
    <row r="266" spans="1:23">
      <c r="A266">
        <v>10</v>
      </c>
      <c r="B266">
        <v>6</v>
      </c>
      <c r="C266">
        <v>2008</v>
      </c>
      <c r="D266" s="3" t="s">
        <f>B266&amp;"/"&amp;A266&amp;"/"&amp;C266</f>
        <v>474</v>
      </c>
      <c r="E266">
        <v>0.88541666666666663</v>
      </c>
      <c r="F266" t="s">
        <f>I266&amp;" "&amp;J266&amp;" "&amp;K266&amp;" "&amp;L266&amp;" "&amp;M266&amp;" "&amp;N266</f>
        <v>45</v>
      </c>
      <c r="G266" t="s">
        <f>TEXT(D266,"mmm dd")</f>
        <v>475</v>
      </c>
      <c r="I266" t="s">
        <v>46</v>
      </c>
      <c r="J266" t="s">
        <v>47</v>
      </c>
      <c r="K266" t="s">
        <v>48</v>
      </c>
      <c r="L266" t="s">
        <v>49</v>
      </c>
    </row>
    <row r="267" spans="1:23">
      <c r="A267">
        <v>10</v>
      </c>
      <c r="B267">
        <v>6</v>
      </c>
      <c r="C267">
        <v>2008</v>
      </c>
      <c r="D267" s="3" t="s">
        <f>B267&amp;"/"&amp;A267&amp;"/"&amp;C267</f>
        <v>474</v>
      </c>
      <c r="E267" t="s">
        <v>42</v>
      </c>
      <c r="F267" t="s">
        <f>I267&amp;" "&amp;J267&amp;" "&amp;K267&amp;" "&amp;L267&amp;" "&amp;M267&amp;" "&amp;N267</f>
        <v>476</v>
      </c>
      <c r="G267" t="s">
        <f>TEXT(D267,"mmm dd")</f>
        <v>475</v>
      </c>
      <c r="I267" t="s">
        <v>477</v>
      </c>
      <c r="J267" t="s">
        <v>86</v>
      </c>
      <c r="K267" t="s">
        <v>478</v>
      </c>
      <c r="L267" t="s">
        <v>479</v>
      </c>
      <c r="M267" t="s">
        <v>350</v>
      </c>
      <c r="N267">
        <v>373</v>
      </c>
    </row>
    <row r="268" spans="1:23">
      <c r="A268">
        <v>10</v>
      </c>
      <c r="B268">
        <v>6</v>
      </c>
      <c r="C268">
        <v>2008</v>
      </c>
      <c r="D268" s="3" t="s">
        <f>B268&amp;"/"&amp;A268&amp;"/"&amp;C268</f>
        <v>474</v>
      </c>
      <c r="E268">
        <v>1.1041666666666667</v>
      </c>
      <c r="F268" t="s">
        <f>I268&amp;" "&amp;J268&amp;" "&amp;K268&amp;" "&amp;L268&amp;" "&amp;M268&amp;" "&amp;N268</f>
        <v>480</v>
      </c>
      <c r="G268" t="s">
        <f>TEXT(D268,"mmm dd")</f>
        <v>475</v>
      </c>
      <c r="I268" t="s">
        <v>481</v>
      </c>
      <c r="J268" t="s">
        <v>482</v>
      </c>
    </row>
    <row r="269" spans="1:23">
      <c r="A269">
        <v>10</v>
      </c>
      <c r="B269">
        <v>6</v>
      </c>
      <c r="C269">
        <v>2008</v>
      </c>
      <c r="D269" s="3" t="s">
        <f>B269&amp;"/"&amp;A269&amp;"/"&amp;C269</f>
        <v>474</v>
      </c>
      <c r="E269">
        <v>0.1875</v>
      </c>
      <c r="F269" t="s">
        <f>I269&amp;" "&amp;J269&amp;" "&amp;K269&amp;" "&amp;L269&amp;" "&amp;M269&amp;" "&amp;N269</f>
        <v>483</v>
      </c>
      <c r="G269" t="s">
        <f>TEXT(D269,"mmm dd")</f>
        <v>475</v>
      </c>
      <c r="I269" t="s">
        <v>484</v>
      </c>
      <c r="J269" t="s">
        <v>485</v>
      </c>
    </row>
    <row r="270" spans="1:23">
      <c r="A270">
        <v>10</v>
      </c>
      <c r="B270">
        <v>6</v>
      </c>
      <c r="C270">
        <v>2008</v>
      </c>
      <c r="D270" s="3" t="s">
        <f>B270&amp;"/"&amp;A270&amp;"/"&amp;C270</f>
        <v>474</v>
      </c>
      <c r="E270">
        <v>0.1875</v>
      </c>
      <c r="F270" t="s">
        <f>I270&amp;" "&amp;J270&amp;" "&amp;K270&amp;" "&amp;L270&amp;" "&amp;M270&amp;" "&amp;N270</f>
        <v>483</v>
      </c>
      <c r="G270" t="s">
        <f>TEXT(D270,"mmm dd")</f>
        <v>475</v>
      </c>
      <c r="I270" t="s">
        <v>484</v>
      </c>
      <c r="J270" t="s">
        <v>485</v>
      </c>
    </row>
    <row r="271" spans="1:23">
      <c r="A271">
        <v>10</v>
      </c>
      <c r="B271">
        <v>6</v>
      </c>
      <c r="C271">
        <v>2008</v>
      </c>
      <c r="D271" s="3" t="s">
        <f>B271&amp;"/"&amp;A271&amp;"/"&amp;C271</f>
        <v>474</v>
      </c>
      <c r="E271">
        <v>0.88541666666666663</v>
      </c>
      <c r="F271" t="s">
        <f>I271&amp;" "&amp;J271&amp;" "&amp;K271&amp;" "&amp;L271&amp;" "&amp;M271&amp;" "&amp;N271</f>
        <v>45</v>
      </c>
      <c r="G271" t="s">
        <f>TEXT(D271,"mmm dd")</f>
        <v>475</v>
      </c>
      <c r="I271" t="s">
        <v>46</v>
      </c>
      <c r="J271" t="s">
        <v>47</v>
      </c>
      <c r="K271" t="s">
        <v>48</v>
      </c>
      <c r="L271" t="s">
        <v>49</v>
      </c>
    </row>
    <row r="272" spans="1:23">
      <c r="A272">
        <v>10</v>
      </c>
      <c r="B272">
        <v>6</v>
      </c>
      <c r="C272">
        <v>2008</v>
      </c>
      <c r="D272" s="3" t="s">
        <f>B272&amp;"/"&amp;A272&amp;"/"&amp;C272</f>
        <v>474</v>
      </c>
      <c r="E272" t="s">
        <v>42</v>
      </c>
      <c r="F272" t="s">
        <f>I272&amp;" "&amp;J272&amp;" "&amp;K272&amp;" "&amp;L272&amp;" "&amp;M272&amp;" "&amp;N272</f>
        <v>476</v>
      </c>
      <c r="G272" t="s">
        <f>TEXT(D272,"mmm dd")</f>
        <v>475</v>
      </c>
      <c r="I272" t="s">
        <v>477</v>
      </c>
      <c r="J272" t="s">
        <v>86</v>
      </c>
      <c r="K272" t="s">
        <v>478</v>
      </c>
      <c r="L272" t="s">
        <v>479</v>
      </c>
      <c r="M272" t="s">
        <v>350</v>
      </c>
      <c r="N272">
        <v>373</v>
      </c>
    </row>
    <row r="273" spans="1:23">
      <c r="A273">
        <v>10</v>
      </c>
      <c r="B273">
        <v>6</v>
      </c>
      <c r="C273">
        <v>2008</v>
      </c>
      <c r="D273" s="3" t="s">
        <f>B273&amp;"/"&amp;A273&amp;"/"&amp;C273</f>
        <v>474</v>
      </c>
      <c r="E273">
        <v>1.1041666666666667</v>
      </c>
      <c r="F273" t="s">
        <f>I273&amp;" "&amp;J273&amp;" "&amp;K273&amp;" "&amp;L273&amp;" "&amp;M273&amp;" "&amp;N273</f>
        <v>480</v>
      </c>
      <c r="G273" t="s">
        <f>TEXT(D273,"mmm dd")</f>
        <v>475</v>
      </c>
      <c r="I273" t="s">
        <v>481</v>
      </c>
      <c r="J273" t="s">
        <v>482</v>
      </c>
    </row>
    <row r="274" spans="1:23">
      <c r="A274">
        <v>11</v>
      </c>
      <c r="B274">
        <v>6</v>
      </c>
      <c r="C274">
        <v>2008</v>
      </c>
      <c r="D274" s="3" t="s">
        <f>B274&amp;"/"&amp;A274&amp;"/"&amp;C274</f>
        <v>486</v>
      </c>
      <c r="E274">
        <v>1.0416666666666667</v>
      </c>
      <c r="F274" t="s">
        <f>I274&amp;" "&amp;J274&amp;" "&amp;K274&amp;" "&amp;L274&amp;" "&amp;M274&amp;" "&amp;N274</f>
        <v>68</v>
      </c>
      <c r="G274" t="s">
        <f>TEXT(D274,"mmm dd")</f>
        <v>487</v>
      </c>
      <c r="I274" t="s">
        <v>69</v>
      </c>
    </row>
    <row r="275" spans="1:23">
      <c r="A275">
        <v>11</v>
      </c>
      <c r="B275">
        <v>6</v>
      </c>
      <c r="C275">
        <v>2008</v>
      </c>
      <c r="D275" s="3" t="s">
        <f>B275&amp;"/"&amp;A275&amp;"/"&amp;C275</f>
        <v>486</v>
      </c>
      <c r="E275">
        <v>0.9375</v>
      </c>
      <c r="F275" t="s">
        <f>I275&amp;" "&amp;J275&amp;" "&amp;K275&amp;" "&amp;L275&amp;" "&amp;M275&amp;" "&amp;N275</f>
        <v>64</v>
      </c>
      <c r="G275" t="s">
        <f>TEXT(D275,"mmm dd")</f>
        <v>487</v>
      </c>
      <c r="I275" t="s">
        <v>66</v>
      </c>
    </row>
    <row r="276" spans="1:23">
      <c r="A276">
        <v>11</v>
      </c>
      <c r="B276">
        <v>6</v>
      </c>
      <c r="C276">
        <v>2008</v>
      </c>
      <c r="D276" s="3" t="s">
        <f>B276&amp;"/"&amp;A276&amp;"/"&amp;C276</f>
        <v>486</v>
      </c>
      <c r="E276" t="s">
        <v>42</v>
      </c>
      <c r="F276" t="s">
        <f>I276&amp;" "&amp;J276&amp;" "&amp;K276&amp;" "&amp;L276&amp;" "&amp;M276&amp;" "&amp;N276</f>
        <v>488</v>
      </c>
      <c r="G276" t="s">
        <f>TEXT(D276,"mmm dd")</f>
        <v>487</v>
      </c>
      <c r="I276" t="s">
        <v>228</v>
      </c>
      <c r="J276" t="s">
        <v>489</v>
      </c>
      <c r="K276" t="s">
        <v>139</v>
      </c>
      <c r="L276" t="s">
        <v>490</v>
      </c>
      <c r="O276" t="s">
        <v>491</v>
      </c>
    </row>
    <row r="277" spans="1:23">
      <c r="A277">
        <v>11</v>
      </c>
      <c r="B277">
        <v>6</v>
      </c>
      <c r="C277">
        <v>2008</v>
      </c>
      <c r="D277" s="3" t="s">
        <f>B277&amp;"/"&amp;A277&amp;"/"&amp;C277</f>
        <v>486</v>
      </c>
      <c r="E277">
        <v>1</v>
      </c>
      <c r="F277" t="s">
        <f>I277&amp;" "&amp;J277&amp;" "&amp;K277&amp;" "&amp;L277&amp;" "&amp;M277&amp;" "&amp;N277</f>
        <v>71</v>
      </c>
      <c r="G277" t="s">
        <f>TEXT(D277,"mmm dd")</f>
        <v>487</v>
      </c>
      <c r="I277" t="s">
        <v>72</v>
      </c>
      <c r="J277" t="s">
        <v>73</v>
      </c>
      <c r="K277" t="s">
        <v>74</v>
      </c>
    </row>
    <row r="278" spans="1:23">
      <c r="A278">
        <v>11</v>
      </c>
      <c r="B278">
        <v>6</v>
      </c>
      <c r="C278">
        <v>2008</v>
      </c>
      <c r="D278" s="3" t="s">
        <f>B278&amp;"/"&amp;A278&amp;"/"&amp;C278</f>
        <v>486</v>
      </c>
      <c r="E278" t="s">
        <v>42</v>
      </c>
      <c r="F278" t="s">
        <f>I278&amp;" "&amp;J278&amp;" "&amp;K278&amp;" "&amp;L278&amp;" "&amp;M278&amp;" "&amp;N278</f>
        <v>492</v>
      </c>
      <c r="G278" t="s">
        <f>TEXT(D278,"mmm dd")</f>
        <v>487</v>
      </c>
      <c r="I278" t="s">
        <v>493</v>
      </c>
      <c r="J278" t="s">
        <v>494</v>
      </c>
    </row>
    <row r="279" spans="1:23">
      <c r="A279">
        <v>11</v>
      </c>
      <c r="B279">
        <v>6</v>
      </c>
      <c r="C279">
        <v>2008</v>
      </c>
      <c r="D279" s="3" t="s">
        <f>B279&amp;"/"&amp;A279&amp;"/"&amp;C279</f>
        <v>486</v>
      </c>
      <c r="E279">
        <v>1.0625</v>
      </c>
      <c r="F279" t="s">
        <f>I279&amp;" "&amp;J279&amp;" "&amp;K279&amp;" "&amp;L279&amp;" "&amp;M279&amp;" "&amp;N279</f>
        <v>495</v>
      </c>
      <c r="G279" t="s">
        <f>TEXT(D279,"mmm dd")</f>
        <v>487</v>
      </c>
      <c r="I279" t="s">
        <v>496</v>
      </c>
      <c r="J279" t="s">
        <v>497</v>
      </c>
      <c r="K279" t="s">
        <v>48</v>
      </c>
      <c r="L279" t="s">
        <v>498</v>
      </c>
    </row>
    <row r="280" spans="1:23">
      <c r="A280">
        <v>11</v>
      </c>
      <c r="B280">
        <v>6</v>
      </c>
      <c r="C280">
        <v>2008</v>
      </c>
      <c r="D280" s="3" t="s">
        <f>B280&amp;"/"&amp;A280&amp;"/"&amp;C280</f>
        <v>486</v>
      </c>
      <c r="E280">
        <v>1</v>
      </c>
      <c r="F280" t="s">
        <f>I280&amp;" "&amp;J280&amp;" "&amp;K280&amp;" "&amp;L280&amp;" "&amp;M280&amp;" "&amp;N280</f>
        <v>71</v>
      </c>
      <c r="G280" t="s">
        <f>TEXT(D280,"mmm dd")</f>
        <v>487</v>
      </c>
      <c r="I280" t="s">
        <v>72</v>
      </c>
      <c r="J280" t="s">
        <v>73</v>
      </c>
      <c r="K280" t="s">
        <v>74</v>
      </c>
    </row>
    <row r="281" spans="1:23">
      <c r="A281">
        <v>11</v>
      </c>
      <c r="B281">
        <v>6</v>
      </c>
      <c r="C281">
        <v>2008</v>
      </c>
      <c r="D281" s="3" t="s">
        <f>B281&amp;"/"&amp;A281&amp;"/"&amp;C281</f>
        <v>486</v>
      </c>
      <c r="E281" t="s">
        <v>42</v>
      </c>
      <c r="F281" t="s">
        <f>I281&amp;" "&amp;J281&amp;" "&amp;K281&amp;" "&amp;L281&amp;" "&amp;M281&amp;" "&amp;N281</f>
        <v>492</v>
      </c>
      <c r="G281" t="s">
        <f>TEXT(D281,"mmm dd")</f>
        <v>487</v>
      </c>
      <c r="I281" t="s">
        <v>493</v>
      </c>
      <c r="J281" t="s">
        <v>494</v>
      </c>
    </row>
    <row r="282" spans="1:23">
      <c r="A282">
        <v>11</v>
      </c>
      <c r="B282">
        <v>6</v>
      </c>
      <c r="C282">
        <v>2008</v>
      </c>
      <c r="D282" s="3" t="s">
        <f>B282&amp;"/"&amp;A282&amp;"/"&amp;C282</f>
        <v>486</v>
      </c>
      <c r="E282">
        <v>1.0416666666666667</v>
      </c>
      <c r="F282" t="s">
        <f>I282&amp;" "&amp;J282&amp;" "&amp;K282&amp;" "&amp;L282&amp;" "&amp;M282&amp;" "&amp;N282</f>
        <v>68</v>
      </c>
      <c r="G282" t="s">
        <f>TEXT(D282,"mmm dd")</f>
        <v>487</v>
      </c>
      <c r="I282" t="s">
        <v>69</v>
      </c>
    </row>
    <row r="283" spans="1:23">
      <c r="A283">
        <v>11</v>
      </c>
      <c r="B283">
        <v>6</v>
      </c>
      <c r="C283">
        <v>2008</v>
      </c>
      <c r="D283" s="3" t="s">
        <f>B283&amp;"/"&amp;A283&amp;"/"&amp;C283</f>
        <v>486</v>
      </c>
      <c r="E283">
        <v>0.9375</v>
      </c>
      <c r="F283" t="s">
        <f>I283&amp;" "&amp;J283&amp;" "&amp;K283&amp;" "&amp;L283&amp;" "&amp;M283&amp;" "&amp;N283</f>
        <v>64</v>
      </c>
      <c r="G283" t="s">
        <f>TEXT(D283,"mmm dd")</f>
        <v>487</v>
      </c>
      <c r="I283" t="s">
        <v>66</v>
      </c>
    </row>
    <row r="284" spans="1:23">
      <c r="A284">
        <v>11</v>
      </c>
      <c r="B284">
        <v>6</v>
      </c>
      <c r="C284">
        <v>2008</v>
      </c>
      <c r="D284" s="3" t="s">
        <f>B284&amp;"/"&amp;A284&amp;"/"&amp;C284</f>
        <v>486</v>
      </c>
      <c r="E284" t="s">
        <v>42</v>
      </c>
      <c r="F284" t="s">
        <f>I284&amp;" "&amp;J284&amp;" "&amp;K284&amp;" "&amp;L284&amp;" "&amp;M284&amp;" "&amp;N284</f>
        <v>488</v>
      </c>
      <c r="G284" t="s">
        <f>TEXT(D284,"mmm dd")</f>
        <v>487</v>
      </c>
      <c r="I284" t="s">
        <v>228</v>
      </c>
      <c r="J284" t="s">
        <v>489</v>
      </c>
      <c r="K284" t="s">
        <v>139</v>
      </c>
      <c r="L284" t="s">
        <v>490</v>
      </c>
    </row>
    <row r="285" spans="1:23">
      <c r="A285">
        <v>11</v>
      </c>
      <c r="B285">
        <v>6</v>
      </c>
      <c r="C285">
        <v>2008</v>
      </c>
      <c r="D285" s="3" t="s">
        <f>B285&amp;"/"&amp;A285&amp;"/"&amp;C285</f>
        <v>486</v>
      </c>
      <c r="E285">
        <v>1.0625</v>
      </c>
      <c r="F285" t="s">
        <f>I285&amp;" "&amp;J285&amp;" "&amp;K285&amp;" "&amp;L285&amp;" "&amp;M285&amp;" "&amp;N285</f>
        <v>495</v>
      </c>
      <c r="G285" t="s">
        <f>TEXT(D285,"mmm dd")</f>
        <v>487</v>
      </c>
      <c r="I285" t="s">
        <v>496</v>
      </c>
      <c r="J285" t="s">
        <v>497</v>
      </c>
      <c r="K285" t="s">
        <v>48</v>
      </c>
      <c r="L285" t="s">
        <v>498</v>
      </c>
    </row>
    <row r="286" spans="1:23">
      <c r="A286">
        <v>12</v>
      </c>
      <c r="B286">
        <v>6</v>
      </c>
      <c r="C286">
        <v>2008</v>
      </c>
      <c r="D286" s="3" t="s">
        <f>B286&amp;"/"&amp;A286&amp;"/"&amp;C286</f>
        <v>499</v>
      </c>
      <c r="E286">
        <v>0.875</v>
      </c>
      <c r="F286" t="s">
        <f>I286&amp;" "&amp;J286&amp;" "&amp;K286&amp;" "&amp;L286&amp;" "&amp;M286&amp;" "&amp;N286</f>
        <v>500</v>
      </c>
      <c r="G286" t="s">
        <f>TEXT(D286,"mmm dd")</f>
        <v>501</v>
      </c>
      <c r="I286" t="s">
        <v>370</v>
      </c>
      <c r="J286" t="s">
        <v>502</v>
      </c>
      <c r="K286" t="s">
        <v>503</v>
      </c>
      <c r="L286" t="s">
        <v>504</v>
      </c>
    </row>
    <row r="287" spans="1:23">
      <c r="A287">
        <v>12</v>
      </c>
      <c r="B287">
        <v>6</v>
      </c>
      <c r="C287">
        <v>2008</v>
      </c>
      <c r="D287" s="3" t="s">
        <f>B287&amp;"/"&amp;A287&amp;"/"&amp;C287</f>
        <v>499</v>
      </c>
      <c r="E287" t="s">
        <v>42</v>
      </c>
      <c r="F287" t="s">
        <f>I287&amp;" "&amp;J287&amp;" "&amp;K287&amp;" "&amp;L287&amp;" "&amp;M287&amp;" "&amp;N287</f>
        <v>505</v>
      </c>
      <c r="G287" t="s">
        <f>TEXT(D287,"mmm dd")</f>
        <v>501</v>
      </c>
      <c r="I287" t="s">
        <v>506</v>
      </c>
      <c r="J287" t="s">
        <v>507</v>
      </c>
      <c r="K287" t="s">
        <v>135</v>
      </c>
      <c r="L287" t="s">
        <v>508</v>
      </c>
      <c r="M287">
        <v>1902</v>
      </c>
    </row>
    <row r="288" spans="1:23">
      <c r="A288">
        <v>12</v>
      </c>
      <c r="B288">
        <v>6</v>
      </c>
      <c r="C288">
        <v>2008</v>
      </c>
      <c r="D288" s="3" t="s">
        <f>B288&amp;"/"&amp;A288&amp;"/"&amp;C288</f>
        <v>499</v>
      </c>
      <c r="E288">
        <v>0.875</v>
      </c>
      <c r="F288" t="s">
        <f>I288&amp;" "&amp;J288&amp;" "&amp;K288&amp;" "&amp;L288&amp;" "&amp;M288&amp;" "&amp;N288</f>
        <v>500</v>
      </c>
      <c r="G288" t="s">
        <f>TEXT(D288,"mmm dd")</f>
        <v>501</v>
      </c>
      <c r="I288" t="s">
        <v>370</v>
      </c>
      <c r="J288" t="s">
        <v>502</v>
      </c>
      <c r="K288" t="s">
        <v>503</v>
      </c>
      <c r="L288" t="s">
        <v>504</v>
      </c>
    </row>
    <row r="289" spans="1:23">
      <c r="A289">
        <v>12</v>
      </c>
      <c r="B289">
        <v>6</v>
      </c>
      <c r="C289">
        <v>2008</v>
      </c>
      <c r="D289" s="3" t="s">
        <f>B289&amp;"/"&amp;A289&amp;"/"&amp;C289</f>
        <v>499</v>
      </c>
      <c r="E289" t="s">
        <v>42</v>
      </c>
      <c r="F289" t="s">
        <f>I289&amp;" "&amp;J289&amp;" "&amp;K289&amp;" "&amp;L289&amp;" "&amp;M289&amp;" "&amp;N289</f>
        <v>505</v>
      </c>
      <c r="G289" t="s">
        <f>TEXT(D289,"mmm dd")</f>
        <v>501</v>
      </c>
      <c r="I289" t="s">
        <v>506</v>
      </c>
      <c r="J289" t="s">
        <v>507</v>
      </c>
      <c r="K289" t="s">
        <v>135</v>
      </c>
      <c r="L289" t="s">
        <v>508</v>
      </c>
      <c r="M289">
        <v>1902</v>
      </c>
    </row>
    <row r="290" spans="1:23">
      <c r="A290">
        <v>13</v>
      </c>
      <c r="B290">
        <v>6</v>
      </c>
      <c r="C290">
        <v>2008</v>
      </c>
      <c r="D290" s="3" t="s">
        <f>B290&amp;"/"&amp;A290&amp;"/"&amp;C290</f>
        <v>509</v>
      </c>
      <c r="E290" t="s">
        <v>42</v>
      </c>
      <c r="F290" t="s">
        <f>I290&amp;" "&amp;J290&amp;" "&amp;K290&amp;" "&amp;L290&amp;" "&amp;M290&amp;" "&amp;N290</f>
        <v>510</v>
      </c>
      <c r="G290" t="s">
        <f>TEXT(D290,"mmm dd")</f>
        <v>511</v>
      </c>
      <c r="I290" t="s">
        <v>512</v>
      </c>
      <c r="J290" t="s">
        <v>139</v>
      </c>
      <c r="K290" t="s">
        <v>513</v>
      </c>
      <c r="L290" t="s">
        <v>514</v>
      </c>
      <c r="M290" t="s">
        <v>515</v>
      </c>
    </row>
    <row r="291" spans="1:23">
      <c r="A291">
        <v>13</v>
      </c>
      <c r="B291">
        <v>6</v>
      </c>
      <c r="C291">
        <v>2008</v>
      </c>
      <c r="D291" s="3" t="s">
        <f>B291&amp;"/"&amp;A291&amp;"/"&amp;C291</f>
        <v>509</v>
      </c>
      <c r="E291" t="s">
        <v>42</v>
      </c>
      <c r="F291" t="s">
        <f>I291&amp;" "&amp;J291&amp;" "&amp;K291&amp;" "&amp;L291&amp;" "&amp;M291&amp;" "&amp;N291</f>
        <v>516</v>
      </c>
      <c r="G291" t="s">
        <f>TEXT(D291,"mmm dd")</f>
        <v>511</v>
      </c>
      <c r="I291" t="s">
        <v>313</v>
      </c>
      <c r="J291" t="s">
        <v>135</v>
      </c>
      <c r="K291" t="s">
        <v>517</v>
      </c>
    </row>
    <row r="292" spans="1:23">
      <c r="A292">
        <v>13</v>
      </c>
      <c r="B292">
        <v>6</v>
      </c>
      <c r="C292">
        <v>2008</v>
      </c>
      <c r="D292" s="3" t="s">
        <f>B292&amp;"/"&amp;A292&amp;"/"&amp;C292</f>
        <v>509</v>
      </c>
      <c r="E292" t="s">
        <v>42</v>
      </c>
      <c r="F292" t="s">
        <f>I292&amp;" "&amp;J292&amp;" "&amp;K292&amp;" "&amp;L292&amp;" "&amp;M292&amp;" "&amp;N292</f>
        <v>518</v>
      </c>
      <c r="G292" t="s">
        <f>TEXT(D292,"mmm dd")</f>
        <v>511</v>
      </c>
      <c r="I292" t="s">
        <v>519</v>
      </c>
      <c r="J292" t="s">
        <v>449</v>
      </c>
      <c r="K292" t="s">
        <v>472</v>
      </c>
    </row>
    <row r="293" spans="1:23">
      <c r="A293">
        <v>13</v>
      </c>
      <c r="B293">
        <v>6</v>
      </c>
      <c r="C293">
        <v>2008</v>
      </c>
      <c r="D293" s="3" t="s">
        <f>B293&amp;"/"&amp;A293&amp;"/"&amp;C293</f>
        <v>509</v>
      </c>
      <c r="E293">
        <v>0.49305555555555558</v>
      </c>
      <c r="F293" t="s">
        <f>I293&amp;" "&amp;J293&amp;" "&amp;K293&amp;" "&amp;L293&amp;" "&amp;M293&amp;" "&amp;N293</f>
        <v>520</v>
      </c>
      <c r="G293" t="s">
        <f>TEXT(D293,"mmm dd")</f>
        <v>511</v>
      </c>
      <c r="I293" t="s">
        <v>471</v>
      </c>
      <c r="J293" t="s">
        <v>485</v>
      </c>
      <c r="K293" t="s">
        <v>473</v>
      </c>
      <c r="L293">
        <v>218</v>
      </c>
    </row>
    <row r="294" spans="1:23">
      <c r="A294">
        <v>13</v>
      </c>
      <c r="B294">
        <v>6</v>
      </c>
      <c r="C294">
        <v>2008</v>
      </c>
      <c r="D294" s="3" t="s">
        <f>B294&amp;"/"&amp;A294&amp;"/"&amp;C294</f>
        <v>509</v>
      </c>
      <c r="E294">
        <v>0.84375</v>
      </c>
      <c r="F294" t="s">
        <f>I294&amp;" "&amp;J294&amp;" "&amp;K294&amp;" "&amp;L294&amp;" "&amp;M294&amp;" "&amp;N294</f>
        <v>521</v>
      </c>
      <c r="G294" t="s">
        <f>TEXT(D294,"mmm dd")</f>
        <v>511</v>
      </c>
      <c r="I294" t="s">
        <v>484</v>
      </c>
      <c r="J294" t="s">
        <v>472</v>
      </c>
    </row>
    <row r="295" spans="1:23">
      <c r="A295">
        <v>13</v>
      </c>
      <c r="B295">
        <v>6</v>
      </c>
      <c r="C295">
        <v>2008</v>
      </c>
      <c r="D295" s="3" t="s">
        <f>B295&amp;"/"&amp;A295&amp;"/"&amp;C295</f>
        <v>509</v>
      </c>
      <c r="E295" t="s">
        <v>42</v>
      </c>
      <c r="F295" t="s">
        <f>I295&amp;" "&amp;J295&amp;" "&amp;K295&amp;" "&amp;L295&amp;" "&amp;M295&amp;" "&amp;N295</f>
        <v>518</v>
      </c>
      <c r="G295" t="s">
        <f>TEXT(D295,"mmm dd")</f>
        <v>511</v>
      </c>
      <c r="I295" t="s">
        <v>519</v>
      </c>
      <c r="J295" t="s">
        <v>449</v>
      </c>
      <c r="K295" t="s">
        <v>472</v>
      </c>
    </row>
    <row r="296" spans="1:23">
      <c r="A296">
        <v>13</v>
      </c>
      <c r="B296">
        <v>6</v>
      </c>
      <c r="C296">
        <v>2008</v>
      </c>
      <c r="D296" s="3" t="s">
        <f>B296&amp;"/"&amp;A296&amp;"/"&amp;C296</f>
        <v>509</v>
      </c>
      <c r="E296">
        <v>0.49305555555555558</v>
      </c>
      <c r="F296" t="s">
        <f>I296&amp;" "&amp;J296&amp;" "&amp;K296&amp;" "&amp;L296&amp;" "&amp;M296&amp;" "&amp;N296</f>
        <v>520</v>
      </c>
      <c r="G296" t="s">
        <f>TEXT(D296,"mmm dd")</f>
        <v>511</v>
      </c>
      <c r="I296" t="s">
        <v>471</v>
      </c>
      <c r="J296" t="s">
        <v>485</v>
      </c>
      <c r="K296" t="s">
        <v>473</v>
      </c>
      <c r="L296">
        <v>218</v>
      </c>
    </row>
    <row r="297" spans="1:23">
      <c r="A297">
        <v>13</v>
      </c>
      <c r="B297">
        <v>6</v>
      </c>
      <c r="C297">
        <v>2008</v>
      </c>
      <c r="D297" s="3" t="s">
        <f>B297&amp;"/"&amp;A297&amp;"/"&amp;C297</f>
        <v>509</v>
      </c>
      <c r="E297" t="s">
        <v>42</v>
      </c>
      <c r="F297" t="s">
        <f>I297&amp;" "&amp;J297&amp;" "&amp;K297&amp;" "&amp;L297&amp;" "&amp;M297&amp;" "&amp;N297</f>
        <v>516</v>
      </c>
      <c r="G297" t="s">
        <f>TEXT(D297,"mmm dd")</f>
        <v>511</v>
      </c>
      <c r="I297" t="s">
        <v>313</v>
      </c>
      <c r="J297" t="s">
        <v>135</v>
      </c>
      <c r="K297" t="s">
        <v>517</v>
      </c>
    </row>
    <row r="298" spans="1:23">
      <c r="A298">
        <v>13</v>
      </c>
      <c r="B298">
        <v>6</v>
      </c>
      <c r="C298">
        <v>2008</v>
      </c>
      <c r="D298" s="3" t="s">
        <f>B298&amp;"/"&amp;A298&amp;"/"&amp;C298</f>
        <v>509</v>
      </c>
      <c r="E298" t="s">
        <v>42</v>
      </c>
      <c r="F298" t="s">
        <f>I298&amp;" "&amp;J298&amp;" "&amp;K298&amp;" "&amp;L298&amp;" "&amp;M298&amp;" "&amp;N298</f>
        <v>510</v>
      </c>
      <c r="G298" t="s">
        <f>TEXT(D298,"mmm dd")</f>
        <v>511</v>
      </c>
      <c r="I298" t="s">
        <v>512</v>
      </c>
      <c r="J298" t="s">
        <v>139</v>
      </c>
      <c r="K298" t="s">
        <v>513</v>
      </c>
      <c r="L298" t="s">
        <v>514</v>
      </c>
      <c r="M298" t="s">
        <v>515</v>
      </c>
    </row>
    <row r="299" spans="1:23">
      <c r="A299">
        <v>13</v>
      </c>
      <c r="B299">
        <v>6</v>
      </c>
      <c r="C299">
        <v>2008</v>
      </c>
      <c r="D299" s="3" t="s">
        <f>B299&amp;"/"&amp;A299&amp;"/"&amp;C299</f>
        <v>509</v>
      </c>
      <c r="E299">
        <v>0.84375</v>
      </c>
      <c r="F299" t="s">
        <f>I299&amp;" "&amp;J299&amp;" "&amp;K299&amp;" "&amp;L299&amp;" "&amp;M299&amp;" "&amp;N299</f>
        <v>521</v>
      </c>
      <c r="G299" t="s">
        <f>TEXT(D299,"mmm dd")</f>
        <v>511</v>
      </c>
      <c r="I299" t="s">
        <v>484</v>
      </c>
      <c r="J299" t="s">
        <v>472</v>
      </c>
    </row>
    <row r="300" spans="1:23">
      <c r="A300">
        <v>14</v>
      </c>
      <c r="B300">
        <v>6</v>
      </c>
      <c r="C300">
        <v>2008</v>
      </c>
      <c r="D300" s="3" t="s">
        <f>B300&amp;"/"&amp;A300&amp;"/"&amp;C300</f>
        <v>522</v>
      </c>
      <c r="E300" t="s">
        <v>42</v>
      </c>
      <c r="F300" t="s">
        <f>I300&amp;" "&amp;J300&amp;" "&amp;K300&amp;" "&amp;L300&amp;" "&amp;M300&amp;" "&amp;N300</f>
        <v>523</v>
      </c>
      <c r="G300" t="s">
        <f>TEXT(D300,"mmm dd")</f>
        <v>524</v>
      </c>
      <c r="I300" t="s">
        <v>525</v>
      </c>
      <c r="J300" t="s">
        <v>526</v>
      </c>
    </row>
    <row r="301" spans="1:23">
      <c r="A301">
        <v>14</v>
      </c>
      <c r="B301">
        <v>6</v>
      </c>
      <c r="C301">
        <v>2008</v>
      </c>
      <c r="D301" s="3" t="s">
        <f>B301&amp;"/"&amp;A301&amp;"/"&amp;C301</f>
        <v>522</v>
      </c>
      <c r="E301">
        <v>0.3125</v>
      </c>
      <c r="F301" t="s">
        <f>I301&amp;" "&amp;J301&amp;" "&amp;K301&amp;" "&amp;L301&amp;" "&amp;M301&amp;" "&amp;N301</f>
        <v>107</v>
      </c>
      <c r="G301" t="s">
        <f>TEXT(D301,"mmm dd")</f>
        <v>524</v>
      </c>
      <c r="I301" t="s">
        <v>109</v>
      </c>
      <c r="J301" t="s">
        <v>110</v>
      </c>
    </row>
    <row r="302" spans="1:23">
      <c r="A302">
        <v>14</v>
      </c>
      <c r="B302">
        <v>6</v>
      </c>
      <c r="C302">
        <v>2008</v>
      </c>
      <c r="D302" s="3" t="s">
        <f>B302&amp;"/"&amp;A302&amp;"/"&amp;C302</f>
        <v>522</v>
      </c>
      <c r="E302" t="s">
        <v>42</v>
      </c>
      <c r="F302" t="s">
        <f>I302&amp;" "&amp;J302&amp;" "&amp;K302&amp;" "&amp;L302&amp;" "&amp;M302&amp;" "&amp;N302</f>
        <v>527</v>
      </c>
      <c r="G302" t="s">
        <f>TEXT(D302,"mmm dd")</f>
        <v>524</v>
      </c>
      <c r="I302" t="s">
        <v>528</v>
      </c>
      <c r="J302" t="s">
        <v>139</v>
      </c>
      <c r="K302" t="s">
        <v>529</v>
      </c>
      <c r="L302" t="s">
        <v>85</v>
      </c>
      <c r="M302" t="s">
        <v>86</v>
      </c>
      <c r="N302" t="s">
        <v>530</v>
      </c>
    </row>
    <row r="303" spans="1:23">
      <c r="A303">
        <v>14</v>
      </c>
      <c r="B303">
        <v>6</v>
      </c>
      <c r="C303">
        <v>2008</v>
      </c>
      <c r="D303" s="3" t="s">
        <f>B303&amp;"/"&amp;A303&amp;"/"&amp;C303</f>
        <v>522</v>
      </c>
      <c r="E303" t="s">
        <v>42</v>
      </c>
      <c r="F303" t="s">
        <f>I303&amp;" "&amp;J303&amp;" "&amp;K303&amp;" "&amp;L303&amp;" "&amp;M303&amp;" "&amp;N303</f>
        <v>523</v>
      </c>
      <c r="G303" t="s">
        <f>TEXT(D303,"mmm dd")</f>
        <v>524</v>
      </c>
      <c r="I303" t="s">
        <v>525</v>
      </c>
      <c r="J303" t="s">
        <v>526</v>
      </c>
    </row>
    <row r="304" spans="1:23">
      <c r="A304">
        <v>14</v>
      </c>
      <c r="B304">
        <v>6</v>
      </c>
      <c r="C304">
        <v>2008</v>
      </c>
      <c r="D304" s="3" t="s">
        <f>B304&amp;"/"&amp;A304&amp;"/"&amp;C304</f>
        <v>522</v>
      </c>
      <c r="E304">
        <v>0.3125</v>
      </c>
      <c r="F304" t="s">
        <f>I304&amp;" "&amp;J304&amp;" "&amp;K304&amp;" "&amp;L304&amp;" "&amp;M304&amp;" "&amp;N304</f>
        <v>107</v>
      </c>
      <c r="G304" t="s">
        <f>TEXT(D304,"mmm dd")</f>
        <v>524</v>
      </c>
      <c r="I304" t="s">
        <v>109</v>
      </c>
      <c r="J304" t="s">
        <v>110</v>
      </c>
    </row>
    <row r="305" spans="1:23">
      <c r="A305">
        <v>14</v>
      </c>
      <c r="B305">
        <v>6</v>
      </c>
      <c r="C305">
        <v>2008</v>
      </c>
      <c r="D305" s="3" t="s">
        <f>B305&amp;"/"&amp;A305&amp;"/"&amp;C305</f>
        <v>522</v>
      </c>
      <c r="E305" t="s">
        <v>42</v>
      </c>
      <c r="F305" t="s">
        <f>I305&amp;" "&amp;J305&amp;" "&amp;K305&amp;" "&amp;L305&amp;" "&amp;M305&amp;" "&amp;N305</f>
        <v>527</v>
      </c>
      <c r="G305" t="s">
        <f>TEXT(D305,"mmm dd")</f>
        <v>524</v>
      </c>
      <c r="I305" t="s">
        <v>528</v>
      </c>
      <c r="J305" t="s">
        <v>139</v>
      </c>
      <c r="K305" t="s">
        <v>529</v>
      </c>
      <c r="L305" t="s">
        <v>85</v>
      </c>
      <c r="M305" t="s">
        <v>86</v>
      </c>
      <c r="N305" t="s">
        <v>530</v>
      </c>
    </row>
    <row r="306" spans="1:23">
      <c r="A306">
        <v>15</v>
      </c>
      <c r="B306">
        <v>6</v>
      </c>
      <c r="C306">
        <v>2008</v>
      </c>
      <c r="D306" s="3" t="s">
        <f>B306&amp;"/"&amp;A306&amp;"/"&amp;C306</f>
        <v>531</v>
      </c>
      <c r="E306" t="s">
        <v>42</v>
      </c>
      <c r="F306" t="s">
        <f>I306&amp;" "&amp;J306&amp;" "&amp;K306&amp;" "&amp;L306&amp;" "&amp;M306&amp;" "&amp;N306</f>
        <v>532</v>
      </c>
      <c r="G306" t="s">
        <f>TEXT(D306,"mmm dd")</f>
        <v>533</v>
      </c>
      <c r="I306" t="s">
        <v>534</v>
      </c>
      <c r="J306" t="s">
        <v>10</v>
      </c>
    </row>
    <row r="307" spans="1:23">
      <c r="A307">
        <v>15</v>
      </c>
      <c r="B307">
        <v>6</v>
      </c>
      <c r="C307">
        <v>2008</v>
      </c>
      <c r="D307" s="3" t="s">
        <f>B307&amp;"/"&amp;A307&amp;"/"&amp;C307</f>
        <v>531</v>
      </c>
      <c r="E307">
        <v>0.95833333333333337</v>
      </c>
      <c r="F307" t="s">
        <f>I307&amp;" "&amp;J307&amp;" "&amp;K307&amp;" "&amp;L307&amp;" "&amp;M307&amp;" "&amp;N307</f>
        <v>535</v>
      </c>
      <c r="G307" t="s">
        <f>TEXT(D307,"mmm dd")</f>
        <v>533</v>
      </c>
      <c r="I307" t="s">
        <v>536</v>
      </c>
      <c r="J307" t="s">
        <v>53</v>
      </c>
      <c r="K307" t="s">
        <v>537</v>
      </c>
    </row>
    <row r="308" spans="1:23">
      <c r="A308">
        <v>15</v>
      </c>
      <c r="B308">
        <v>6</v>
      </c>
      <c r="C308">
        <v>2008</v>
      </c>
      <c r="D308" s="3" t="s">
        <f>B308&amp;"/"&amp;A308&amp;"/"&amp;C308</f>
        <v>531</v>
      </c>
      <c r="E308" t="s">
        <v>42</v>
      </c>
      <c r="F308" t="s">
        <f>I308&amp;" "&amp;J308&amp;" "&amp;K308&amp;" "&amp;L308&amp;" "&amp;M308&amp;" "&amp;N308</f>
        <v>538</v>
      </c>
      <c r="G308" t="s">
        <f>TEXT(D308,"mmm dd")</f>
        <v>533</v>
      </c>
      <c r="I308" t="s">
        <v>539</v>
      </c>
      <c r="J308" t="s">
        <v>540</v>
      </c>
      <c r="K308">
        <v>1941</v>
      </c>
    </row>
    <row r="309" spans="1:23">
      <c r="A309">
        <v>15</v>
      </c>
      <c r="B309">
        <v>6</v>
      </c>
      <c r="C309">
        <v>2008</v>
      </c>
      <c r="D309" s="3" t="s">
        <f>B309&amp;"/"&amp;A309&amp;"/"&amp;C309</f>
        <v>531</v>
      </c>
      <c r="E309" t="s">
        <v>42</v>
      </c>
      <c r="F309" t="s">
        <f>I309&amp;" "&amp;J309&amp;" "&amp;K309&amp;" "&amp;L309&amp;" "&amp;M309&amp;" "&amp;N309</f>
        <v>538</v>
      </c>
      <c r="G309" t="s">
        <f>TEXT(D309,"mmm dd")</f>
        <v>533</v>
      </c>
      <c r="I309" t="s">
        <v>539</v>
      </c>
      <c r="J309" t="s">
        <v>540</v>
      </c>
      <c r="K309">
        <v>1941</v>
      </c>
    </row>
    <row r="310" spans="1:23">
      <c r="A310">
        <v>15</v>
      </c>
      <c r="B310">
        <v>6</v>
      </c>
      <c r="C310">
        <v>2008</v>
      </c>
      <c r="D310" s="3" t="s">
        <f>B310&amp;"/"&amp;A310&amp;"/"&amp;C310</f>
        <v>531</v>
      </c>
      <c r="E310">
        <v>0.95833333333333337</v>
      </c>
      <c r="F310" t="s">
        <f>I310&amp;" "&amp;J310&amp;" "&amp;K310&amp;" "&amp;L310&amp;" "&amp;M310&amp;" "&amp;N310</f>
        <v>535</v>
      </c>
      <c r="G310" t="s">
        <f>TEXT(D310,"mmm dd")</f>
        <v>533</v>
      </c>
      <c r="I310" t="s">
        <v>536</v>
      </c>
      <c r="J310" t="s">
        <v>53</v>
      </c>
      <c r="K310" t="s">
        <v>537</v>
      </c>
    </row>
    <row r="311" spans="1:23">
      <c r="A311">
        <v>15</v>
      </c>
      <c r="B311">
        <v>6</v>
      </c>
      <c r="C311">
        <v>2008</v>
      </c>
      <c r="D311" s="3" t="s">
        <f>B311&amp;"/"&amp;A311&amp;"/"&amp;C311</f>
        <v>531</v>
      </c>
      <c r="E311" t="s">
        <v>42</v>
      </c>
      <c r="F311" t="s">
        <f>I311&amp;" "&amp;J311&amp;" "&amp;K311&amp;" "&amp;L311&amp;" "&amp;M311&amp;" "&amp;N311</f>
        <v>532</v>
      </c>
      <c r="G311" t="s">
        <f>TEXT(D311,"mmm dd")</f>
        <v>533</v>
      </c>
      <c r="I311" t="s">
        <v>534</v>
      </c>
      <c r="J311" t="s">
        <v>10</v>
      </c>
    </row>
    <row r="312" spans="1:23">
      <c r="A312">
        <v>16</v>
      </c>
      <c r="B312">
        <v>6</v>
      </c>
      <c r="C312">
        <v>2008</v>
      </c>
      <c r="D312" s="3" t="s">
        <f>B312&amp;"/"&amp;A312&amp;"/"&amp;C312</f>
        <v>541</v>
      </c>
      <c r="E312" t="s">
        <v>42</v>
      </c>
      <c r="F312" t="s">
        <f>I312&amp;" "&amp;J312&amp;" "&amp;K312&amp;" "&amp;L312&amp;" "&amp;M312&amp;" "&amp;N312</f>
        <v>542</v>
      </c>
      <c r="G312" t="s">
        <f>TEXT(D312,"mmm dd")</f>
        <v>543</v>
      </c>
      <c r="I312" t="s">
        <v>544</v>
      </c>
      <c r="J312" t="s">
        <v>545</v>
      </c>
      <c r="K312" t="s">
        <v>85</v>
      </c>
      <c r="L312" t="s">
        <v>86</v>
      </c>
      <c r="M312" t="s">
        <v>546</v>
      </c>
      <c r="N312">
        <v>1752</v>
      </c>
    </row>
    <row r="313" spans="1:23">
      <c r="A313">
        <v>16</v>
      </c>
      <c r="B313">
        <v>6</v>
      </c>
      <c r="C313">
        <v>2008</v>
      </c>
      <c r="D313" s="3" t="s">
        <f>B313&amp;"/"&amp;A313&amp;"/"&amp;C313</f>
        <v>541</v>
      </c>
      <c r="E313">
        <v>0.875</v>
      </c>
      <c r="F313" t="s">
        <f>I313&amp;" "&amp;J313&amp;" "&amp;K313&amp;" "&amp;L313&amp;" "&amp;M313&amp;" "&amp;N313</f>
        <v>547</v>
      </c>
      <c r="G313" t="s">
        <f>TEXT(D313,"mmm dd")</f>
        <v>543</v>
      </c>
      <c r="I313" t="s">
        <v>548</v>
      </c>
      <c r="J313" t="s">
        <v>549</v>
      </c>
    </row>
    <row r="314" spans="1:23">
      <c r="A314">
        <v>16</v>
      </c>
      <c r="B314">
        <v>6</v>
      </c>
      <c r="C314">
        <v>2008</v>
      </c>
      <c r="D314" s="3" t="s">
        <f>B314&amp;"/"&amp;A314&amp;"/"&amp;C314</f>
        <v>541</v>
      </c>
      <c r="E314" t="s">
        <v>42</v>
      </c>
      <c r="F314" t="s">
        <f>I314&amp;" "&amp;J314&amp;" "&amp;K314&amp;" "&amp;L314&amp;" "&amp;M314&amp;" "&amp;N314</f>
        <v>550</v>
      </c>
      <c r="G314" t="s">
        <f>TEXT(D314,"mmm dd")</f>
        <v>543</v>
      </c>
      <c r="I314" t="s">
        <v>551</v>
      </c>
      <c r="J314" t="s">
        <v>552</v>
      </c>
      <c r="K314" t="s">
        <v>553</v>
      </c>
      <c r="L314" t="s">
        <v>554</v>
      </c>
    </row>
    <row r="315" spans="1:23">
      <c r="A315">
        <v>16</v>
      </c>
      <c r="B315">
        <v>6</v>
      </c>
      <c r="C315">
        <v>2008</v>
      </c>
      <c r="D315" s="3" t="s">
        <f>B315&amp;"/"&amp;A315&amp;"/"&amp;C315</f>
        <v>541</v>
      </c>
      <c r="E315" t="s">
        <v>42</v>
      </c>
      <c r="F315" t="s">
        <f>I315&amp;" "&amp;J315&amp;" "&amp;K315&amp;" "&amp;L315&amp;" "&amp;M315&amp;" "&amp;N315</f>
        <v>542</v>
      </c>
      <c r="G315" t="s">
        <f>TEXT(D315,"mmm dd")</f>
        <v>543</v>
      </c>
      <c r="I315" t="s">
        <v>544</v>
      </c>
      <c r="J315" t="s">
        <v>545</v>
      </c>
      <c r="K315" t="s">
        <v>85</v>
      </c>
      <c r="L315" t="s">
        <v>86</v>
      </c>
      <c r="M315" t="s">
        <v>546</v>
      </c>
      <c r="N315">
        <v>1752</v>
      </c>
    </row>
    <row r="316" spans="1:23">
      <c r="A316">
        <v>16</v>
      </c>
      <c r="B316">
        <v>6</v>
      </c>
      <c r="C316">
        <v>2008</v>
      </c>
      <c r="D316" s="3" t="s">
        <f>B316&amp;"/"&amp;A316&amp;"/"&amp;C316</f>
        <v>541</v>
      </c>
      <c r="E316" t="s">
        <v>42</v>
      </c>
      <c r="F316" t="s">
        <f>I316&amp;" "&amp;J316&amp;" "&amp;K316&amp;" "&amp;L316&amp;" "&amp;M316&amp;" "&amp;N316</f>
        <v>550</v>
      </c>
      <c r="G316" t="s">
        <f>TEXT(D316,"mmm dd")</f>
        <v>543</v>
      </c>
      <c r="I316" t="s">
        <v>551</v>
      </c>
      <c r="J316" t="s">
        <v>552</v>
      </c>
      <c r="K316" t="s">
        <v>553</v>
      </c>
      <c r="L316" t="s">
        <v>554</v>
      </c>
    </row>
    <row r="317" spans="1:23">
      <c r="A317">
        <v>16</v>
      </c>
      <c r="B317">
        <v>6</v>
      </c>
      <c r="C317">
        <v>2008</v>
      </c>
      <c r="D317" s="3" t="s">
        <f>B317&amp;"/"&amp;A317&amp;"/"&amp;C317</f>
        <v>541</v>
      </c>
      <c r="E317">
        <v>0.875</v>
      </c>
      <c r="F317" t="s">
        <f>I317&amp;" "&amp;J317&amp;" "&amp;K317&amp;" "&amp;L317&amp;" "&amp;M317&amp;" "&amp;N317</f>
        <v>547</v>
      </c>
      <c r="G317" t="s">
        <f>TEXT(D317,"mmm dd")</f>
        <v>543</v>
      </c>
      <c r="I317" t="s">
        <v>548</v>
      </c>
      <c r="J317" t="s">
        <v>549</v>
      </c>
    </row>
    <row r="318" spans="1:23">
      <c r="A318">
        <v>17</v>
      </c>
      <c r="B318">
        <v>6</v>
      </c>
      <c r="C318">
        <v>2008</v>
      </c>
      <c r="D318" s="3" t="s">
        <f>B318&amp;"/"&amp;A318&amp;"/"&amp;C318</f>
        <v>555</v>
      </c>
      <c r="E318">
        <v>0.88541666666666663</v>
      </c>
      <c r="F318" t="s">
        <f>I318&amp;" "&amp;J318&amp;" "&amp;K318&amp;" "&amp;L318&amp;" "&amp;M318&amp;" "&amp;N318</f>
        <v>45</v>
      </c>
      <c r="G318" t="s">
        <f>TEXT(D318,"mmm dd")</f>
        <v>556</v>
      </c>
      <c r="I318" t="s">
        <v>46</v>
      </c>
      <c r="J318" t="s">
        <v>47</v>
      </c>
      <c r="K318" t="s">
        <v>48</v>
      </c>
      <c r="L318" t="s">
        <v>49</v>
      </c>
    </row>
    <row r="319" spans="1:23">
      <c r="A319">
        <v>17</v>
      </c>
      <c r="B319">
        <v>6</v>
      </c>
      <c r="C319">
        <v>2008</v>
      </c>
      <c r="D319" s="3" t="s">
        <f>B319&amp;"/"&amp;A319&amp;"/"&amp;C319</f>
        <v>555</v>
      </c>
      <c r="E319">
        <v>0.88541666666666663</v>
      </c>
      <c r="F319" t="s">
        <f>I319&amp;" "&amp;J319&amp;" "&amp;K319&amp;" "&amp;L319&amp;" "&amp;M319&amp;" "&amp;N319</f>
        <v>45</v>
      </c>
      <c r="G319" t="s">
        <f>TEXT(D319,"mmm dd")</f>
        <v>556</v>
      </c>
      <c r="I319" t="s">
        <v>46</v>
      </c>
      <c r="J319" t="s">
        <v>47</v>
      </c>
      <c r="K319" t="s">
        <v>48</v>
      </c>
      <c r="L319" t="s">
        <v>49</v>
      </c>
    </row>
    <row r="320" spans="1:23">
      <c r="A320">
        <v>18</v>
      </c>
      <c r="B320">
        <v>6</v>
      </c>
      <c r="C320">
        <v>2008</v>
      </c>
      <c r="D320" s="3" t="s">
        <f>B320&amp;"/"&amp;A320&amp;"/"&amp;C320</f>
        <v>557</v>
      </c>
      <c r="E320">
        <v>0.9375</v>
      </c>
      <c r="F320" t="s">
        <f>I320&amp;" "&amp;J320&amp;" "&amp;K320&amp;" "&amp;L320&amp;" "&amp;M320&amp;" "&amp;N320</f>
        <v>64</v>
      </c>
      <c r="G320" t="s">
        <f>TEXT(D320,"mmm dd")</f>
        <v>558</v>
      </c>
      <c r="I320" t="s">
        <v>66</v>
      </c>
    </row>
    <row r="321" spans="1:23">
      <c r="A321">
        <v>18</v>
      </c>
      <c r="B321">
        <v>6</v>
      </c>
      <c r="C321">
        <v>2008</v>
      </c>
      <c r="D321" s="3" t="s">
        <f>B321&amp;"/"&amp;A321&amp;"/"&amp;C321</f>
        <v>557</v>
      </c>
      <c r="E321">
        <v>1.0416666666666667</v>
      </c>
      <c r="F321" t="s">
        <f>I321&amp;" "&amp;J321&amp;" "&amp;K321&amp;" "&amp;L321&amp;" "&amp;M321&amp;" "&amp;N321</f>
        <v>68</v>
      </c>
      <c r="G321" t="s">
        <f>TEXT(D321,"mmm dd")</f>
        <v>558</v>
      </c>
      <c r="I321" t="s">
        <v>69</v>
      </c>
    </row>
    <row r="322" spans="1:23">
      <c r="A322">
        <v>18</v>
      </c>
      <c r="B322">
        <v>6</v>
      </c>
      <c r="C322">
        <v>2008</v>
      </c>
      <c r="D322" s="3" t="s">
        <f>B322&amp;"/"&amp;A322&amp;"/"&amp;C322</f>
        <v>557</v>
      </c>
      <c r="E322" t="s">
        <v>42</v>
      </c>
      <c r="F322" t="s">
        <f>I322&amp;" "&amp;J322&amp;" "&amp;K322&amp;" "&amp;L322&amp;" "&amp;M322&amp;" "&amp;N322</f>
        <v>559</v>
      </c>
      <c r="G322" t="s">
        <f>TEXT(D322,"mmm dd")</f>
        <v>558</v>
      </c>
      <c r="I322" t="s">
        <v>560</v>
      </c>
      <c r="J322" t="s">
        <v>561</v>
      </c>
      <c r="K322" t="s">
        <v>562</v>
      </c>
      <c r="L322" t="s">
        <v>135</v>
      </c>
      <c r="M322" t="s">
        <v>423</v>
      </c>
      <c r="N322" t="s">
        <v>372</v>
      </c>
    </row>
    <row r="323" spans="1:23">
      <c r="A323">
        <v>18</v>
      </c>
      <c r="B323">
        <v>6</v>
      </c>
      <c r="C323">
        <v>2008</v>
      </c>
      <c r="D323" s="3" t="s">
        <f>B323&amp;"/"&amp;A323&amp;"/"&amp;C323</f>
        <v>557</v>
      </c>
      <c r="E323">
        <v>1</v>
      </c>
      <c r="F323" t="s">
        <f>I323&amp;" "&amp;J323&amp;" "&amp;K323&amp;" "&amp;L323&amp;" "&amp;M323&amp;" "&amp;N323</f>
        <v>71</v>
      </c>
      <c r="G323" t="s">
        <f>TEXT(D323,"mmm dd")</f>
        <v>558</v>
      </c>
      <c r="I323" t="s">
        <v>72</v>
      </c>
      <c r="J323" t="s">
        <v>73</v>
      </c>
      <c r="K323" t="s">
        <v>74</v>
      </c>
      <c r="O323" t="s">
        <v>537</v>
      </c>
    </row>
    <row r="324" spans="1:23">
      <c r="A324">
        <v>18</v>
      </c>
      <c r="B324">
        <v>6</v>
      </c>
      <c r="C324">
        <v>2008</v>
      </c>
      <c r="D324" s="3" t="s">
        <f>B324&amp;"/"&amp;A324&amp;"/"&amp;C324</f>
        <v>557</v>
      </c>
      <c r="E324">
        <v>1</v>
      </c>
      <c r="F324" t="s">
        <f>I324&amp;" "&amp;J324&amp;" "&amp;K324&amp;" "&amp;L324&amp;" "&amp;M324&amp;" "&amp;N324</f>
        <v>71</v>
      </c>
      <c r="G324" t="s">
        <f>TEXT(D324,"mmm dd")</f>
        <v>558</v>
      </c>
      <c r="I324" t="s">
        <v>72</v>
      </c>
      <c r="J324" t="s">
        <v>73</v>
      </c>
      <c r="K324" t="s">
        <v>74</v>
      </c>
    </row>
    <row r="325" spans="1:23">
      <c r="A325">
        <v>18</v>
      </c>
      <c r="B325">
        <v>6</v>
      </c>
      <c r="C325">
        <v>2008</v>
      </c>
      <c r="D325" s="3" t="s">
        <f>B325&amp;"/"&amp;A325&amp;"/"&amp;C325</f>
        <v>557</v>
      </c>
      <c r="E325">
        <v>1.0416666666666667</v>
      </c>
      <c r="F325" t="s">
        <f>I325&amp;" "&amp;J325&amp;" "&amp;K325&amp;" "&amp;L325&amp;" "&amp;M325&amp;" "&amp;N325</f>
        <v>68</v>
      </c>
      <c r="G325" t="s">
        <f>TEXT(D325,"mmm dd")</f>
        <v>558</v>
      </c>
      <c r="I325" t="s">
        <v>69</v>
      </c>
    </row>
    <row r="326" spans="1:23">
      <c r="A326">
        <v>18</v>
      </c>
      <c r="B326">
        <v>6</v>
      </c>
      <c r="C326">
        <v>2008</v>
      </c>
      <c r="D326" s="3" t="s">
        <f>B326&amp;"/"&amp;A326&amp;"/"&amp;C326</f>
        <v>557</v>
      </c>
      <c r="E326">
        <v>0.9375</v>
      </c>
      <c r="F326" t="s">
        <f>I326&amp;" "&amp;J326&amp;" "&amp;K326&amp;" "&amp;L326&amp;" "&amp;M326&amp;" "&amp;N326</f>
        <v>64</v>
      </c>
      <c r="G326" t="s">
        <f>TEXT(D326,"mmm dd")</f>
        <v>558</v>
      </c>
      <c r="I326" t="s">
        <v>66</v>
      </c>
    </row>
    <row r="327" spans="1:23">
      <c r="A327">
        <v>18</v>
      </c>
      <c r="B327">
        <v>6</v>
      </c>
      <c r="C327">
        <v>2008</v>
      </c>
      <c r="D327" s="3" t="s">
        <f>B327&amp;"/"&amp;A327&amp;"/"&amp;C327</f>
        <v>557</v>
      </c>
      <c r="E327" t="s">
        <v>42</v>
      </c>
      <c r="F327" t="s">
        <f>I327&amp;" "&amp;J327&amp;" "&amp;K327&amp;" "&amp;L327&amp;" "&amp;M327&amp;" "&amp;N327</f>
        <v>559</v>
      </c>
      <c r="G327" t="s">
        <f>TEXT(D327,"mmm dd")</f>
        <v>558</v>
      </c>
      <c r="I327" t="s">
        <v>560</v>
      </c>
      <c r="J327" t="s">
        <v>561</v>
      </c>
      <c r="K327" t="s">
        <v>562</v>
      </c>
      <c r="L327" t="s">
        <v>135</v>
      </c>
      <c r="M327" t="s">
        <v>423</v>
      </c>
      <c r="N327" t="s">
        <v>372</v>
      </c>
    </row>
    <row r="328" spans="1:23">
      <c r="A328">
        <v>19</v>
      </c>
      <c r="B328">
        <v>6</v>
      </c>
      <c r="C328">
        <v>2008</v>
      </c>
      <c r="D328" s="3" t="s">
        <f>B328&amp;"/"&amp;A328&amp;"/"&amp;C328</f>
        <v>563</v>
      </c>
      <c r="E328">
        <v>1.0833333333333333</v>
      </c>
      <c r="F328" t="s">
        <f>I328&amp;" "&amp;J328&amp;" "&amp;K328&amp;" "&amp;L328&amp;" "&amp;M328&amp;" "&amp;N328</f>
        <v>186</v>
      </c>
      <c r="G328" t="s">
        <f>TEXT(D328,"mmm dd")</f>
        <v>564</v>
      </c>
      <c r="I328" t="s">
        <v>188</v>
      </c>
      <c r="J328" t="s">
        <v>189</v>
      </c>
      <c r="K328" t="s">
        <v>190</v>
      </c>
    </row>
    <row r="329" spans="1:23">
      <c r="A329">
        <v>19</v>
      </c>
      <c r="B329">
        <v>6</v>
      </c>
      <c r="C329">
        <v>2008</v>
      </c>
      <c r="D329" s="3" t="s">
        <f>B329&amp;"/"&amp;A329&amp;"/"&amp;C329</f>
        <v>563</v>
      </c>
      <c r="E329" t="s">
        <v>42</v>
      </c>
      <c r="F329" t="s">
        <f>I329&amp;" "&amp;J329&amp;" "&amp;K329&amp;" "&amp;L329&amp;" "&amp;M329&amp;" "&amp;N329</f>
        <v>155</v>
      </c>
      <c r="G329" t="s">
        <f>TEXT(D329,"mmm dd")</f>
        <v>564</v>
      </c>
      <c r="I329" t="s">
        <v>156</v>
      </c>
      <c r="J329" t="s">
        <v>157</v>
      </c>
    </row>
    <row r="330" spans="1:23">
      <c r="A330">
        <v>19</v>
      </c>
      <c r="B330">
        <v>6</v>
      </c>
      <c r="C330">
        <v>2008</v>
      </c>
      <c r="D330" s="3" t="s">
        <f>B330&amp;"/"&amp;A330&amp;"/"&amp;C330</f>
        <v>563</v>
      </c>
      <c r="E330">
        <v>1.0833333333333333</v>
      </c>
      <c r="F330" t="s">
        <f>I330&amp;" "&amp;J330&amp;" "&amp;K330&amp;" "&amp;L330&amp;" "&amp;M330&amp;" "&amp;N330</f>
        <v>186</v>
      </c>
      <c r="G330" t="s">
        <f>TEXT(D330,"mmm dd")</f>
        <v>564</v>
      </c>
      <c r="I330" t="s">
        <v>188</v>
      </c>
      <c r="J330" t="s">
        <v>189</v>
      </c>
      <c r="K330" t="s">
        <v>190</v>
      </c>
    </row>
    <row r="331" spans="1:23">
      <c r="A331">
        <v>19</v>
      </c>
      <c r="B331">
        <v>6</v>
      </c>
      <c r="C331">
        <v>2008</v>
      </c>
      <c r="D331" s="3" t="s">
        <f>B331&amp;"/"&amp;A331&amp;"/"&amp;C331</f>
        <v>563</v>
      </c>
      <c r="E331" t="s">
        <v>42</v>
      </c>
      <c r="F331" t="s">
        <f>I331&amp;" "&amp;J331&amp;" "&amp;K331&amp;" "&amp;L331&amp;" "&amp;M331&amp;" "&amp;N331</f>
        <v>155</v>
      </c>
      <c r="G331" t="s">
        <f>TEXT(D331,"mmm dd")</f>
        <v>564</v>
      </c>
      <c r="I331" t="s">
        <v>156</v>
      </c>
      <c r="J331" t="s">
        <v>157</v>
      </c>
    </row>
    <row r="332" spans="1:23">
      <c r="A332">
        <v>20</v>
      </c>
      <c r="B332">
        <v>6</v>
      </c>
      <c r="C332">
        <v>2008</v>
      </c>
      <c r="D332" s="3" t="s">
        <f>B332&amp;"/"&amp;A332&amp;"/"&amp;C332</f>
        <v>565</v>
      </c>
      <c r="E332">
        <v>0.29166666666666669</v>
      </c>
      <c r="F332" t="s">
        <f>I332&amp;" "&amp;J332&amp;" "&amp;K332&amp;" "&amp;L332&amp;" "&amp;M332&amp;" "&amp;N332</f>
        <v>192</v>
      </c>
      <c r="G332" t="s">
        <f>TEXT(D332,"mmm dd")</f>
        <v>566</v>
      </c>
      <c r="I332" t="s">
        <v>194</v>
      </c>
    </row>
    <row r="333" spans="1:23">
      <c r="A333">
        <v>20</v>
      </c>
      <c r="B333">
        <v>6</v>
      </c>
      <c r="C333">
        <v>2008</v>
      </c>
      <c r="D333" s="3" t="s">
        <f>B333&amp;"/"&amp;A333&amp;"/"&amp;C333</f>
        <v>565</v>
      </c>
      <c r="E333">
        <v>0.29166666666666669</v>
      </c>
      <c r="F333" t="s">
        <f>I333&amp;" "&amp;J333&amp;" "&amp;K333&amp;" "&amp;L333&amp;" "&amp;M333&amp;" "&amp;N333</f>
        <v>192</v>
      </c>
      <c r="G333" t="s">
        <f>TEXT(D333,"mmm dd")</f>
        <v>566</v>
      </c>
      <c r="I333" t="s">
        <v>194</v>
      </c>
    </row>
    <row r="334" spans="1:23">
      <c r="A334">
        <v>21</v>
      </c>
      <c r="B334">
        <v>6</v>
      </c>
      <c r="C334">
        <v>2008</v>
      </c>
      <c r="D334" s="3" t="s">
        <f>B334&amp;"/"&amp;A334&amp;"/"&amp;C334</f>
        <v>567</v>
      </c>
      <c r="E334">
        <v>0.3125</v>
      </c>
      <c r="F334" t="s">
        <f>I334&amp;" "&amp;J334&amp;" "&amp;K334&amp;" "&amp;L334&amp;" "&amp;M334&amp;" "&amp;N334</f>
        <v>107</v>
      </c>
      <c r="G334" t="s">
        <f>TEXT(D334,"mmm dd")</f>
        <v>568</v>
      </c>
      <c r="I334" t="s">
        <v>109</v>
      </c>
      <c r="J334" t="s">
        <v>110</v>
      </c>
    </row>
    <row r="335" spans="1:23">
      <c r="A335">
        <v>21</v>
      </c>
      <c r="B335">
        <v>6</v>
      </c>
      <c r="C335">
        <v>2008</v>
      </c>
      <c r="D335" s="3" t="s">
        <f>B335&amp;"/"&amp;A335&amp;"/"&amp;C335</f>
        <v>567</v>
      </c>
      <c r="E335">
        <v>0.91666666666666663</v>
      </c>
      <c r="F335" t="s">
        <f>I335&amp;" "&amp;J335&amp;" "&amp;K335&amp;" "&amp;L335&amp;" "&amp;M335&amp;" "&amp;N335</f>
        <v>569</v>
      </c>
      <c r="G335" t="s">
        <f>TEXT(D335,"mmm dd")</f>
        <v>568</v>
      </c>
      <c r="I335" t="s">
        <v>570</v>
      </c>
      <c r="J335" t="s">
        <v>571</v>
      </c>
    </row>
    <row r="336" spans="1:23">
      <c r="A336">
        <v>21</v>
      </c>
      <c r="B336">
        <v>6</v>
      </c>
      <c r="C336">
        <v>2008</v>
      </c>
      <c r="D336" s="3" t="s">
        <f>B336&amp;"/"&amp;A336&amp;"/"&amp;C336</f>
        <v>567</v>
      </c>
      <c r="E336">
        <v>0.3125</v>
      </c>
      <c r="F336" t="s">
        <f>I336&amp;" "&amp;J336&amp;" "&amp;K336&amp;" "&amp;L336&amp;" "&amp;M336&amp;" "&amp;N336</f>
        <v>107</v>
      </c>
      <c r="G336" t="s">
        <f>TEXT(D336,"mmm dd")</f>
        <v>568</v>
      </c>
      <c r="I336" t="s">
        <v>109</v>
      </c>
      <c r="J336" t="s">
        <v>110</v>
      </c>
    </row>
    <row r="337" spans="1:23">
      <c r="A337">
        <v>21</v>
      </c>
      <c r="B337">
        <v>6</v>
      </c>
      <c r="C337">
        <v>2008</v>
      </c>
      <c r="D337" s="3" t="s">
        <f>B337&amp;"/"&amp;A337&amp;"/"&amp;C337</f>
        <v>567</v>
      </c>
      <c r="E337">
        <v>0.91666666666666663</v>
      </c>
      <c r="F337" t="s">
        <f>I337&amp;" "&amp;J337&amp;" "&amp;K337&amp;" "&amp;L337&amp;" "&amp;M337&amp;" "&amp;N337</f>
        <v>569</v>
      </c>
      <c r="G337" t="s">
        <f>TEXT(D337,"mmm dd")</f>
        <v>568</v>
      </c>
      <c r="I337" t="s">
        <v>570</v>
      </c>
      <c r="J337" t="s">
        <v>571</v>
      </c>
    </row>
    <row r="338" spans="1:23">
      <c r="A338">
        <v>22</v>
      </c>
      <c r="B338">
        <v>6</v>
      </c>
      <c r="C338">
        <v>2008</v>
      </c>
      <c r="D338" s="3" t="s">
        <f>B338&amp;"/"&amp;A338&amp;"/"&amp;C338</f>
        <v>572</v>
      </c>
      <c r="E338" t="s">
        <v>42</v>
      </c>
      <c r="F338" t="s">
        <f>I338&amp;" "&amp;J338&amp;" "&amp;K338&amp;" "&amp;L338&amp;" "&amp;M338&amp;" "&amp;N338</f>
        <v>573</v>
      </c>
      <c r="G338" t="s">
        <f>TEXT(D338,"mmm dd")</f>
        <v>574</v>
      </c>
      <c r="I338" t="s">
        <v>575</v>
      </c>
      <c r="J338" t="s">
        <v>370</v>
      </c>
      <c r="K338" t="s">
        <v>423</v>
      </c>
      <c r="L338" t="s">
        <v>86</v>
      </c>
      <c r="M338" t="s">
        <v>576</v>
      </c>
      <c r="N338" t="s">
        <v>286</v>
      </c>
    </row>
    <row r="339" spans="1:23">
      <c r="A339">
        <v>22</v>
      </c>
      <c r="B339">
        <v>6</v>
      </c>
      <c r="C339">
        <v>2008</v>
      </c>
      <c r="D339" s="3" t="s">
        <f>B339&amp;"/"&amp;A339&amp;"/"&amp;C339</f>
        <v>572</v>
      </c>
      <c r="E339" t="s">
        <v>42</v>
      </c>
      <c r="F339" t="s">
        <f>I339&amp;" "&amp;J339&amp;" "&amp;K339&amp;" "&amp;L339&amp;" "&amp;M339&amp;" "&amp;N339</f>
        <v>573</v>
      </c>
      <c r="G339" t="s">
        <f>TEXT(D339,"mmm dd")</f>
        <v>574</v>
      </c>
      <c r="I339" t="s">
        <v>575</v>
      </c>
      <c r="J339" t="s">
        <v>370</v>
      </c>
      <c r="K339" t="s">
        <v>423</v>
      </c>
      <c r="L339" t="s">
        <v>86</v>
      </c>
      <c r="M339" t="s">
        <v>576</v>
      </c>
      <c r="N339" t="s">
        <v>286</v>
      </c>
    </row>
    <row r="340" spans="1:23">
      <c r="A340">
        <v>23</v>
      </c>
      <c r="B340">
        <v>6</v>
      </c>
      <c r="C340">
        <v>2008</v>
      </c>
      <c r="D340" s="3" t="s">
        <f>B340&amp;"/"&amp;A340&amp;"/"&amp;C340</f>
        <v>577</v>
      </c>
      <c r="E340">
        <v>0.43055555555555558</v>
      </c>
      <c r="F340" t="s">
        <f>I340&amp;" "&amp;J340&amp;" "&amp;K340&amp;" "&amp;L340&amp;" "&amp;M340&amp;" "&amp;N340</f>
        <v>578</v>
      </c>
      <c r="G340" t="s">
        <f>TEXT(D340,"mmm dd")</f>
        <v>579</v>
      </c>
      <c r="I340" t="s">
        <v>170</v>
      </c>
      <c r="J340" t="s">
        <v>580</v>
      </c>
      <c r="K340" t="s">
        <v>439</v>
      </c>
      <c r="L340" t="s">
        <v>581</v>
      </c>
    </row>
    <row r="341" spans="1:23">
      <c r="A341">
        <v>23</v>
      </c>
      <c r="B341">
        <v>6</v>
      </c>
      <c r="C341">
        <v>2008</v>
      </c>
      <c r="D341" s="3" t="s">
        <f>B341&amp;"/"&amp;A341&amp;"/"&amp;C341</f>
        <v>577</v>
      </c>
      <c r="E341">
        <v>0.43055555555555558</v>
      </c>
      <c r="F341" t="s">
        <f>I341&amp;" "&amp;J341&amp;" "&amp;K341&amp;" "&amp;L341&amp;" "&amp;M341&amp;" "&amp;N341</f>
        <v>578</v>
      </c>
      <c r="G341" t="s">
        <f>TEXT(D341,"mmm dd")</f>
        <v>579</v>
      </c>
      <c r="I341" t="s">
        <v>170</v>
      </c>
      <c r="J341" t="s">
        <v>580</v>
      </c>
      <c r="K341" t="s">
        <v>439</v>
      </c>
      <c r="L341" t="s">
        <v>581</v>
      </c>
    </row>
    <row r="342" spans="1:23">
      <c r="A342">
        <v>24</v>
      </c>
      <c r="B342">
        <v>6</v>
      </c>
      <c r="C342">
        <v>2008</v>
      </c>
      <c r="D342" s="3" t="s">
        <f>B342&amp;"/"&amp;A342&amp;"/"&amp;C342</f>
        <v>582</v>
      </c>
      <c r="E342">
        <v>0.88541666666666663</v>
      </c>
      <c r="F342" t="s">
        <f>I342&amp;" "&amp;J342&amp;" "&amp;K342&amp;" "&amp;L342&amp;" "&amp;M342&amp;" "&amp;N342</f>
        <v>45</v>
      </c>
      <c r="G342" t="s">
        <f>TEXT(D342,"mmm dd")</f>
        <v>583</v>
      </c>
      <c r="I342" t="s">
        <v>46</v>
      </c>
      <c r="J342" t="s">
        <v>47</v>
      </c>
      <c r="K342" t="s">
        <v>48</v>
      </c>
      <c r="L342" t="s">
        <v>49</v>
      </c>
    </row>
    <row r="343" spans="1:23">
      <c r="A343">
        <v>24</v>
      </c>
      <c r="B343">
        <v>6</v>
      </c>
      <c r="C343">
        <v>2008</v>
      </c>
      <c r="D343" s="3" t="s">
        <f>B343&amp;"/"&amp;A343&amp;"/"&amp;C343</f>
        <v>582</v>
      </c>
      <c r="E343" t="s">
        <v>42</v>
      </c>
      <c r="F343" t="s">
        <f>I343&amp;" "&amp;J343&amp;" "&amp;K343&amp;" "&amp;L343&amp;" "&amp;M343&amp;" "&amp;N343</f>
        <v>584</v>
      </c>
      <c r="G343" t="s">
        <f>TEXT(D343,"mmm dd")</f>
        <v>583</v>
      </c>
      <c r="I343" t="s">
        <v>407</v>
      </c>
      <c r="J343" t="s">
        <v>454</v>
      </c>
      <c r="K343" t="s">
        <v>86</v>
      </c>
      <c r="L343" t="s">
        <v>228</v>
      </c>
      <c r="M343" t="s">
        <v>585</v>
      </c>
      <c r="N343" t="s">
        <v>139</v>
      </c>
    </row>
    <row r="344" spans="1:23">
      <c r="A344">
        <v>24</v>
      </c>
      <c r="B344">
        <v>6</v>
      </c>
      <c r="C344">
        <v>2008</v>
      </c>
      <c r="D344" s="3" t="s">
        <f>B344&amp;"/"&amp;A344&amp;"/"&amp;C344</f>
        <v>582</v>
      </c>
      <c r="E344" t="s">
        <v>42</v>
      </c>
      <c r="F344" t="s">
        <f>I344&amp;" "&amp;J344&amp;" "&amp;K344&amp;" "&amp;L344&amp;" "&amp;M344&amp;" "&amp;N344</f>
        <v>584</v>
      </c>
      <c r="G344" t="s">
        <f>TEXT(D344,"mmm dd")</f>
        <v>583</v>
      </c>
      <c r="I344" t="s">
        <v>407</v>
      </c>
      <c r="J344" t="s">
        <v>454</v>
      </c>
      <c r="K344" t="s">
        <v>86</v>
      </c>
      <c r="L344" t="s">
        <v>228</v>
      </c>
      <c r="M344" t="s">
        <v>585</v>
      </c>
      <c r="N344" t="s">
        <v>139</v>
      </c>
    </row>
    <row r="345" spans="1:23">
      <c r="A345">
        <v>24</v>
      </c>
      <c r="B345">
        <v>6</v>
      </c>
      <c r="C345">
        <v>2008</v>
      </c>
      <c r="D345" s="3" t="s">
        <f>B345&amp;"/"&amp;A345&amp;"/"&amp;C345</f>
        <v>582</v>
      </c>
      <c r="E345">
        <v>0.875</v>
      </c>
      <c r="F345" t="s">
        <f>I345&amp;" "&amp;J345&amp;" "&amp;K345&amp;" "&amp;L345&amp;" "&amp;M345&amp;" "&amp;N345</f>
        <v>586</v>
      </c>
      <c r="G345" t="s">
        <f>TEXT(D345,"mmm dd")</f>
        <v>583</v>
      </c>
      <c r="I345" t="s">
        <v>587</v>
      </c>
      <c r="J345" t="s">
        <v>399</v>
      </c>
      <c r="K345" t="s">
        <v>497</v>
      </c>
    </row>
    <row r="346" spans="1:23">
      <c r="A346">
        <v>24</v>
      </c>
      <c r="B346">
        <v>6</v>
      </c>
      <c r="C346">
        <v>2008</v>
      </c>
      <c r="D346" s="3" t="s">
        <f>B346&amp;"/"&amp;A346&amp;"/"&amp;C346</f>
        <v>582</v>
      </c>
      <c r="E346">
        <v>0.88541666666666663</v>
      </c>
      <c r="F346" t="s">
        <f>I346&amp;" "&amp;J346&amp;" "&amp;K346&amp;" "&amp;L346&amp;" "&amp;M346&amp;" "&amp;N346</f>
        <v>45</v>
      </c>
      <c r="G346" t="s">
        <f>TEXT(D346,"mmm dd")</f>
        <v>583</v>
      </c>
      <c r="I346" t="s">
        <v>46</v>
      </c>
      <c r="J346" t="s">
        <v>47</v>
      </c>
      <c r="K346" t="s">
        <v>48</v>
      </c>
      <c r="L346" t="s">
        <v>49</v>
      </c>
      <c r="O346" t="s">
        <v>55</v>
      </c>
    </row>
    <row r="347" spans="1:23">
      <c r="A347">
        <v>25</v>
      </c>
      <c r="B347">
        <v>6</v>
      </c>
      <c r="C347">
        <v>2008</v>
      </c>
      <c r="D347" s="3" t="s">
        <f>B347&amp;"/"&amp;A347&amp;"/"&amp;C347</f>
        <v>588</v>
      </c>
      <c r="E347">
        <v>1</v>
      </c>
      <c r="F347" t="s">
        <f>I347&amp;" "&amp;J347&amp;" "&amp;K347&amp;" "&amp;L347&amp;" "&amp;M347&amp;" "&amp;N347</f>
        <v>71</v>
      </c>
      <c r="G347" t="s">
        <f>TEXT(D347,"mmm dd")</f>
        <v>589</v>
      </c>
      <c r="I347" t="s">
        <v>72</v>
      </c>
      <c r="J347" t="s">
        <v>73</v>
      </c>
      <c r="K347" t="s">
        <v>74</v>
      </c>
    </row>
    <row r="348" spans="1:23">
      <c r="A348">
        <v>25</v>
      </c>
      <c r="B348">
        <v>6</v>
      </c>
      <c r="C348">
        <v>2008</v>
      </c>
      <c r="D348" s="3" t="s">
        <f>B348&amp;"/"&amp;A348&amp;"/"&amp;C348</f>
        <v>588</v>
      </c>
      <c r="E348">
        <v>0.9375</v>
      </c>
      <c r="F348" t="s">
        <f>I348&amp;" "&amp;J348&amp;" "&amp;K348&amp;" "&amp;L348&amp;" "&amp;M348&amp;" "&amp;N348</f>
        <v>64</v>
      </c>
      <c r="G348" t="s">
        <f>TEXT(D348,"mmm dd")</f>
        <v>589</v>
      </c>
      <c r="I348" t="s">
        <v>66</v>
      </c>
    </row>
    <row r="349" spans="1:23">
      <c r="A349">
        <v>25</v>
      </c>
      <c r="B349">
        <v>6</v>
      </c>
      <c r="C349">
        <v>2008</v>
      </c>
      <c r="D349" s="3" t="s">
        <f>B349&amp;"/"&amp;A349&amp;"/"&amp;C349</f>
        <v>588</v>
      </c>
      <c r="E349">
        <v>1.0416666666666667</v>
      </c>
      <c r="F349" t="s">
        <f>I349&amp;" "&amp;J349&amp;" "&amp;K349&amp;" "&amp;L349&amp;" "&amp;M349&amp;" "&amp;N349</f>
        <v>68</v>
      </c>
      <c r="G349" t="s">
        <f>TEXT(D349,"mmm dd")</f>
        <v>589</v>
      </c>
      <c r="I349" t="s">
        <v>69</v>
      </c>
    </row>
    <row r="350" spans="1:23">
      <c r="A350">
        <v>25</v>
      </c>
      <c r="B350">
        <v>6</v>
      </c>
      <c r="C350">
        <v>2008</v>
      </c>
      <c r="D350" s="3" t="s">
        <f>B350&amp;"/"&amp;A350&amp;"/"&amp;C350</f>
        <v>588</v>
      </c>
      <c r="E350">
        <v>1.0833333333333333</v>
      </c>
      <c r="F350" t="s">
        <f>I350&amp;" "&amp;J350&amp;" "&amp;K350&amp;" "&amp;L350&amp;" "&amp;M350&amp;" "&amp;N350</f>
        <v>590</v>
      </c>
      <c r="G350" t="s">
        <f>TEXT(D350,"mmm dd")</f>
        <v>589</v>
      </c>
      <c r="I350" t="s">
        <v>300</v>
      </c>
      <c r="J350" t="s">
        <v>591</v>
      </c>
      <c r="K350" t="s">
        <v>592</v>
      </c>
      <c r="L350" t="s">
        <v>593</v>
      </c>
      <c r="M350" t="s">
        <v>594</v>
      </c>
      <c r="N350" t="s">
        <v>595</v>
      </c>
    </row>
    <row r="351" spans="1:23">
      <c r="A351">
        <v>25</v>
      </c>
      <c r="B351">
        <v>6</v>
      </c>
      <c r="C351">
        <v>2008</v>
      </c>
      <c r="D351" s="3" t="s">
        <f>B351&amp;"/"&amp;A351&amp;"/"&amp;C351</f>
        <v>588</v>
      </c>
      <c r="E351">
        <v>1.0416666666666667</v>
      </c>
      <c r="F351" t="s">
        <f>I351&amp;" "&amp;J351&amp;" "&amp;K351&amp;" "&amp;L351&amp;" "&amp;M351&amp;" "&amp;N351</f>
        <v>68</v>
      </c>
      <c r="G351" t="s">
        <f>TEXT(D351,"mmm dd")</f>
        <v>589</v>
      </c>
      <c r="I351" t="s">
        <v>69</v>
      </c>
    </row>
    <row r="352" spans="1:23">
      <c r="A352">
        <v>25</v>
      </c>
      <c r="B352">
        <v>6</v>
      </c>
      <c r="C352">
        <v>2008</v>
      </c>
      <c r="D352" s="3" t="s">
        <f>B352&amp;"/"&amp;A352&amp;"/"&amp;C352</f>
        <v>588</v>
      </c>
      <c r="E352">
        <v>1.0833333333333333</v>
      </c>
      <c r="F352" t="s">
        <f>I352&amp;" "&amp;J352&amp;" "&amp;K352&amp;" "&amp;L352&amp;" "&amp;M352&amp;" "&amp;N352</f>
        <v>590</v>
      </c>
      <c r="G352" t="s">
        <f>TEXT(D352,"mmm dd")</f>
        <v>589</v>
      </c>
      <c r="I352" t="s">
        <v>300</v>
      </c>
      <c r="J352" t="s">
        <v>591</v>
      </c>
      <c r="K352" t="s">
        <v>592</v>
      </c>
      <c r="L352" t="s">
        <v>593</v>
      </c>
      <c r="M352" t="s">
        <v>594</v>
      </c>
      <c r="N352" t="s">
        <v>595</v>
      </c>
    </row>
    <row r="353" spans="1:23">
      <c r="A353">
        <v>25</v>
      </c>
      <c r="B353">
        <v>6</v>
      </c>
      <c r="C353">
        <v>2008</v>
      </c>
      <c r="D353" s="3" t="s">
        <f>B353&amp;"/"&amp;A353&amp;"/"&amp;C353</f>
        <v>588</v>
      </c>
      <c r="E353">
        <v>0.9375</v>
      </c>
      <c r="F353" t="s">
        <f>I353&amp;" "&amp;J353&amp;" "&amp;K353&amp;" "&amp;L353&amp;" "&amp;M353&amp;" "&amp;N353</f>
        <v>64</v>
      </c>
      <c r="G353" t="s">
        <f>TEXT(D353,"mmm dd")</f>
        <v>589</v>
      </c>
      <c r="I353" t="s">
        <v>66</v>
      </c>
    </row>
    <row r="354" spans="1:23">
      <c r="A354">
        <v>25</v>
      </c>
      <c r="B354">
        <v>6</v>
      </c>
      <c r="C354">
        <v>2008</v>
      </c>
      <c r="D354" s="3" t="s">
        <f>B354&amp;"/"&amp;A354&amp;"/"&amp;C354</f>
        <v>588</v>
      </c>
      <c r="E354">
        <v>1</v>
      </c>
      <c r="F354" t="s">
        <f>I354&amp;" "&amp;J354&amp;" "&amp;K354&amp;" "&amp;L354&amp;" "&amp;M354&amp;" "&amp;N354</f>
        <v>71</v>
      </c>
      <c r="G354" t="s">
        <f>TEXT(D354,"mmm dd")</f>
        <v>589</v>
      </c>
      <c r="I354" t="s">
        <v>72</v>
      </c>
      <c r="J354" t="s">
        <v>73</v>
      </c>
      <c r="K354" t="s">
        <v>74</v>
      </c>
    </row>
    <row r="355" spans="1:23">
      <c r="A355">
        <v>28</v>
      </c>
      <c r="B355">
        <v>6</v>
      </c>
      <c r="C355">
        <v>2008</v>
      </c>
      <c r="D355" s="3" t="s">
        <f>B355&amp;"/"&amp;A355&amp;"/"&amp;C355</f>
        <v>596</v>
      </c>
      <c r="E355">
        <v>0.3125</v>
      </c>
      <c r="F355" t="s">
        <f>I355&amp;" "&amp;J355&amp;" "&amp;K355&amp;" "&amp;L355&amp;" "&amp;M355&amp;" "&amp;N355</f>
        <v>107</v>
      </c>
      <c r="G355" t="s">
        <f>TEXT(D355,"mmm dd")</f>
        <v>597</v>
      </c>
      <c r="I355" t="s">
        <v>109</v>
      </c>
      <c r="J355" t="s">
        <v>110</v>
      </c>
    </row>
    <row r="356" spans="1:23">
      <c r="A356">
        <v>28</v>
      </c>
      <c r="B356">
        <v>6</v>
      </c>
      <c r="C356">
        <v>2008</v>
      </c>
      <c r="D356" s="3" t="s">
        <f>B356&amp;"/"&amp;A356&amp;"/"&amp;C356</f>
        <v>596</v>
      </c>
      <c r="E356" t="s">
        <v>42</v>
      </c>
      <c r="F356" t="s">
        <f>I356&amp;" "&amp;J356&amp;" "&amp;K356&amp;" "&amp;L356&amp;" "&amp;M356&amp;" "&amp;N356</f>
        <v>598</v>
      </c>
      <c r="G356" t="s">
        <f>TEXT(D356,"mmm dd")</f>
        <v>597</v>
      </c>
      <c r="I356" t="s">
        <v>599</v>
      </c>
      <c r="J356" t="s">
        <v>85</v>
      </c>
      <c r="K356" t="s">
        <v>86</v>
      </c>
      <c r="L356" t="s">
        <v>431</v>
      </c>
      <c r="M356" t="s">
        <v>286</v>
      </c>
      <c r="N356">
        <v>202</v>
      </c>
    </row>
    <row r="357" spans="1:23">
      <c r="A357">
        <v>28</v>
      </c>
      <c r="B357">
        <v>6</v>
      </c>
      <c r="C357">
        <v>2008</v>
      </c>
      <c r="D357" s="3" t="s">
        <f>B357&amp;"/"&amp;A357&amp;"/"&amp;C357</f>
        <v>596</v>
      </c>
      <c r="E357">
        <v>0.3125</v>
      </c>
      <c r="F357" t="s">
        <f>I357&amp;" "&amp;J357&amp;" "&amp;K357&amp;" "&amp;L357&amp;" "&amp;M357&amp;" "&amp;N357</f>
        <v>107</v>
      </c>
      <c r="G357" t="s">
        <f>TEXT(D357,"mmm dd")</f>
        <v>597</v>
      </c>
      <c r="I357" t="s">
        <v>109</v>
      </c>
      <c r="J357" t="s">
        <v>110</v>
      </c>
    </row>
    <row r="358" spans="1:23">
      <c r="A358">
        <v>28</v>
      </c>
      <c r="B358">
        <v>6</v>
      </c>
      <c r="C358">
        <v>2008</v>
      </c>
      <c r="D358" s="3" t="s">
        <f>B358&amp;"/"&amp;A358&amp;"/"&amp;C358</f>
        <v>596</v>
      </c>
      <c r="E358" t="s">
        <v>42</v>
      </c>
      <c r="F358" t="s">
        <f>I358&amp;" "&amp;J358&amp;" "&amp;K358&amp;" "&amp;L358&amp;" "&amp;M358&amp;" "&amp;N358</f>
        <v>598</v>
      </c>
      <c r="G358" t="s">
        <f>TEXT(D358,"mmm dd")</f>
        <v>597</v>
      </c>
      <c r="I358" t="s">
        <v>599</v>
      </c>
      <c r="J358" t="s">
        <v>85</v>
      </c>
      <c r="K358" t="s">
        <v>86</v>
      </c>
      <c r="L358" t="s">
        <v>431</v>
      </c>
      <c r="M358" t="s">
        <v>286</v>
      </c>
      <c r="N358">
        <v>202</v>
      </c>
      <c r="O358">
        <v>10</v>
      </c>
      <c r="P358" t="s">
        <v>600</v>
      </c>
    </row>
    <row r="359" spans="1:23">
      <c r="A359">
        <v>29</v>
      </c>
      <c r="B359">
        <v>6</v>
      </c>
      <c r="C359">
        <v>2008</v>
      </c>
      <c r="D359" s="3" t="s">
        <f>B359&amp;"/"&amp;A359&amp;"/"&amp;C359</f>
        <v>601</v>
      </c>
      <c r="E359" t="s">
        <v>42</v>
      </c>
      <c r="F359" t="s">
        <f>I359&amp;" "&amp;J359&amp;" "&amp;K359&amp;" "&amp;L359&amp;" "&amp;M359&amp;" "&amp;N359</f>
        <v>602</v>
      </c>
      <c r="G359" t="s">
        <f>TEXT(D359,"mmm dd")</f>
        <v>603</v>
      </c>
      <c r="I359" t="s">
        <v>228</v>
      </c>
      <c r="J359" t="s">
        <v>604</v>
      </c>
      <c r="K359" t="s">
        <v>135</v>
      </c>
      <c r="L359" t="s">
        <v>228</v>
      </c>
      <c r="M359" t="s">
        <v>605</v>
      </c>
      <c r="N359" t="s">
        <v>252</v>
      </c>
    </row>
    <row r="360" spans="1:23">
      <c r="A360">
        <v>29</v>
      </c>
      <c r="B360">
        <v>6</v>
      </c>
      <c r="C360">
        <v>2008</v>
      </c>
      <c r="D360" s="3" t="s">
        <f>B360&amp;"/"&amp;A360&amp;"/"&amp;C360</f>
        <v>601</v>
      </c>
      <c r="E360" t="s">
        <v>42</v>
      </c>
      <c r="F360" t="s">
        <f>I360&amp;" "&amp;J360&amp;" "&amp;K360&amp;" "&amp;L360&amp;" "&amp;M360&amp;" "&amp;N360</f>
        <v>602</v>
      </c>
      <c r="G360" t="s">
        <f>TEXT(D360,"mmm dd")</f>
        <v>603</v>
      </c>
      <c r="I360" t="s">
        <v>228</v>
      </c>
      <c r="J360" t="s">
        <v>604</v>
      </c>
      <c r="K360" t="s">
        <v>135</v>
      </c>
      <c r="L360" t="s">
        <v>228</v>
      </c>
      <c r="M360" t="s">
        <v>605</v>
      </c>
      <c r="N360" t="s">
        <v>252</v>
      </c>
    </row>
    <row r="361" spans="1:23">
      <c r="A361">
        <v>1</v>
      </c>
      <c r="B361">
        <v>7</v>
      </c>
      <c r="C361">
        <v>2008</v>
      </c>
      <c r="D361" s="3" t="s">
        <f>B361&amp;"/"&amp;A361&amp;"/"&amp;C361</f>
        <v>606</v>
      </c>
      <c r="E361">
        <v>0.88541666666666663</v>
      </c>
      <c r="F361" t="s">
        <f>I361&amp;" "&amp;J361&amp;" "&amp;K361&amp;" "&amp;L361&amp;" "&amp;M361&amp;" "&amp;N361</f>
        <v>45</v>
      </c>
      <c r="G361" t="s">
        <f>TEXT(D361,"mmm dd")</f>
        <v>13</v>
      </c>
      <c r="I361" t="s">
        <v>46</v>
      </c>
      <c r="J361" t="s">
        <v>47</v>
      </c>
      <c r="K361" t="s">
        <v>48</v>
      </c>
      <c r="L361" t="s">
        <v>49</v>
      </c>
    </row>
    <row r="362" spans="1:23">
      <c r="A362">
        <v>1</v>
      </c>
      <c r="B362">
        <v>7</v>
      </c>
      <c r="C362">
        <v>2008</v>
      </c>
      <c r="D362" s="3" t="s">
        <f>B362&amp;"/"&amp;A362&amp;"/"&amp;C362</f>
        <v>606</v>
      </c>
      <c r="E362">
        <v>0.88541666666666663</v>
      </c>
      <c r="F362" t="s">
        <f>I362&amp;" "&amp;J362&amp;" "&amp;K362&amp;" "&amp;L362&amp;" "&amp;M362&amp;" "&amp;N362</f>
        <v>45</v>
      </c>
      <c r="G362" t="s">
        <f>TEXT(D362,"mmm dd")</f>
        <v>13</v>
      </c>
      <c r="I362" t="s">
        <v>46</v>
      </c>
      <c r="J362" t="s">
        <v>47</v>
      </c>
      <c r="K362" t="s">
        <v>48</v>
      </c>
      <c r="L362" t="s">
        <v>49</v>
      </c>
    </row>
    <row r="363" spans="1:23">
      <c r="A363">
        <v>2</v>
      </c>
      <c r="B363">
        <v>7</v>
      </c>
      <c r="C363">
        <v>2008</v>
      </c>
      <c r="D363" s="3" t="s">
        <f>B363&amp;"/"&amp;A363&amp;"/"&amp;C363</f>
        <v>607</v>
      </c>
      <c r="E363">
        <v>1</v>
      </c>
      <c r="F363" t="s">
        <f>I363&amp;" "&amp;J363&amp;" "&amp;K363&amp;" "&amp;L363&amp;" "&amp;M363&amp;" "&amp;N363</f>
        <v>71</v>
      </c>
      <c r="G363" t="s">
        <f>TEXT(D363,"mmm dd")</f>
        <v>15</v>
      </c>
      <c r="I363" t="s">
        <v>72</v>
      </c>
      <c r="J363" t="s">
        <v>73</v>
      </c>
      <c r="K363" t="s">
        <v>74</v>
      </c>
    </row>
    <row r="364" spans="1:23">
      <c r="A364">
        <v>2</v>
      </c>
      <c r="B364">
        <v>7</v>
      </c>
      <c r="C364">
        <v>2008</v>
      </c>
      <c r="D364" s="3" t="s">
        <f>B364&amp;"/"&amp;A364&amp;"/"&amp;C364</f>
        <v>607</v>
      </c>
      <c r="E364">
        <v>0.2638888888888889</v>
      </c>
      <c r="F364" t="s">
        <f>I364&amp;" "&amp;J364&amp;" "&amp;K364&amp;" "&amp;L364&amp;" "&amp;M364&amp;" "&amp;N364</f>
        <v>608</v>
      </c>
      <c r="G364" t="s">
        <f>TEXT(D364,"mmm dd")</f>
        <v>15</v>
      </c>
      <c r="I364" t="s">
        <v>170</v>
      </c>
      <c r="J364" t="s">
        <v>580</v>
      </c>
      <c r="K364" t="s">
        <v>439</v>
      </c>
      <c r="L364" t="s">
        <v>609</v>
      </c>
    </row>
    <row r="365" spans="1:23">
      <c r="A365">
        <v>2</v>
      </c>
      <c r="B365">
        <v>7</v>
      </c>
      <c r="C365">
        <v>2008</v>
      </c>
      <c r="D365" s="3" t="s">
        <f>B365&amp;"/"&amp;A365&amp;"/"&amp;C365</f>
        <v>607</v>
      </c>
      <c r="E365">
        <v>0.9375</v>
      </c>
      <c r="F365" t="s">
        <f>I365&amp;" "&amp;J365&amp;" "&amp;K365&amp;" "&amp;L365&amp;" "&amp;M365&amp;" "&amp;N365</f>
        <v>64</v>
      </c>
      <c r="G365" t="s">
        <f>TEXT(D365,"mmm dd")</f>
        <v>15</v>
      </c>
      <c r="I365" t="s">
        <v>66</v>
      </c>
    </row>
    <row r="366" spans="1:23">
      <c r="A366">
        <v>2</v>
      </c>
      <c r="B366">
        <v>7</v>
      </c>
      <c r="C366">
        <v>2008</v>
      </c>
      <c r="D366" s="3" t="s">
        <f>B366&amp;"/"&amp;A366&amp;"/"&amp;C366</f>
        <v>607</v>
      </c>
      <c r="E366">
        <v>1.0416666666666667</v>
      </c>
      <c r="F366" t="s">
        <f>I366&amp;" "&amp;J366&amp;" "&amp;K366&amp;" "&amp;L366&amp;" "&amp;M366&amp;" "&amp;N366</f>
        <v>68</v>
      </c>
      <c r="G366" t="s">
        <f>TEXT(D366,"mmm dd")</f>
        <v>15</v>
      </c>
      <c r="I366" t="s">
        <v>69</v>
      </c>
      <c r="O366" t="s">
        <v>610</v>
      </c>
    </row>
    <row r="367" spans="1:23">
      <c r="A367">
        <v>2</v>
      </c>
      <c r="B367">
        <v>7</v>
      </c>
      <c r="C367">
        <v>2008</v>
      </c>
      <c r="D367" s="3" t="s">
        <f>B367&amp;"/"&amp;A367&amp;"/"&amp;C367</f>
        <v>607</v>
      </c>
      <c r="E367">
        <v>0.16666666666666666</v>
      </c>
      <c r="F367" t="s">
        <f>I367&amp;" "&amp;J367&amp;" "&amp;K367&amp;" "&amp;L367&amp;" "&amp;M367&amp;" "&amp;N367</f>
        <v>611</v>
      </c>
      <c r="G367" t="s">
        <f>TEXT(D367,"mmm dd")</f>
        <v>15</v>
      </c>
      <c r="I367" t="s">
        <v>300</v>
      </c>
      <c r="J367" t="s">
        <v>591</v>
      </c>
      <c r="K367" t="s">
        <v>612</v>
      </c>
      <c r="L367" t="s">
        <v>594</v>
      </c>
      <c r="M367" t="s">
        <v>613</v>
      </c>
      <c r="N367" t="s">
        <v>55</v>
      </c>
    </row>
    <row r="368" spans="1:23">
      <c r="A368">
        <v>2</v>
      </c>
      <c r="B368">
        <v>7</v>
      </c>
      <c r="C368">
        <v>2008</v>
      </c>
      <c r="D368" s="3" t="s">
        <f>B368&amp;"/"&amp;A368&amp;"/"&amp;C368</f>
        <v>607</v>
      </c>
      <c r="E368">
        <v>0.3888888888888889</v>
      </c>
      <c r="F368" t="s">
        <f>I368&amp;" "&amp;J368&amp;" "&amp;K368&amp;" "&amp;L368&amp;" "&amp;M368&amp;" "&amp;N368</f>
        <v>614</v>
      </c>
      <c r="G368" t="s">
        <f>TEXT(D368,"mmm dd")</f>
        <v>15</v>
      </c>
      <c r="I368" t="s">
        <v>615</v>
      </c>
      <c r="J368" t="s">
        <v>616</v>
      </c>
      <c r="K368" t="s">
        <v>170</v>
      </c>
    </row>
    <row r="369" spans="1:23">
      <c r="A369">
        <v>2</v>
      </c>
      <c r="B369">
        <v>7</v>
      </c>
      <c r="C369">
        <v>2008</v>
      </c>
      <c r="D369" s="3" t="s">
        <f>B369&amp;"/"&amp;A369&amp;"/"&amp;C369</f>
        <v>607</v>
      </c>
      <c r="E369">
        <v>0.9375</v>
      </c>
      <c r="F369" t="s">
        <f>I369&amp;" "&amp;J369&amp;" "&amp;K369&amp;" "&amp;L369&amp;" "&amp;M369&amp;" "&amp;N369</f>
        <v>64</v>
      </c>
      <c r="G369" t="s">
        <f>TEXT(D369,"mmm dd")</f>
        <v>15</v>
      </c>
      <c r="I369" t="s">
        <v>66</v>
      </c>
    </row>
    <row r="370" spans="1:23">
      <c r="A370">
        <v>2</v>
      </c>
      <c r="B370">
        <v>7</v>
      </c>
      <c r="C370">
        <v>2008</v>
      </c>
      <c r="D370" s="3" t="s">
        <f>B370&amp;"/"&amp;A370&amp;"/"&amp;C370</f>
        <v>607</v>
      </c>
      <c r="E370">
        <v>1</v>
      </c>
      <c r="F370" t="s">
        <f>I370&amp;" "&amp;J370&amp;" "&amp;K370&amp;" "&amp;L370&amp;" "&amp;M370&amp;" "&amp;N370</f>
        <v>71</v>
      </c>
      <c r="G370" t="s">
        <f>TEXT(D370,"mmm dd")</f>
        <v>15</v>
      </c>
      <c r="I370" t="s">
        <v>72</v>
      </c>
      <c r="J370" t="s">
        <v>73</v>
      </c>
      <c r="K370" t="s">
        <v>74</v>
      </c>
    </row>
    <row r="371" spans="1:23">
      <c r="A371">
        <v>2</v>
      </c>
      <c r="B371">
        <v>7</v>
      </c>
      <c r="C371">
        <v>2008</v>
      </c>
      <c r="D371" s="3" t="s">
        <f>B371&amp;"/"&amp;A371&amp;"/"&amp;C371</f>
        <v>607</v>
      </c>
      <c r="E371">
        <v>0.3888888888888889</v>
      </c>
      <c r="F371" t="s">
        <f>I371&amp;" "&amp;J371&amp;" "&amp;K371&amp;" "&amp;L371&amp;" "&amp;M371&amp;" "&amp;N371</f>
        <v>614</v>
      </c>
      <c r="G371" t="s">
        <f>TEXT(D371,"mmm dd")</f>
        <v>15</v>
      </c>
      <c r="I371" t="s">
        <v>615</v>
      </c>
      <c r="J371" t="s">
        <v>616</v>
      </c>
      <c r="K371" t="s">
        <v>170</v>
      </c>
    </row>
    <row r="372" spans="1:23">
      <c r="A372">
        <v>2</v>
      </c>
      <c r="B372">
        <v>7</v>
      </c>
      <c r="C372">
        <v>2008</v>
      </c>
      <c r="D372" s="3" t="s">
        <f>B372&amp;"/"&amp;A372&amp;"/"&amp;C372</f>
        <v>607</v>
      </c>
      <c r="E372">
        <v>0.2638888888888889</v>
      </c>
      <c r="F372" t="s">
        <f>I372&amp;" "&amp;J372&amp;" "&amp;K372&amp;" "&amp;L372&amp;" "&amp;M372&amp;" "&amp;N372</f>
        <v>608</v>
      </c>
      <c r="G372" t="s">
        <f>TEXT(D372,"mmm dd")</f>
        <v>15</v>
      </c>
      <c r="I372" t="s">
        <v>170</v>
      </c>
      <c r="J372" t="s">
        <v>580</v>
      </c>
      <c r="K372" t="s">
        <v>439</v>
      </c>
      <c r="L372" t="s">
        <v>609</v>
      </c>
    </row>
    <row r="373" spans="1:23">
      <c r="A373">
        <v>2</v>
      </c>
      <c r="B373">
        <v>7</v>
      </c>
      <c r="C373">
        <v>2008</v>
      </c>
      <c r="D373" s="3" t="s">
        <f>B373&amp;"/"&amp;A373&amp;"/"&amp;C373</f>
        <v>607</v>
      </c>
      <c r="E373">
        <v>1.0416666666666667</v>
      </c>
      <c r="F373" t="s">
        <f>I373&amp;" "&amp;J373&amp;" "&amp;K373&amp;" "&amp;L373&amp;" "&amp;M373&amp;" "&amp;N373</f>
        <v>68</v>
      </c>
      <c r="G373" t="s">
        <f>TEXT(D373,"mmm dd")</f>
        <v>15</v>
      </c>
      <c r="I373" t="s">
        <v>69</v>
      </c>
    </row>
    <row r="374" spans="1:23">
      <c r="A374">
        <v>2</v>
      </c>
      <c r="B374">
        <v>7</v>
      </c>
      <c r="C374">
        <v>2008</v>
      </c>
      <c r="D374" s="3" t="s">
        <f>B374&amp;"/"&amp;A374&amp;"/"&amp;C374</f>
        <v>607</v>
      </c>
      <c r="E374">
        <v>0.16666666666666666</v>
      </c>
      <c r="F374" t="s">
        <f>I374&amp;" "&amp;J374&amp;" "&amp;K374&amp;" "&amp;L374&amp;" "&amp;M374&amp;" "&amp;N374</f>
        <v>611</v>
      </c>
      <c r="G374" t="s">
        <f>TEXT(D374,"mmm dd")</f>
        <v>15</v>
      </c>
      <c r="I374" t="s">
        <v>300</v>
      </c>
      <c r="J374" t="s">
        <v>591</v>
      </c>
      <c r="K374" t="s">
        <v>612</v>
      </c>
      <c r="L374" t="s">
        <v>594</v>
      </c>
      <c r="M374" t="s">
        <v>613</v>
      </c>
      <c r="N374" t="s">
        <v>55</v>
      </c>
    </row>
    <row r="375" spans="1:23">
      <c r="A375">
        <v>3</v>
      </c>
      <c r="B375">
        <v>7</v>
      </c>
      <c r="C375">
        <v>2008</v>
      </c>
      <c r="D375" s="3" t="s">
        <f>B375&amp;"/"&amp;A375&amp;"/"&amp;C375</f>
        <v>617</v>
      </c>
      <c r="E375" t="s">
        <v>42</v>
      </c>
      <c r="F375" t="s">
        <f>I375&amp;" "&amp;J375&amp;" "&amp;K375&amp;" "&amp;L375&amp;" "&amp;M375&amp;" "&amp;N375</f>
        <v>155</v>
      </c>
      <c r="G375" t="s">
        <f>TEXT(D375,"mmm dd")</f>
        <v>16</v>
      </c>
      <c r="I375" t="s">
        <v>156</v>
      </c>
      <c r="J375" t="s">
        <v>157</v>
      </c>
    </row>
    <row r="376" spans="1:23">
      <c r="A376">
        <v>3</v>
      </c>
      <c r="B376">
        <v>7</v>
      </c>
      <c r="C376">
        <v>2008</v>
      </c>
      <c r="D376" s="3" t="s">
        <f>B376&amp;"/"&amp;A376&amp;"/"&amp;C376</f>
        <v>617</v>
      </c>
      <c r="E376" t="s">
        <v>42</v>
      </c>
      <c r="F376" t="s">
        <f>I376&amp;" "&amp;J376&amp;" "&amp;K376&amp;" "&amp;L376&amp;" "&amp;M376&amp;" "&amp;N376</f>
        <v>155</v>
      </c>
      <c r="G376" t="s">
        <f>TEXT(D376,"mmm dd")</f>
        <v>16</v>
      </c>
      <c r="I376" t="s">
        <v>156</v>
      </c>
      <c r="J376" t="s">
        <v>157</v>
      </c>
    </row>
    <row r="377" spans="1:23">
      <c r="A377">
        <v>4</v>
      </c>
      <c r="B377">
        <v>7</v>
      </c>
      <c r="C377">
        <v>2008</v>
      </c>
      <c r="D377" s="3" t="s">
        <f>B377&amp;"/"&amp;A377&amp;"/"&amp;C377</f>
        <v>618</v>
      </c>
      <c r="E377" t="s">
        <v>42</v>
      </c>
      <c r="F377" t="s">
        <f>I377&amp;" "&amp;J377&amp;" "&amp;K377&amp;" "&amp;L377&amp;" "&amp;M377&amp;" "&amp;N377</f>
        <v>619</v>
      </c>
      <c r="G377" t="s">
        <f>TEXT(D377,"mmm dd")</f>
        <v>18</v>
      </c>
      <c r="I377" t="s">
        <v>620</v>
      </c>
      <c r="J377" t="s">
        <v>10</v>
      </c>
    </row>
    <row r="378" spans="1:23">
      <c r="A378">
        <v>4</v>
      </c>
      <c r="B378">
        <v>7</v>
      </c>
      <c r="C378">
        <v>2008</v>
      </c>
      <c r="D378" s="3" t="s">
        <f>B378&amp;"/"&amp;A378&amp;"/"&amp;C378</f>
        <v>618</v>
      </c>
      <c r="E378">
        <v>0.3125</v>
      </c>
      <c r="F378" t="s">
        <f>I378&amp;" "&amp;J378&amp;" "&amp;K378&amp;" "&amp;L378&amp;" "&amp;M378&amp;" "&amp;N378</f>
        <v>99</v>
      </c>
      <c r="G378" t="s">
        <f>TEXT(D378,"mmm dd")</f>
        <v>18</v>
      </c>
      <c r="I378" t="s">
        <v>100</v>
      </c>
      <c r="J378" t="s">
        <v>101</v>
      </c>
      <c r="K378" t="s">
        <v>102</v>
      </c>
      <c r="L378" t="s">
        <v>103</v>
      </c>
      <c r="M378" t="s">
        <v>53</v>
      </c>
      <c r="N378" t="s">
        <v>104</v>
      </c>
    </row>
    <row r="379" spans="1:23">
      <c r="A379">
        <v>4</v>
      </c>
      <c r="B379">
        <v>7</v>
      </c>
      <c r="C379">
        <v>2008</v>
      </c>
      <c r="D379" s="3" t="s">
        <f>B379&amp;"/"&amp;A379&amp;"/"&amp;C379</f>
        <v>618</v>
      </c>
      <c r="E379" t="s">
        <v>42</v>
      </c>
      <c r="F379" t="s">
        <f>I379&amp;" "&amp;J379&amp;" "&amp;K379&amp;" "&amp;L379&amp;" "&amp;M379&amp;" "&amp;N379</f>
        <v>619</v>
      </c>
      <c r="G379" t="s">
        <f>TEXT(D379,"mmm dd")</f>
        <v>18</v>
      </c>
      <c r="I379" t="s">
        <v>620</v>
      </c>
      <c r="J379" t="s">
        <v>10</v>
      </c>
    </row>
    <row r="380" spans="1:23">
      <c r="A380">
        <v>4</v>
      </c>
      <c r="B380">
        <v>7</v>
      </c>
      <c r="C380">
        <v>2008</v>
      </c>
      <c r="D380" s="3" t="s">
        <f>B380&amp;"/"&amp;A380&amp;"/"&amp;C380</f>
        <v>618</v>
      </c>
      <c r="E380" t="s">
        <v>42</v>
      </c>
      <c r="F380" t="s">
        <f>I380&amp;" "&amp;J380&amp;" "&amp;K380&amp;" "&amp;L380&amp;" "&amp;M380&amp;" "&amp;N380</f>
        <v>619</v>
      </c>
      <c r="G380" t="s">
        <f>TEXT(D380,"mmm dd")</f>
        <v>18</v>
      </c>
      <c r="I380" t="s">
        <v>620</v>
      </c>
      <c r="J380" t="s">
        <v>10</v>
      </c>
    </row>
    <row r="381" spans="1:23">
      <c r="A381">
        <v>4</v>
      </c>
      <c r="B381">
        <v>7</v>
      </c>
      <c r="C381">
        <v>2008</v>
      </c>
      <c r="D381" s="3" t="s">
        <f>B381&amp;"/"&amp;A381&amp;"/"&amp;C381</f>
        <v>618</v>
      </c>
      <c r="E381">
        <v>0.3125</v>
      </c>
      <c r="F381" t="s">
        <f>I381&amp;" "&amp;J381&amp;" "&amp;K381&amp;" "&amp;L381&amp;" "&amp;M381&amp;" "&amp;N381</f>
        <v>99</v>
      </c>
      <c r="G381" t="s">
        <f>TEXT(D381,"mmm dd")</f>
        <v>18</v>
      </c>
      <c r="I381" t="s">
        <v>100</v>
      </c>
      <c r="J381" t="s">
        <v>101</v>
      </c>
      <c r="K381" t="s">
        <v>102</v>
      </c>
      <c r="L381" t="s">
        <v>103</v>
      </c>
      <c r="M381" t="s">
        <v>53</v>
      </c>
      <c r="N381" t="s">
        <v>104</v>
      </c>
    </row>
    <row r="382" spans="1:23">
      <c r="A382">
        <v>4</v>
      </c>
      <c r="B382">
        <v>7</v>
      </c>
      <c r="C382">
        <v>2008</v>
      </c>
      <c r="D382" s="3" t="s">
        <f>B382&amp;"/"&amp;A382&amp;"/"&amp;C382</f>
        <v>618</v>
      </c>
      <c r="E382" t="s">
        <v>42</v>
      </c>
      <c r="F382" t="s">
        <f>I382&amp;" "&amp;J382&amp;" "&amp;K382&amp;" "&amp;L382&amp;" "&amp;M382&amp;" "&amp;N382</f>
        <v>619</v>
      </c>
      <c r="G382" t="s">
        <f>TEXT(D382,"mmm dd")</f>
        <v>18</v>
      </c>
      <c r="I382" t="s">
        <v>620</v>
      </c>
      <c r="J382" t="s">
        <v>10</v>
      </c>
    </row>
    <row r="383" spans="1:23">
      <c r="A383">
        <v>5</v>
      </c>
      <c r="B383">
        <v>7</v>
      </c>
      <c r="C383">
        <v>2008</v>
      </c>
      <c r="D383" s="3" t="s">
        <f>B383&amp;"/"&amp;A383&amp;"/"&amp;C383</f>
        <v>621</v>
      </c>
      <c r="E383">
        <v>0.3125</v>
      </c>
      <c r="F383" t="s">
        <f>I383&amp;" "&amp;J383&amp;" "&amp;K383&amp;" "&amp;L383&amp;" "&amp;M383&amp;" "&amp;N383</f>
        <v>107</v>
      </c>
      <c r="G383" t="s">
        <f>TEXT(D383,"mmm dd")</f>
        <v>20</v>
      </c>
      <c r="I383" t="s">
        <v>109</v>
      </c>
      <c r="J383" t="s">
        <v>110</v>
      </c>
    </row>
    <row r="384" spans="1:23">
      <c r="A384">
        <v>5</v>
      </c>
      <c r="B384">
        <v>7</v>
      </c>
      <c r="C384">
        <v>2008</v>
      </c>
      <c r="D384" s="3" t="s">
        <f>B384&amp;"/"&amp;A384&amp;"/"&amp;C384</f>
        <v>621</v>
      </c>
      <c r="E384">
        <v>0.3125</v>
      </c>
      <c r="F384" t="s">
        <f>I384&amp;" "&amp;J384&amp;" "&amp;K384&amp;" "&amp;L384&amp;" "&amp;M384&amp;" "&amp;N384</f>
        <v>107</v>
      </c>
      <c r="G384" t="s">
        <f>TEXT(D384,"mmm dd")</f>
        <v>20</v>
      </c>
      <c r="I384" t="s">
        <v>109</v>
      </c>
      <c r="J384" t="s">
        <v>110</v>
      </c>
    </row>
    <row r="385" spans="1:23">
      <c r="A385">
        <v>8</v>
      </c>
      <c r="B385">
        <v>7</v>
      </c>
      <c r="C385">
        <v>2008</v>
      </c>
      <c r="D385" s="3" t="s">
        <f>B385&amp;"/"&amp;A385&amp;"/"&amp;C385</f>
        <v>622</v>
      </c>
      <c r="E385">
        <v>0.88541666666666663</v>
      </c>
      <c r="F385" t="s">
        <f>I385&amp;" "&amp;J385&amp;" "&amp;K385&amp;" "&amp;L385&amp;" "&amp;M385&amp;" "&amp;N385</f>
        <v>45</v>
      </c>
      <c r="G385" t="s">
        <f>TEXT(D385,"mmm dd")</f>
        <v>623</v>
      </c>
      <c r="I385" t="s">
        <v>46</v>
      </c>
      <c r="J385" t="s">
        <v>47</v>
      </c>
      <c r="K385" t="s">
        <v>48</v>
      </c>
      <c r="L385" t="s">
        <v>49</v>
      </c>
    </row>
    <row r="386" spans="1:23">
      <c r="A386">
        <v>8</v>
      </c>
      <c r="B386">
        <v>7</v>
      </c>
      <c r="C386">
        <v>2008</v>
      </c>
      <c r="D386" s="3" t="s">
        <f>B386&amp;"/"&amp;A386&amp;"/"&amp;C386</f>
        <v>622</v>
      </c>
      <c r="E386">
        <v>0.88541666666666663</v>
      </c>
      <c r="F386" t="s">
        <f>I386&amp;" "&amp;J386&amp;" "&amp;K386&amp;" "&amp;L386&amp;" "&amp;M386&amp;" "&amp;N386</f>
        <v>45</v>
      </c>
      <c r="G386" t="s">
        <f>TEXT(D386,"mmm dd")</f>
        <v>623</v>
      </c>
      <c r="I386" t="s">
        <v>46</v>
      </c>
      <c r="J386" t="s">
        <v>47</v>
      </c>
      <c r="K386" t="s">
        <v>48</v>
      </c>
      <c r="L386" t="s">
        <v>49</v>
      </c>
    </row>
    <row r="387" spans="1:23">
      <c r="A387">
        <v>9</v>
      </c>
      <c r="B387">
        <v>7</v>
      </c>
      <c r="C387">
        <v>2008</v>
      </c>
      <c r="D387" s="3" t="s">
        <f>B387&amp;"/"&amp;A387&amp;"/"&amp;C387</f>
        <v>624</v>
      </c>
      <c r="E387">
        <v>1</v>
      </c>
      <c r="F387" t="s">
        <f>I387&amp;" "&amp;J387&amp;" "&amp;K387&amp;" "&amp;L387&amp;" "&amp;M387&amp;" "&amp;N387</f>
        <v>71</v>
      </c>
      <c r="G387" t="s">
        <f>TEXT(D387,"mmm dd")</f>
        <v>625</v>
      </c>
      <c r="I387" t="s">
        <v>72</v>
      </c>
      <c r="J387" t="s">
        <v>73</v>
      </c>
      <c r="K387" t="s">
        <v>74</v>
      </c>
    </row>
    <row r="388" spans="1:23">
      <c r="A388">
        <v>9</v>
      </c>
      <c r="B388">
        <v>7</v>
      </c>
      <c r="C388">
        <v>2008</v>
      </c>
      <c r="D388" s="3" t="s">
        <f>B388&amp;"/"&amp;A388&amp;"/"&amp;C388</f>
        <v>624</v>
      </c>
      <c r="E388">
        <v>0.9375</v>
      </c>
      <c r="F388" t="s">
        <f>I388&amp;" "&amp;J388&amp;" "&amp;K388&amp;" "&amp;L388&amp;" "&amp;M388&amp;" "&amp;N388</f>
        <v>64</v>
      </c>
      <c r="G388" t="s">
        <f>TEXT(D388,"mmm dd")</f>
        <v>625</v>
      </c>
      <c r="I388" t="s">
        <v>66</v>
      </c>
    </row>
    <row r="389" spans="1:23">
      <c r="A389">
        <v>9</v>
      </c>
      <c r="B389">
        <v>7</v>
      </c>
      <c r="C389">
        <v>2008</v>
      </c>
      <c r="D389" s="3" t="s">
        <f>B389&amp;"/"&amp;A389&amp;"/"&amp;C389</f>
        <v>624</v>
      </c>
      <c r="E389">
        <v>1.0416666666666667</v>
      </c>
      <c r="F389" t="s">
        <f>I389&amp;" "&amp;J389&amp;" "&amp;K389&amp;" "&amp;L389&amp;" "&amp;M389&amp;" "&amp;N389</f>
        <v>68</v>
      </c>
      <c r="G389" t="s">
        <f>TEXT(D389,"mmm dd")</f>
        <v>625</v>
      </c>
      <c r="I389" t="s">
        <v>69</v>
      </c>
    </row>
    <row r="390" spans="1:23">
      <c r="A390">
        <v>9</v>
      </c>
      <c r="B390">
        <v>7</v>
      </c>
      <c r="C390">
        <v>2008</v>
      </c>
      <c r="D390" s="3" t="s">
        <f>B390&amp;"/"&amp;A390&amp;"/"&amp;C390</f>
        <v>624</v>
      </c>
      <c r="E390">
        <v>1</v>
      </c>
      <c r="F390" t="s">
        <f>I390&amp;" "&amp;J390&amp;" "&amp;K390&amp;" "&amp;L390&amp;" "&amp;M390&amp;" "&amp;N390</f>
        <v>71</v>
      </c>
      <c r="G390" t="s">
        <f>TEXT(D390,"mmm dd")</f>
        <v>625</v>
      </c>
      <c r="I390" t="s">
        <v>72</v>
      </c>
      <c r="J390" t="s">
        <v>73</v>
      </c>
      <c r="K390" t="s">
        <v>74</v>
      </c>
    </row>
    <row r="391" spans="1:23">
      <c r="A391">
        <v>9</v>
      </c>
      <c r="B391">
        <v>7</v>
      </c>
      <c r="C391">
        <v>2008</v>
      </c>
      <c r="D391" s="3" t="s">
        <f>B391&amp;"/"&amp;A391&amp;"/"&amp;C391</f>
        <v>624</v>
      </c>
      <c r="E391">
        <v>1.0416666666666667</v>
      </c>
      <c r="F391" t="s">
        <f>I391&amp;" "&amp;J391&amp;" "&amp;K391&amp;" "&amp;L391&amp;" "&amp;M391&amp;" "&amp;N391</f>
        <v>68</v>
      </c>
      <c r="G391" t="s">
        <f>TEXT(D391,"mmm dd")</f>
        <v>625</v>
      </c>
      <c r="I391" t="s">
        <v>69</v>
      </c>
    </row>
    <row r="392" spans="1:23">
      <c r="A392">
        <v>9</v>
      </c>
      <c r="B392">
        <v>7</v>
      </c>
      <c r="C392">
        <v>2008</v>
      </c>
      <c r="D392" s="3" t="s">
        <f>B392&amp;"/"&amp;A392&amp;"/"&amp;C392</f>
        <v>624</v>
      </c>
      <c r="E392">
        <v>0.9375</v>
      </c>
      <c r="F392" t="s">
        <f>I392&amp;" "&amp;J392&amp;" "&amp;K392&amp;" "&amp;L392&amp;" "&amp;M392&amp;" "&amp;N392</f>
        <v>64</v>
      </c>
      <c r="G392" t="s">
        <f>TEXT(D392,"mmm dd")</f>
        <v>625</v>
      </c>
      <c r="I392" t="s">
        <v>66</v>
      </c>
    </row>
    <row r="393" spans="1:23">
      <c r="A393">
        <v>11</v>
      </c>
      <c r="B393">
        <v>7</v>
      </c>
      <c r="C393">
        <v>2008</v>
      </c>
      <c r="D393" s="3" t="s">
        <f>B393&amp;"/"&amp;A393&amp;"/"&amp;C393</f>
        <v>626</v>
      </c>
      <c r="E393" t="s">
        <v>42</v>
      </c>
      <c r="F393" t="s">
        <f>I393&amp;" "&amp;J393&amp;" "&amp;K393&amp;" "&amp;L393&amp;" "&amp;M393&amp;" "&amp;N393</f>
        <v>627</v>
      </c>
      <c r="G393" t="s">
        <f>TEXT(D393,"mmm dd")</f>
        <v>628</v>
      </c>
      <c r="I393" t="s">
        <v>629</v>
      </c>
      <c r="J393" t="s">
        <v>86</v>
      </c>
      <c r="K393" t="s">
        <v>630</v>
      </c>
      <c r="L393" t="s">
        <v>351</v>
      </c>
      <c r="M393" t="s">
        <v>86</v>
      </c>
      <c r="N393" t="s">
        <v>631</v>
      </c>
    </row>
    <row r="394" spans="1:23">
      <c r="A394">
        <v>11</v>
      </c>
      <c r="B394">
        <v>7</v>
      </c>
      <c r="C394">
        <v>2008</v>
      </c>
      <c r="D394" s="3" t="s">
        <f>B394&amp;"/"&amp;A394&amp;"/"&amp;C394</f>
        <v>626</v>
      </c>
      <c r="E394">
        <v>0.16666666666666666</v>
      </c>
      <c r="F394" t="s">
        <f>I394&amp;" "&amp;J394&amp;" "&amp;K394&amp;" "&amp;L394&amp;" "&amp;M394&amp;" "&amp;N394</f>
        <v>632</v>
      </c>
      <c r="G394" t="s">
        <f>TEXT(D394,"mmm dd")</f>
        <v>628</v>
      </c>
      <c r="I394" t="s">
        <v>300</v>
      </c>
      <c r="J394" t="s">
        <v>591</v>
      </c>
      <c r="L394" t="s">
        <v>633</v>
      </c>
      <c r="M394" t="s">
        <v>634</v>
      </c>
      <c r="N394" t="s">
        <v>635</v>
      </c>
      <c r="O394" t="s">
        <v>636</v>
      </c>
    </row>
    <row r="395" spans="1:23">
      <c r="A395">
        <v>11</v>
      </c>
      <c r="B395">
        <v>7</v>
      </c>
      <c r="C395">
        <v>2008</v>
      </c>
      <c r="D395" s="3" t="s">
        <f>B395&amp;"/"&amp;A395&amp;"/"&amp;C395</f>
        <v>626</v>
      </c>
      <c r="E395" t="s">
        <v>42</v>
      </c>
      <c r="F395" t="s">
        <f>I395&amp;" "&amp;J395&amp;" "&amp;K395&amp;" "&amp;L395&amp;" "&amp;M395&amp;" "&amp;N395</f>
        <v>627</v>
      </c>
      <c r="G395" t="s">
        <f>TEXT(D395,"mmm dd")</f>
        <v>628</v>
      </c>
      <c r="I395" t="s">
        <v>629</v>
      </c>
      <c r="J395" t="s">
        <v>86</v>
      </c>
      <c r="K395" t="s">
        <v>630</v>
      </c>
      <c r="L395" t="s">
        <v>351</v>
      </c>
      <c r="M395" t="s">
        <v>86</v>
      </c>
      <c r="N395" t="s">
        <v>631</v>
      </c>
    </row>
    <row r="396" spans="1:23">
      <c r="A396">
        <v>11</v>
      </c>
      <c r="B396">
        <v>7</v>
      </c>
      <c r="C396">
        <v>2008</v>
      </c>
      <c r="D396" s="3" t="s">
        <f>B396&amp;"/"&amp;A396&amp;"/"&amp;C396</f>
        <v>626</v>
      </c>
      <c r="E396">
        <v>0.16666666666666666</v>
      </c>
      <c r="F396" t="s">
        <f>I396&amp;" "&amp;J396&amp;" "&amp;K396&amp;" "&amp;L396&amp;" "&amp;M396&amp;" "&amp;N396</f>
        <v>632</v>
      </c>
      <c r="G396" t="s">
        <f>TEXT(D396,"mmm dd")</f>
        <v>628</v>
      </c>
      <c r="I396" t="s">
        <v>300</v>
      </c>
      <c r="J396" t="s">
        <v>591</v>
      </c>
      <c r="L396" t="s">
        <v>633</v>
      </c>
      <c r="M396" t="s">
        <v>634</v>
      </c>
      <c r="N396" t="s">
        <v>635</v>
      </c>
    </row>
    <row r="397" spans="1:23">
      <c r="A397">
        <v>12</v>
      </c>
      <c r="B397">
        <v>7</v>
      </c>
      <c r="C397">
        <v>2008</v>
      </c>
      <c r="D397" s="3" t="s">
        <f>B397&amp;"/"&amp;A397&amp;"/"&amp;C397</f>
        <v>637</v>
      </c>
      <c r="E397">
        <v>0.3125</v>
      </c>
      <c r="F397" t="s">
        <f>I397&amp;" "&amp;J397&amp;" "&amp;K397&amp;" "&amp;L397&amp;" "&amp;M397&amp;" "&amp;N397</f>
        <v>107</v>
      </c>
      <c r="G397" t="s">
        <f>TEXT(D397,"mmm dd")</f>
        <v>638</v>
      </c>
      <c r="I397" t="s">
        <v>109</v>
      </c>
      <c r="J397" t="s">
        <v>110</v>
      </c>
    </row>
    <row r="398" spans="1:23">
      <c r="A398">
        <v>12</v>
      </c>
      <c r="B398">
        <v>7</v>
      </c>
      <c r="C398">
        <v>2008</v>
      </c>
      <c r="D398" s="3" t="s">
        <f>B398&amp;"/"&amp;A398&amp;"/"&amp;C398</f>
        <v>637</v>
      </c>
      <c r="E398">
        <v>0.3125</v>
      </c>
      <c r="F398" t="s">
        <f>I398&amp;" "&amp;J398&amp;" "&amp;K398&amp;" "&amp;L398&amp;" "&amp;M398&amp;" "&amp;N398</f>
        <v>107</v>
      </c>
      <c r="G398" t="s">
        <f>TEXT(D398,"mmm dd")</f>
        <v>638</v>
      </c>
      <c r="I398" t="s">
        <v>109</v>
      </c>
      <c r="J398" t="s">
        <v>110</v>
      </c>
    </row>
    <row r="399" spans="1:23">
      <c r="A399">
        <v>15</v>
      </c>
      <c r="B399">
        <v>7</v>
      </c>
      <c r="C399">
        <v>2008</v>
      </c>
      <c r="D399" s="3" t="s">
        <f>B399&amp;"/"&amp;A399&amp;"/"&amp;C399</f>
        <v>639</v>
      </c>
      <c r="E399">
        <v>0.88541666666666663</v>
      </c>
      <c r="F399" t="s">
        <f>I399&amp;" "&amp;J399&amp;" "&amp;K399&amp;" "&amp;L399&amp;" "&amp;M399&amp;" "&amp;N399</f>
        <v>45</v>
      </c>
      <c r="G399" t="s">
        <f>TEXT(D399,"mmm dd")</f>
        <v>640</v>
      </c>
      <c r="I399" t="s">
        <v>46</v>
      </c>
      <c r="J399" t="s">
        <v>47</v>
      </c>
      <c r="K399" t="s">
        <v>48</v>
      </c>
      <c r="L399" t="s">
        <v>49</v>
      </c>
      <c r="O399" t="s">
        <v>641</v>
      </c>
      <c r="P399" t="s">
        <v>642</v>
      </c>
    </row>
    <row r="400" spans="1:23">
      <c r="A400">
        <v>15</v>
      </c>
      <c r="B400">
        <v>7</v>
      </c>
      <c r="C400">
        <v>2008</v>
      </c>
      <c r="D400" s="3" t="s">
        <f>B400&amp;"/"&amp;A400&amp;"/"&amp;C400</f>
        <v>639</v>
      </c>
      <c r="E400">
        <v>1</v>
      </c>
      <c r="F400" t="s">
        <f>I400&amp;" "&amp;J400&amp;" "&amp;K400&amp;" "&amp;L400&amp;" "&amp;M400&amp;" "&amp;N400</f>
        <v>643</v>
      </c>
      <c r="G400" t="s">
        <f>TEXT(D400,"mmm dd")</f>
        <v>640</v>
      </c>
      <c r="I400" t="s">
        <v>451</v>
      </c>
      <c r="J400" t="s">
        <v>609</v>
      </c>
    </row>
    <row r="401" spans="1:23">
      <c r="A401">
        <v>15</v>
      </c>
      <c r="B401">
        <v>7</v>
      </c>
      <c r="C401">
        <v>2008</v>
      </c>
      <c r="D401" s="3" t="s">
        <f>B401&amp;"/"&amp;A401&amp;"/"&amp;C401</f>
        <v>639</v>
      </c>
      <c r="E401">
        <v>0.88541666666666663</v>
      </c>
      <c r="F401" t="s">
        <f>I401&amp;" "&amp;J401&amp;" "&amp;K401&amp;" "&amp;L401&amp;" "&amp;M401&amp;" "&amp;N401</f>
        <v>45</v>
      </c>
      <c r="G401" t="s">
        <f>TEXT(D401,"mmm dd")</f>
        <v>640</v>
      </c>
      <c r="I401" t="s">
        <v>46</v>
      </c>
      <c r="J401" t="s">
        <v>47</v>
      </c>
      <c r="K401" t="s">
        <v>48</v>
      </c>
      <c r="L401" t="s">
        <v>49</v>
      </c>
    </row>
    <row r="402" spans="1:23">
      <c r="A402">
        <v>15</v>
      </c>
      <c r="B402">
        <v>7</v>
      </c>
      <c r="C402">
        <v>2008</v>
      </c>
      <c r="D402" s="3" t="s">
        <f>B402&amp;"/"&amp;A402&amp;"/"&amp;C402</f>
        <v>639</v>
      </c>
      <c r="E402">
        <v>1</v>
      </c>
      <c r="F402" t="s">
        <f>I402&amp;" "&amp;J402&amp;" "&amp;K402&amp;" "&amp;L402&amp;" "&amp;M402&amp;" "&amp;N402</f>
        <v>643</v>
      </c>
      <c r="G402" t="s">
        <f>TEXT(D402,"mmm dd")</f>
        <v>640</v>
      </c>
      <c r="I402" t="s">
        <v>451</v>
      </c>
      <c r="J402" t="s">
        <v>609</v>
      </c>
    </row>
    <row r="403" spans="1:23">
      <c r="A403">
        <v>16</v>
      </c>
      <c r="B403">
        <v>7</v>
      </c>
      <c r="C403">
        <v>2008</v>
      </c>
      <c r="D403" s="3" t="s">
        <f>B403&amp;"/"&amp;A403&amp;"/"&amp;C403</f>
        <v>644</v>
      </c>
      <c r="E403">
        <v>0.1875</v>
      </c>
      <c r="F403" t="s">
        <f>I403&amp;" "&amp;J403&amp;" "&amp;K403&amp;" "&amp;L403&amp;" "&amp;M403&amp;" "&amp;N403</f>
        <v>645</v>
      </c>
      <c r="G403" t="s">
        <f>TEXT(D403,"mmm dd")</f>
        <v>646</v>
      </c>
      <c r="I403" t="s">
        <v>647</v>
      </c>
      <c r="J403" t="s">
        <v>648</v>
      </c>
      <c r="K403" t="s">
        <v>439</v>
      </c>
      <c r="L403">
        <v>3</v>
      </c>
    </row>
    <row r="404" spans="1:23">
      <c r="A404">
        <v>16</v>
      </c>
      <c r="B404">
        <v>7</v>
      </c>
      <c r="C404">
        <v>2008</v>
      </c>
      <c r="D404" s="3" t="s">
        <f>B404&amp;"/"&amp;A404&amp;"/"&amp;C404</f>
        <v>644</v>
      </c>
      <c r="E404">
        <v>0.9375</v>
      </c>
      <c r="F404" t="s">
        <f>I404&amp;" "&amp;J404&amp;" "&amp;K404&amp;" "&amp;L404&amp;" "&amp;M404&amp;" "&amp;N404</f>
        <v>64</v>
      </c>
      <c r="G404" t="s">
        <f>TEXT(D404,"mmm dd")</f>
        <v>646</v>
      </c>
      <c r="I404" t="s">
        <v>66</v>
      </c>
    </row>
    <row r="405" spans="1:23">
      <c r="A405">
        <v>16</v>
      </c>
      <c r="B405">
        <v>7</v>
      </c>
      <c r="C405">
        <v>2008</v>
      </c>
      <c r="D405" s="3" t="s">
        <f>B405&amp;"/"&amp;A405&amp;"/"&amp;C405</f>
        <v>644</v>
      </c>
      <c r="E405">
        <v>1.0416666666666667</v>
      </c>
      <c r="F405" t="s">
        <f>I405&amp;" "&amp;J405&amp;" "&amp;K405&amp;" "&amp;L405&amp;" "&amp;M405&amp;" "&amp;N405</f>
        <v>68</v>
      </c>
      <c r="G405" t="s">
        <f>TEXT(D405,"mmm dd")</f>
        <v>646</v>
      </c>
      <c r="I405" t="s">
        <v>69</v>
      </c>
    </row>
    <row r="406" spans="1:23">
      <c r="A406">
        <v>16</v>
      </c>
      <c r="B406">
        <v>7</v>
      </c>
      <c r="C406">
        <v>2008</v>
      </c>
      <c r="D406" s="3" t="s">
        <f>B406&amp;"/"&amp;A406&amp;"/"&amp;C406</f>
        <v>644</v>
      </c>
      <c r="E406">
        <v>1</v>
      </c>
      <c r="F406" t="s">
        <f>I406&amp;" "&amp;J406&amp;" "&amp;K406&amp;" "&amp;L406&amp;" "&amp;M406&amp;" "&amp;N406</f>
        <v>71</v>
      </c>
      <c r="G406" t="s">
        <f>TEXT(D406,"mmm dd")</f>
        <v>646</v>
      </c>
      <c r="I406" t="s">
        <v>72</v>
      </c>
      <c r="J406" t="s">
        <v>73</v>
      </c>
      <c r="K406" t="s">
        <v>74</v>
      </c>
    </row>
    <row r="407" spans="1:23">
      <c r="A407">
        <v>16</v>
      </c>
      <c r="B407">
        <v>7</v>
      </c>
      <c r="C407">
        <v>2008</v>
      </c>
      <c r="D407" s="3" t="s">
        <f>B407&amp;"/"&amp;A407&amp;"/"&amp;C407</f>
        <v>644</v>
      </c>
      <c r="E407">
        <v>0.96180555555555558</v>
      </c>
      <c r="F407" t="s">
        <f>I407&amp;" "&amp;J407&amp;" "&amp;K407&amp;" "&amp;L407&amp;" "&amp;M407&amp;" "&amp;N407</f>
        <v>649</v>
      </c>
      <c r="G407" t="s">
        <f>TEXT(D407,"mmm dd")</f>
        <v>646</v>
      </c>
      <c r="I407" t="s">
        <v>496</v>
      </c>
      <c r="J407" t="s">
        <v>497</v>
      </c>
      <c r="K407" t="s">
        <v>498</v>
      </c>
      <c r="L407" t="s">
        <v>650</v>
      </c>
    </row>
    <row r="408" spans="1:23">
      <c r="A408">
        <v>16</v>
      </c>
      <c r="B408">
        <v>7</v>
      </c>
      <c r="C408">
        <v>2008</v>
      </c>
      <c r="D408" s="3" t="s">
        <f>B408&amp;"/"&amp;A408&amp;"/"&amp;C408</f>
        <v>644</v>
      </c>
      <c r="E408">
        <v>1</v>
      </c>
      <c r="F408" t="s">
        <f>I408&amp;" "&amp;J408&amp;" "&amp;K408&amp;" "&amp;L408&amp;" "&amp;M408&amp;" "&amp;N408</f>
        <v>71</v>
      </c>
      <c r="G408" t="s">
        <f>TEXT(D408,"mmm dd")</f>
        <v>646</v>
      </c>
      <c r="I408" t="s">
        <v>72</v>
      </c>
      <c r="J408" t="s">
        <v>73</v>
      </c>
      <c r="K408" t="s">
        <v>74</v>
      </c>
    </row>
    <row r="409" spans="1:23">
      <c r="A409">
        <v>16</v>
      </c>
      <c r="B409">
        <v>7</v>
      </c>
      <c r="C409">
        <v>2008</v>
      </c>
      <c r="D409" s="3" t="s">
        <f>B409&amp;"/"&amp;A409&amp;"/"&amp;C409</f>
        <v>644</v>
      </c>
      <c r="E409">
        <v>0.96180555555555558</v>
      </c>
      <c r="F409" t="s">
        <f>I409&amp;" "&amp;J409&amp;" "&amp;K409&amp;" "&amp;L409&amp;" "&amp;M409&amp;" "&amp;N409</f>
        <v>649</v>
      </c>
      <c r="G409" t="s">
        <f>TEXT(D409,"mmm dd")</f>
        <v>646</v>
      </c>
      <c r="I409" t="s">
        <v>496</v>
      </c>
      <c r="J409" t="s">
        <v>497</v>
      </c>
      <c r="K409" t="s">
        <v>498</v>
      </c>
      <c r="L409" t="s">
        <v>650</v>
      </c>
      <c r="O409" t="s">
        <v>651</v>
      </c>
    </row>
    <row r="410" spans="1:23">
      <c r="A410">
        <v>16</v>
      </c>
      <c r="B410">
        <v>7</v>
      </c>
      <c r="C410">
        <v>2008</v>
      </c>
      <c r="D410" s="3" t="s">
        <f>B410&amp;"/"&amp;A410&amp;"/"&amp;C410</f>
        <v>644</v>
      </c>
      <c r="E410">
        <v>0.1875</v>
      </c>
      <c r="F410" t="s">
        <f>I410&amp;" "&amp;J410&amp;" "&amp;K410&amp;" "&amp;L410&amp;" "&amp;M410&amp;" "&amp;N410</f>
        <v>645</v>
      </c>
      <c r="G410" t="s">
        <f>TEXT(D410,"mmm dd")</f>
        <v>646</v>
      </c>
      <c r="I410" t="s">
        <v>647</v>
      </c>
      <c r="J410" t="s">
        <v>648</v>
      </c>
      <c r="K410" t="s">
        <v>439</v>
      </c>
      <c r="L410">
        <v>3</v>
      </c>
    </row>
    <row r="411" spans="1:23">
      <c r="A411">
        <v>16</v>
      </c>
      <c r="B411">
        <v>7</v>
      </c>
      <c r="C411">
        <v>2008</v>
      </c>
      <c r="D411" s="3" t="s">
        <f>B411&amp;"/"&amp;A411&amp;"/"&amp;C411</f>
        <v>644</v>
      </c>
      <c r="E411">
        <v>1.0416666666666667</v>
      </c>
      <c r="F411" t="s">
        <f>I411&amp;" "&amp;J411&amp;" "&amp;K411&amp;" "&amp;L411&amp;" "&amp;M411&amp;" "&amp;N411</f>
        <v>68</v>
      </c>
      <c r="G411" t="s">
        <f>TEXT(D411,"mmm dd")</f>
        <v>646</v>
      </c>
      <c r="I411" t="s">
        <v>69</v>
      </c>
    </row>
    <row r="412" spans="1:23">
      <c r="A412">
        <v>16</v>
      </c>
      <c r="B412">
        <v>7</v>
      </c>
      <c r="C412">
        <v>2008</v>
      </c>
      <c r="D412" s="3" t="s">
        <f>B412&amp;"/"&amp;A412&amp;"/"&amp;C412</f>
        <v>644</v>
      </c>
      <c r="E412">
        <v>0.9375</v>
      </c>
      <c r="F412" t="s">
        <f>I412&amp;" "&amp;J412&amp;" "&amp;K412&amp;" "&amp;L412&amp;" "&amp;M412&amp;" "&amp;N412</f>
        <v>64</v>
      </c>
      <c r="G412" t="s">
        <f>TEXT(D412,"mmm dd")</f>
        <v>646</v>
      </c>
      <c r="I412" t="s">
        <v>66</v>
      </c>
    </row>
    <row r="413" spans="1:23">
      <c r="A413">
        <v>17</v>
      </c>
      <c r="B413">
        <v>7</v>
      </c>
      <c r="C413">
        <v>2008</v>
      </c>
      <c r="D413" s="3" t="s">
        <f>B413&amp;"/"&amp;A413&amp;"/"&amp;C413</f>
        <v>652</v>
      </c>
      <c r="E413" t="s">
        <v>42</v>
      </c>
      <c r="F413" t="s">
        <f>I413&amp;" "&amp;J413&amp;" "&amp;K413&amp;" "&amp;L413&amp;" "&amp;M413&amp;" "&amp;N413</f>
        <v>155</v>
      </c>
      <c r="G413" t="s">
        <f>TEXT(D413,"mmm dd")</f>
        <v>653</v>
      </c>
      <c r="I413" t="s">
        <v>156</v>
      </c>
      <c r="J413" t="s">
        <v>157</v>
      </c>
    </row>
    <row r="414" spans="1:23">
      <c r="A414">
        <v>17</v>
      </c>
      <c r="B414">
        <v>7</v>
      </c>
      <c r="C414">
        <v>2008</v>
      </c>
      <c r="D414" s="3" t="s">
        <f>B414&amp;"/"&amp;A414&amp;"/"&amp;C414</f>
        <v>652</v>
      </c>
      <c r="E414">
        <v>1.0833333333333333</v>
      </c>
      <c r="F414" t="s">
        <f>I414&amp;" "&amp;J414&amp;" "&amp;K414&amp;" "&amp;L414&amp;" "&amp;M414&amp;" "&amp;N414</f>
        <v>186</v>
      </c>
      <c r="G414" t="s">
        <f>TEXT(D414,"mmm dd")</f>
        <v>653</v>
      </c>
      <c r="I414" t="s">
        <v>188</v>
      </c>
      <c r="J414" t="s">
        <v>189</v>
      </c>
      <c r="K414" t="s">
        <v>190</v>
      </c>
    </row>
    <row r="415" spans="1:23">
      <c r="A415">
        <v>17</v>
      </c>
      <c r="B415">
        <v>7</v>
      </c>
      <c r="C415">
        <v>2008</v>
      </c>
      <c r="D415" s="3" t="s">
        <f>B415&amp;"/"&amp;A415&amp;"/"&amp;C415</f>
        <v>652</v>
      </c>
      <c r="E415" t="s">
        <v>42</v>
      </c>
      <c r="F415" t="s">
        <f>I415&amp;" "&amp;J415&amp;" "&amp;K415&amp;" "&amp;L415&amp;" "&amp;M415&amp;" "&amp;N415</f>
        <v>654</v>
      </c>
      <c r="G415" t="s">
        <f>TEXT(D415,"mmm dd")</f>
        <v>653</v>
      </c>
      <c r="I415" t="s">
        <v>143</v>
      </c>
      <c r="J415" t="s">
        <v>655</v>
      </c>
      <c r="K415" t="s">
        <v>85</v>
      </c>
      <c r="L415" t="s">
        <v>86</v>
      </c>
      <c r="M415" t="s">
        <v>656</v>
      </c>
      <c r="N415">
        <v>1836</v>
      </c>
    </row>
    <row r="416" spans="1:23">
      <c r="A416">
        <v>17</v>
      </c>
      <c r="B416">
        <v>7</v>
      </c>
      <c r="C416">
        <v>2008</v>
      </c>
      <c r="D416" s="3" t="s">
        <f>B416&amp;"/"&amp;A416&amp;"/"&amp;C416</f>
        <v>652</v>
      </c>
      <c r="E416" t="s">
        <v>42</v>
      </c>
      <c r="F416" t="s">
        <f>I416&amp;" "&amp;J416&amp;" "&amp;K416&amp;" "&amp;L416&amp;" "&amp;M416&amp;" "&amp;N416</f>
        <v>654</v>
      </c>
      <c r="G416" t="s">
        <f>TEXT(D416,"mmm dd")</f>
        <v>653</v>
      </c>
      <c r="I416" t="s">
        <v>143</v>
      </c>
      <c r="J416" t="s">
        <v>655</v>
      </c>
      <c r="K416" t="s">
        <v>85</v>
      </c>
      <c r="L416" t="s">
        <v>86</v>
      </c>
      <c r="M416" t="s">
        <v>656</v>
      </c>
      <c r="N416">
        <v>1836</v>
      </c>
    </row>
    <row r="417" spans="1:23">
      <c r="A417">
        <v>17</v>
      </c>
      <c r="B417">
        <v>7</v>
      </c>
      <c r="C417">
        <v>2008</v>
      </c>
      <c r="D417" s="3" t="s">
        <f>B417&amp;"/"&amp;A417&amp;"/"&amp;C417</f>
        <v>652</v>
      </c>
      <c r="E417" t="s">
        <v>42</v>
      </c>
      <c r="F417" t="s">
        <f>I417&amp;" "&amp;J417&amp;" "&amp;K417&amp;" "&amp;L417&amp;" "&amp;M417&amp;" "&amp;N417</f>
        <v>155</v>
      </c>
      <c r="G417" t="s">
        <f>TEXT(D417,"mmm dd")</f>
        <v>653</v>
      </c>
      <c r="I417" t="s">
        <v>156</v>
      </c>
      <c r="J417" t="s">
        <v>157</v>
      </c>
    </row>
    <row r="418" spans="1:23">
      <c r="A418">
        <v>17</v>
      </c>
      <c r="B418">
        <v>7</v>
      </c>
      <c r="C418">
        <v>2008</v>
      </c>
      <c r="D418" s="3" t="s">
        <f>B418&amp;"/"&amp;A418&amp;"/"&amp;C418</f>
        <v>652</v>
      </c>
      <c r="E418">
        <v>1.0833333333333333</v>
      </c>
      <c r="F418" t="s">
        <f>I418&amp;" "&amp;J418&amp;" "&amp;K418&amp;" "&amp;L418&amp;" "&amp;M418&amp;" "&amp;N418</f>
        <v>186</v>
      </c>
      <c r="G418" t="s">
        <f>TEXT(D418,"mmm dd")</f>
        <v>653</v>
      </c>
      <c r="I418" t="s">
        <v>188</v>
      </c>
      <c r="J418" t="s">
        <v>189</v>
      </c>
      <c r="K418" t="s">
        <v>190</v>
      </c>
    </row>
    <row r="419" spans="1:23">
      <c r="A419">
        <v>18</v>
      </c>
      <c r="B419">
        <v>7</v>
      </c>
      <c r="C419">
        <v>2008</v>
      </c>
      <c r="D419" s="3" t="s">
        <f>B419&amp;"/"&amp;A419&amp;"/"&amp;C419</f>
        <v>657</v>
      </c>
      <c r="E419">
        <v>0.29166666666666669</v>
      </c>
      <c r="F419" t="s">
        <f>I419&amp;" "&amp;J419&amp;" "&amp;K419&amp;" "&amp;L419&amp;" "&amp;M419&amp;" "&amp;N419</f>
        <v>192</v>
      </c>
      <c r="G419" t="s">
        <f>TEXT(D419,"mmm dd")</f>
        <v>658</v>
      </c>
      <c r="I419" t="s">
        <v>194</v>
      </c>
    </row>
    <row r="420" spans="1:23">
      <c r="A420">
        <v>18</v>
      </c>
      <c r="B420">
        <v>7</v>
      </c>
      <c r="C420">
        <v>2008</v>
      </c>
      <c r="D420" s="3" t="s">
        <f>B420&amp;"/"&amp;A420&amp;"/"&amp;C420</f>
        <v>657</v>
      </c>
      <c r="E420">
        <v>0.29166666666666669</v>
      </c>
      <c r="F420" t="s">
        <f>I420&amp;" "&amp;J420&amp;" "&amp;K420&amp;" "&amp;L420&amp;" "&amp;M420&amp;" "&amp;N420</f>
        <v>192</v>
      </c>
      <c r="G420" t="s">
        <f>TEXT(D420,"mmm dd")</f>
        <v>658</v>
      </c>
      <c r="I420" t="s">
        <v>194</v>
      </c>
    </row>
    <row r="421" spans="1:23">
      <c r="A421">
        <v>19</v>
      </c>
      <c r="B421">
        <v>7</v>
      </c>
      <c r="C421">
        <v>2008</v>
      </c>
      <c r="D421" s="3" t="s">
        <f>B421&amp;"/"&amp;A421&amp;"/"&amp;C421</f>
        <v>659</v>
      </c>
      <c r="E421">
        <v>0.3125</v>
      </c>
      <c r="F421" t="s">
        <f>I421&amp;" "&amp;J421&amp;" "&amp;K421&amp;" "&amp;L421&amp;" "&amp;M421&amp;" "&amp;N421</f>
        <v>107</v>
      </c>
      <c r="G421" t="s">
        <f>TEXT(D421,"mmm dd")</f>
        <v>28</v>
      </c>
      <c r="I421" t="s">
        <v>109</v>
      </c>
      <c r="J421" t="s">
        <v>110</v>
      </c>
    </row>
    <row r="422" spans="1:23">
      <c r="A422">
        <v>19</v>
      </c>
      <c r="B422">
        <v>7</v>
      </c>
      <c r="C422">
        <v>2008</v>
      </c>
      <c r="D422" s="3" t="s">
        <f>B422&amp;"/"&amp;A422&amp;"/"&amp;C422</f>
        <v>659</v>
      </c>
      <c r="E422" t="s">
        <v>42</v>
      </c>
      <c r="F422" t="s">
        <f>I422&amp;" "&amp;J422&amp;" "&amp;K422&amp;" "&amp;L422&amp;" "&amp;M422&amp;" "&amp;N422</f>
        <v>660</v>
      </c>
      <c r="G422" t="s">
        <f>TEXT(D422,"mmm dd")</f>
        <v>28</v>
      </c>
      <c r="I422" t="s">
        <v>661</v>
      </c>
      <c r="J422">
        <v>379</v>
      </c>
    </row>
    <row r="423" spans="1:23">
      <c r="A423">
        <v>19</v>
      </c>
      <c r="B423">
        <v>7</v>
      </c>
      <c r="C423">
        <v>2008</v>
      </c>
      <c r="D423" s="3" t="s">
        <f>B423&amp;"/"&amp;A423&amp;"/"&amp;C423</f>
        <v>659</v>
      </c>
      <c r="E423" t="s">
        <v>42</v>
      </c>
      <c r="F423" t="s">
        <f>I423&amp;" "&amp;J423&amp;" "&amp;K423&amp;" "&amp;L423&amp;" "&amp;M423&amp;" "&amp;N423</f>
        <v>660</v>
      </c>
      <c r="G423" t="s">
        <f>TEXT(D423,"mmm dd")</f>
        <v>28</v>
      </c>
      <c r="I423" t="s">
        <v>661</v>
      </c>
      <c r="J423">
        <v>379</v>
      </c>
    </row>
    <row r="424" spans="1:23">
      <c r="A424">
        <v>19</v>
      </c>
      <c r="B424">
        <v>7</v>
      </c>
      <c r="C424">
        <v>2008</v>
      </c>
      <c r="D424" s="3" t="s">
        <f>B424&amp;"/"&amp;A424&amp;"/"&amp;C424</f>
        <v>659</v>
      </c>
      <c r="E424">
        <v>0.3125</v>
      </c>
      <c r="F424" t="s">
        <f>I424&amp;" "&amp;J424&amp;" "&amp;K424&amp;" "&amp;L424&amp;" "&amp;M424&amp;" "&amp;N424</f>
        <v>107</v>
      </c>
      <c r="G424" t="s">
        <f>TEXT(D424,"mmm dd")</f>
        <v>28</v>
      </c>
      <c r="I424" t="s">
        <v>109</v>
      </c>
      <c r="J424" t="s">
        <v>110</v>
      </c>
      <c r="O424" t="s">
        <v>418</v>
      </c>
      <c r="P424" t="inlineStr">
        <is>
          <t>back</t>
        </is>
      </c>
    </row>
    <row r="425" spans="1:23">
      <c r="A425">
        <v>20</v>
      </c>
      <c r="B425">
        <v>7</v>
      </c>
      <c r="C425">
        <v>2008</v>
      </c>
      <c r="D425" s="3" t="s">
        <f>B425&amp;"/"&amp;A425&amp;"/"&amp;C425</f>
        <v>662</v>
      </c>
      <c r="E425" t="s">
        <v>42</v>
      </c>
      <c r="F425" t="s">
        <f>I425&amp;" "&amp;J425&amp;" "&amp;K425&amp;" "&amp;L425&amp;" "&amp;M425&amp;" "&amp;N425</f>
        <v>663</v>
      </c>
      <c r="G425" t="s">
        <f>TEXT(D425,"mmm dd")</f>
        <v>29</v>
      </c>
      <c r="I425" t="s">
        <v>664</v>
      </c>
      <c r="J425" t="s">
        <v>665</v>
      </c>
      <c r="K425" t="s">
        <v>666</v>
      </c>
      <c r="L425" t="s">
        <v>667</v>
      </c>
      <c r="M425" t="s">
        <v>668</v>
      </c>
      <c r="N425" t="s">
        <v>669</v>
      </c>
    </row>
    <row r="426" spans="1:23">
      <c r="A426">
        <v>20</v>
      </c>
      <c r="B426">
        <v>7</v>
      </c>
      <c r="C426">
        <v>2008</v>
      </c>
      <c r="D426" s="3" t="s">
        <f>B426&amp;"/"&amp;A426&amp;"/"&amp;C426</f>
        <v>662</v>
      </c>
      <c r="E426" t="s">
        <v>42</v>
      </c>
      <c r="F426" t="s">
        <f>I426&amp;" "&amp;J426&amp;" "&amp;K426&amp;" "&amp;L426&amp;" "&amp;M426&amp;" "&amp;N426</f>
        <v>663</v>
      </c>
      <c r="G426" t="s">
        <f>TEXT(D426,"mmm dd")</f>
        <v>29</v>
      </c>
      <c r="I426" t="s">
        <v>664</v>
      </c>
      <c r="J426" t="s">
        <v>665</v>
      </c>
      <c r="K426" t="s">
        <v>666</v>
      </c>
      <c r="L426" t="s">
        <v>667</v>
      </c>
      <c r="M426" t="s">
        <v>668</v>
      </c>
      <c r="N426" t="s">
        <v>669</v>
      </c>
    </row>
    <row r="427" spans="1:23">
      <c r="A427">
        <v>21</v>
      </c>
      <c r="B427">
        <v>7</v>
      </c>
      <c r="C427">
        <v>2008</v>
      </c>
      <c r="D427" s="3" t="s">
        <f>B427&amp;"/"&amp;A427&amp;"/"&amp;C427</f>
        <v>670</v>
      </c>
      <c r="E427">
        <v>0.125</v>
      </c>
      <c r="F427" t="s">
        <f>I427&amp;" "&amp;J427&amp;" "&amp;K427&amp;" "&amp;L427&amp;" "&amp;M427&amp;" "&amp;N427</f>
        <v>671</v>
      </c>
      <c r="G427" t="s">
        <f>TEXT(D427,"mmm dd")</f>
        <v>672</v>
      </c>
      <c r="I427" t="s">
        <v>300</v>
      </c>
      <c r="J427" t="s">
        <v>591</v>
      </c>
      <c r="L427" t="s">
        <v>673</v>
      </c>
      <c r="P427" t="s">
        <v>674</v>
      </c>
      <c r="Q427" t="s">
        <v>675</v>
      </c>
    </row>
    <row r="428" spans="1:23">
      <c r="A428">
        <v>21</v>
      </c>
      <c r="B428">
        <v>7</v>
      </c>
      <c r="C428">
        <v>2008</v>
      </c>
      <c r="D428" s="3" t="s">
        <f>B428&amp;"/"&amp;A428&amp;"/"&amp;C428</f>
        <v>670</v>
      </c>
      <c r="E428">
        <v>0.125</v>
      </c>
      <c r="F428" t="s">
        <f>I428&amp;" "&amp;J428&amp;" "&amp;K428&amp;" "&amp;L428&amp;" "&amp;M428&amp;" "&amp;N428</f>
        <v>671</v>
      </c>
      <c r="G428" t="s">
        <f>TEXT(D428,"mmm dd")</f>
        <v>672</v>
      </c>
      <c r="I428" t="s">
        <v>300</v>
      </c>
      <c r="J428" t="s">
        <v>591</v>
      </c>
      <c r="L428" t="s">
        <v>673</v>
      </c>
    </row>
    <row r="429" spans="1:23">
      <c r="A429">
        <v>22</v>
      </c>
      <c r="B429">
        <v>7</v>
      </c>
      <c r="C429">
        <v>2008</v>
      </c>
      <c r="D429" s="3" t="s">
        <f>B429&amp;"/"&amp;A429&amp;"/"&amp;C429</f>
        <v>676</v>
      </c>
      <c r="E429" t="s">
        <v>42</v>
      </c>
      <c r="F429" t="s">
        <f>I429&amp;" "&amp;J429&amp;" "&amp;K429&amp;" "&amp;L429&amp;" "&amp;M429&amp;" "&amp;N429</f>
        <v>677</v>
      </c>
      <c r="G429" t="s">
        <f>TEXT(D429,"mmm dd")</f>
        <v>678</v>
      </c>
      <c r="I429" t="s">
        <v>228</v>
      </c>
      <c r="J429" t="s">
        <v>410</v>
      </c>
      <c r="K429" t="s">
        <v>679</v>
      </c>
    </row>
    <row r="430" spans="1:23">
      <c r="A430">
        <v>22</v>
      </c>
      <c r="B430">
        <v>7</v>
      </c>
      <c r="C430">
        <v>2008</v>
      </c>
      <c r="D430" s="3" t="s">
        <f>B430&amp;"/"&amp;A430&amp;"/"&amp;C430</f>
        <v>676</v>
      </c>
      <c r="E430">
        <v>0.88541666666666663</v>
      </c>
      <c r="F430" t="s">
        <f>I430&amp;" "&amp;J430&amp;" "&amp;K430&amp;" "&amp;L430&amp;" "&amp;M430&amp;" "&amp;N430</f>
        <v>45</v>
      </c>
      <c r="G430" t="s">
        <f>TEXT(D430,"mmm dd")</f>
        <v>678</v>
      </c>
      <c r="I430" t="s">
        <v>46</v>
      </c>
      <c r="J430" t="s">
        <v>47</v>
      </c>
      <c r="K430" t="s">
        <v>48</v>
      </c>
      <c r="L430" t="s">
        <v>49</v>
      </c>
    </row>
    <row r="431" spans="1:23">
      <c r="A431">
        <v>22</v>
      </c>
      <c r="B431">
        <v>7</v>
      </c>
      <c r="C431">
        <v>2008</v>
      </c>
      <c r="D431" s="3" t="s">
        <f>B431&amp;"/"&amp;A431&amp;"/"&amp;C431</f>
        <v>676</v>
      </c>
      <c r="E431" t="s">
        <v>42</v>
      </c>
      <c r="F431" t="s">
        <f>I431&amp;" "&amp;J431&amp;" "&amp;K431&amp;" "&amp;L431&amp;" "&amp;M431&amp;" "&amp;N431</f>
        <v>677</v>
      </c>
      <c r="G431" t="s">
        <f>TEXT(D431,"mmm dd")</f>
        <v>678</v>
      </c>
      <c r="I431" t="s">
        <v>228</v>
      </c>
      <c r="J431" t="s">
        <v>410</v>
      </c>
      <c r="K431" t="s">
        <v>679</v>
      </c>
    </row>
    <row r="432" spans="1:23">
      <c r="A432">
        <v>22</v>
      </c>
      <c r="B432">
        <v>7</v>
      </c>
      <c r="C432">
        <v>2008</v>
      </c>
      <c r="D432" s="3" t="s">
        <f>B432&amp;"/"&amp;A432&amp;"/"&amp;C432</f>
        <v>676</v>
      </c>
      <c r="E432">
        <v>0.88541666666666663</v>
      </c>
      <c r="F432" t="s">
        <f>I432&amp;" "&amp;J432&amp;" "&amp;K432&amp;" "&amp;L432&amp;" "&amp;M432&amp;" "&amp;N432</f>
        <v>45</v>
      </c>
      <c r="G432" t="s">
        <f>TEXT(D432,"mmm dd")</f>
        <v>678</v>
      </c>
      <c r="I432" t="s">
        <v>46</v>
      </c>
      <c r="J432" t="s">
        <v>47</v>
      </c>
      <c r="K432" t="s">
        <v>48</v>
      </c>
      <c r="L432" t="s">
        <v>49</v>
      </c>
    </row>
    <row r="433" spans="1:23">
      <c r="A433">
        <v>23</v>
      </c>
      <c r="B433">
        <v>7</v>
      </c>
      <c r="C433">
        <v>2008</v>
      </c>
      <c r="D433" s="3" t="s">
        <f>B433&amp;"/"&amp;A433&amp;"/"&amp;C433</f>
        <v>680</v>
      </c>
      <c r="E433">
        <v>1</v>
      </c>
      <c r="F433" t="s">
        <f>I433&amp;" "&amp;J433&amp;" "&amp;K433&amp;" "&amp;L433&amp;" "&amp;M433&amp;" "&amp;N433</f>
        <v>71</v>
      </c>
      <c r="G433" t="s">
        <f>TEXT(D433,"mmm dd")</f>
        <v>681</v>
      </c>
      <c r="I433" t="s">
        <v>72</v>
      </c>
      <c r="J433" t="s">
        <v>73</v>
      </c>
      <c r="K433" t="s">
        <v>74</v>
      </c>
    </row>
    <row r="434" spans="1:23">
      <c r="A434">
        <v>23</v>
      </c>
      <c r="B434">
        <v>7</v>
      </c>
      <c r="C434">
        <v>2008</v>
      </c>
      <c r="D434" s="3" t="s">
        <f>B434&amp;"/"&amp;A434&amp;"/"&amp;C434</f>
        <v>680</v>
      </c>
      <c r="E434">
        <v>0.9375</v>
      </c>
      <c r="F434" t="s">
        <f>I434&amp;" "&amp;J434&amp;" "&amp;K434&amp;" "&amp;L434&amp;" "&amp;M434&amp;" "&amp;N434</f>
        <v>64</v>
      </c>
      <c r="G434" t="s">
        <f>TEXT(D434,"mmm dd")</f>
        <v>681</v>
      </c>
      <c r="I434" t="s">
        <v>66</v>
      </c>
    </row>
    <row r="435" spans="1:23">
      <c r="A435">
        <v>23</v>
      </c>
      <c r="B435">
        <v>7</v>
      </c>
      <c r="C435">
        <v>2008</v>
      </c>
      <c r="D435" s="3" t="s">
        <f>B435&amp;"/"&amp;A435&amp;"/"&amp;C435</f>
        <v>680</v>
      </c>
      <c r="E435">
        <v>1.0416666666666667</v>
      </c>
      <c r="F435" t="s">
        <f>I435&amp;" "&amp;J435&amp;" "&amp;K435&amp;" "&amp;L435&amp;" "&amp;M435&amp;" "&amp;N435</f>
        <v>68</v>
      </c>
      <c r="G435" t="s">
        <f>TEXT(D435,"mmm dd")</f>
        <v>681</v>
      </c>
      <c r="I435" t="s">
        <v>69</v>
      </c>
    </row>
    <row r="436" spans="1:23">
      <c r="A436">
        <v>23</v>
      </c>
      <c r="B436">
        <v>7</v>
      </c>
      <c r="C436">
        <v>2008</v>
      </c>
      <c r="D436" s="3" t="s">
        <f>B436&amp;"/"&amp;A436&amp;"/"&amp;C436</f>
        <v>680</v>
      </c>
      <c r="E436">
        <v>0.9375</v>
      </c>
      <c r="F436" t="s">
        <f>I436&amp;" "&amp;J436&amp;" "&amp;K436&amp;" "&amp;L436&amp;" "&amp;M436&amp;" "&amp;N436</f>
        <v>64</v>
      </c>
      <c r="G436" t="s">
        <f>TEXT(D436,"mmm dd")</f>
        <v>681</v>
      </c>
      <c r="I436" t="s">
        <v>66</v>
      </c>
    </row>
    <row r="437" spans="1:23">
      <c r="A437">
        <v>23</v>
      </c>
      <c r="B437">
        <v>7</v>
      </c>
      <c r="C437">
        <v>2008</v>
      </c>
      <c r="D437" s="3" t="s">
        <f>B437&amp;"/"&amp;A437&amp;"/"&amp;C437</f>
        <v>680</v>
      </c>
      <c r="E437">
        <v>1</v>
      </c>
      <c r="F437" t="s">
        <f>I437&amp;" "&amp;J437&amp;" "&amp;K437&amp;" "&amp;L437&amp;" "&amp;M437&amp;" "&amp;N437</f>
        <v>71</v>
      </c>
      <c r="G437" t="s">
        <f>TEXT(D437,"mmm dd")</f>
        <v>681</v>
      </c>
      <c r="I437" t="s">
        <v>72</v>
      </c>
      <c r="J437" t="s">
        <v>73</v>
      </c>
      <c r="K437" t="s">
        <v>74</v>
      </c>
    </row>
    <row r="438" spans="1:23">
      <c r="A438">
        <v>23</v>
      </c>
      <c r="B438">
        <v>7</v>
      </c>
      <c r="C438">
        <v>2008</v>
      </c>
      <c r="D438" s="3" t="s">
        <f>B438&amp;"/"&amp;A438&amp;"/"&amp;C438</f>
        <v>680</v>
      </c>
      <c r="E438">
        <v>1.0416666666666667</v>
      </c>
      <c r="F438" t="s">
        <f>I438&amp;" "&amp;J438&amp;" "&amp;K438&amp;" "&amp;L438&amp;" "&amp;M438&amp;" "&amp;N438</f>
        <v>68</v>
      </c>
      <c r="G438" t="s">
        <f>TEXT(D438,"mmm dd")</f>
        <v>681</v>
      </c>
      <c r="I438" t="s">
        <v>69</v>
      </c>
    </row>
    <row r="439" spans="1:23">
      <c r="A439">
        <v>24</v>
      </c>
      <c r="B439">
        <v>7</v>
      </c>
      <c r="C439">
        <v>2008</v>
      </c>
      <c r="D439" s="3" t="s">
        <f>B439&amp;"/"&amp;A439&amp;"/"&amp;C439</f>
        <v>682</v>
      </c>
      <c r="E439" t="s">
        <v>42</v>
      </c>
      <c r="F439" t="s">
        <f>I439&amp;" "&amp;J439&amp;" "&amp;K439&amp;" "&amp;L439&amp;" "&amp;M439&amp;" "&amp;N439</f>
        <v>683</v>
      </c>
      <c r="G439" t="s">
        <f>TEXT(D439,"mmm dd")</f>
        <v>684</v>
      </c>
      <c r="I439" t="s">
        <v>685</v>
      </c>
      <c r="J439" t="s">
        <v>686</v>
      </c>
      <c r="K439" t="s">
        <v>687</v>
      </c>
      <c r="L439" t="s">
        <v>61</v>
      </c>
      <c r="M439">
        <v>1471</v>
      </c>
    </row>
    <row r="440" spans="1:23">
      <c r="A440">
        <v>24</v>
      </c>
      <c r="B440">
        <v>7</v>
      </c>
      <c r="C440">
        <v>2008</v>
      </c>
      <c r="D440" s="3" t="s">
        <f>B440&amp;"/"&amp;A440&amp;"/"&amp;C440</f>
        <v>682</v>
      </c>
      <c r="E440" t="s">
        <v>42</v>
      </c>
      <c r="F440" t="s">
        <f>I440&amp;" "&amp;J440&amp;" "&amp;K440&amp;" "&amp;L440&amp;" "&amp;M440&amp;" "&amp;N440</f>
        <v>683</v>
      </c>
      <c r="G440" t="s">
        <f>TEXT(D440,"mmm dd")</f>
        <v>684</v>
      </c>
      <c r="I440" t="s">
        <v>685</v>
      </c>
      <c r="J440" t="s">
        <v>686</v>
      </c>
      <c r="K440" t="s">
        <v>687</v>
      </c>
      <c r="L440" t="s">
        <v>61</v>
      </c>
      <c r="M440">
        <v>1471</v>
      </c>
    </row>
    <row r="441" spans="1:23">
      <c r="A441">
        <v>25</v>
      </c>
      <c r="B441">
        <v>7</v>
      </c>
      <c r="C441">
        <v>2008</v>
      </c>
      <c r="D441" s="3" t="s">
        <f>B441&amp;"/"&amp;A441&amp;"/"&amp;C441</f>
        <v>688</v>
      </c>
      <c r="E441" t="s">
        <v>42</v>
      </c>
      <c r="F441" t="s">
        <f>I441&amp;" "&amp;J441&amp;" "&amp;K441&amp;" "&amp;L441&amp;" "&amp;M441&amp;" "&amp;N441</f>
        <v>689</v>
      </c>
      <c r="G441" t="s">
        <f>TEXT(D441,"mmm dd")</f>
        <v>25</v>
      </c>
      <c r="I441" t="s">
        <v>228</v>
      </c>
      <c r="J441" t="s">
        <v>77</v>
      </c>
      <c r="K441" t="s">
        <v>139</v>
      </c>
      <c r="L441" t="s">
        <v>490</v>
      </c>
    </row>
    <row r="442" spans="1:23">
      <c r="A442">
        <v>25</v>
      </c>
      <c r="B442">
        <v>7</v>
      </c>
      <c r="C442">
        <v>2008</v>
      </c>
      <c r="D442" s="3" t="s">
        <f>B442&amp;"/"&amp;A442&amp;"/"&amp;C442</f>
        <v>688</v>
      </c>
      <c r="E442">
        <v>0.3125</v>
      </c>
      <c r="F442" t="s">
        <f>I442&amp;" "&amp;J442&amp;" "&amp;K442&amp;" "&amp;L442&amp;" "&amp;M442&amp;" "&amp;N442</f>
        <v>690</v>
      </c>
      <c r="G442" t="s">
        <f>TEXT(D442,"mmm dd")</f>
        <v>25</v>
      </c>
      <c r="I442" t="s">
        <v>691</v>
      </c>
      <c r="J442" t="s">
        <v>194</v>
      </c>
      <c r="O442" t="inlineStr">
        <is>
          <t>von</t>
        </is>
      </c>
      <c r="P442" t="s">
        <v>692</v>
      </c>
    </row>
    <row r="443" spans="1:23">
      <c r="A443">
        <v>25</v>
      </c>
      <c r="B443">
        <v>7</v>
      </c>
      <c r="C443">
        <v>2008</v>
      </c>
      <c r="D443" s="3" t="s">
        <f>B443&amp;"/"&amp;A443&amp;"/"&amp;C443</f>
        <v>688</v>
      </c>
      <c r="E443">
        <v>0.3125</v>
      </c>
      <c r="F443" t="s">
        <f>I443&amp;" "&amp;J443&amp;" "&amp;K443&amp;" "&amp;L443&amp;" "&amp;M443&amp;" "&amp;N443</f>
        <v>690</v>
      </c>
      <c r="G443" t="s">
        <f>TEXT(D443,"mmm dd")</f>
        <v>25</v>
      </c>
      <c r="I443" t="s">
        <v>691</v>
      </c>
      <c r="J443" t="s">
        <v>194</v>
      </c>
    </row>
    <row r="444" spans="1:23">
      <c r="A444">
        <v>25</v>
      </c>
      <c r="B444">
        <v>7</v>
      </c>
      <c r="C444">
        <v>2008</v>
      </c>
      <c r="D444" s="3" t="s">
        <f>B444&amp;"/"&amp;A444&amp;"/"&amp;C444</f>
        <v>688</v>
      </c>
      <c r="E444" t="s">
        <v>42</v>
      </c>
      <c r="F444" t="s">
        <f>I444&amp;" "&amp;J444&amp;" "&amp;K444&amp;" "&amp;L444&amp;" "&amp;M444&amp;" "&amp;N444</f>
        <v>689</v>
      </c>
      <c r="G444" t="s">
        <f>TEXT(D444,"mmm dd")</f>
        <v>25</v>
      </c>
      <c r="I444" t="s">
        <v>228</v>
      </c>
      <c r="J444" t="s">
        <v>77</v>
      </c>
      <c r="K444" t="s">
        <v>139</v>
      </c>
      <c r="L444" t="s">
        <v>490</v>
      </c>
    </row>
    <row r="445" spans="1:23">
      <c r="A445">
        <v>26</v>
      </c>
      <c r="B445">
        <v>7</v>
      </c>
      <c r="C445">
        <v>2008</v>
      </c>
      <c r="D445" s="3" t="s">
        <f>B445&amp;"/"&amp;A445&amp;"/"&amp;C445</f>
        <v>693</v>
      </c>
      <c r="E445">
        <v>0.3125</v>
      </c>
      <c r="F445" t="s">
        <f>I445&amp;" "&amp;J445&amp;" "&amp;K445&amp;" "&amp;L445&amp;" "&amp;M445&amp;" "&amp;N445</f>
        <v>107</v>
      </c>
      <c r="G445" t="s">
        <f>TEXT(D445,"mmm dd")</f>
        <v>27</v>
      </c>
      <c r="I445" t="s">
        <v>109</v>
      </c>
      <c r="J445" t="s">
        <v>110</v>
      </c>
    </row>
    <row r="446" spans="1:23">
      <c r="A446">
        <v>26</v>
      </c>
      <c r="B446">
        <v>7</v>
      </c>
      <c r="C446">
        <v>2008</v>
      </c>
      <c r="D446" s="3" t="s">
        <f>B446&amp;"/"&amp;A446&amp;"/"&amp;C446</f>
        <v>693</v>
      </c>
      <c r="E446" t="s">
        <v>42</v>
      </c>
      <c r="F446" t="s">
        <f>I446&amp;" "&amp;J446&amp;" "&amp;K446&amp;" "&amp;L446&amp;" "&amp;M446&amp;" "&amp;N446</f>
        <v>694</v>
      </c>
      <c r="G446" t="s">
        <f>TEXT(D446,"mmm dd")</f>
        <v>27</v>
      </c>
      <c r="I446" t="s">
        <v>407</v>
      </c>
      <c r="J446" t="s">
        <v>695</v>
      </c>
      <c r="K446" t="s">
        <v>86</v>
      </c>
      <c r="L446" t="s">
        <v>139</v>
      </c>
      <c r="M446" t="s">
        <v>696</v>
      </c>
      <c r="N446" t="s">
        <v>409</v>
      </c>
    </row>
    <row r="447" spans="1:23">
      <c r="A447">
        <v>26</v>
      </c>
      <c r="B447">
        <v>7</v>
      </c>
      <c r="C447">
        <v>2008</v>
      </c>
      <c r="D447" s="3" t="s">
        <f>B447&amp;"/"&amp;A447&amp;"/"&amp;C447</f>
        <v>693</v>
      </c>
      <c r="E447">
        <v>0.3125</v>
      </c>
      <c r="F447" t="s">
        <f>I447&amp;" "&amp;J447&amp;" "&amp;K447&amp;" "&amp;L447&amp;" "&amp;M447&amp;" "&amp;N447</f>
        <v>107</v>
      </c>
      <c r="G447" t="s">
        <f>TEXT(D447,"mmm dd")</f>
        <v>27</v>
      </c>
      <c r="I447" t="s">
        <v>109</v>
      </c>
      <c r="J447" t="s">
        <v>110</v>
      </c>
    </row>
    <row r="448" spans="1:23">
      <c r="A448">
        <v>26</v>
      </c>
      <c r="B448">
        <v>7</v>
      </c>
      <c r="C448">
        <v>2008</v>
      </c>
      <c r="D448" s="3" t="s">
        <f>B448&amp;"/"&amp;A448&amp;"/"&amp;C448</f>
        <v>693</v>
      </c>
      <c r="E448" t="s">
        <v>42</v>
      </c>
      <c r="F448" t="s">
        <f>I448&amp;" "&amp;J448&amp;" "&amp;K448&amp;" "&amp;L448&amp;" "&amp;M448&amp;" "&amp;N448</f>
        <v>694</v>
      </c>
      <c r="G448" t="s">
        <f>TEXT(D448,"mmm dd")</f>
        <v>27</v>
      </c>
      <c r="I448" t="s">
        <v>407</v>
      </c>
      <c r="J448" t="s">
        <v>695</v>
      </c>
      <c r="K448" t="s">
        <v>86</v>
      </c>
      <c r="L448" t="s">
        <v>139</v>
      </c>
      <c r="M448" t="s">
        <v>696</v>
      </c>
      <c r="N448" t="s">
        <v>409</v>
      </c>
    </row>
    <row r="449" spans="1:23">
      <c r="A449">
        <v>27</v>
      </c>
      <c r="B449">
        <v>7</v>
      </c>
      <c r="C449">
        <v>2008</v>
      </c>
      <c r="D449" s="3" t="s">
        <f>B449&amp;"/"&amp;A449&amp;"/"&amp;C449</f>
        <v>697</v>
      </c>
      <c r="E449" t="s">
        <v>42</v>
      </c>
      <c r="F449" t="s">
        <f>I449&amp;" "&amp;J449&amp;" "&amp;K449&amp;" "&amp;L449&amp;" "&amp;M449&amp;" "&amp;N449</f>
        <v>698</v>
      </c>
      <c r="G449" t="s">
        <f>TEXT(D449,"mmm dd")</f>
        <v>699</v>
      </c>
      <c r="I449" t="s">
        <v>143</v>
      </c>
      <c r="J449" t="s">
        <v>700</v>
      </c>
      <c r="K449" t="s">
        <v>701</v>
      </c>
      <c r="L449" t="s">
        <v>61</v>
      </c>
      <c r="M449">
        <v>1909</v>
      </c>
    </row>
    <row r="450" spans="1:23">
      <c r="A450">
        <v>27</v>
      </c>
      <c r="B450">
        <v>7</v>
      </c>
      <c r="C450">
        <v>2008</v>
      </c>
      <c r="D450" s="3" t="s">
        <f>B450&amp;"/"&amp;A450&amp;"/"&amp;C450</f>
        <v>697</v>
      </c>
      <c r="E450" t="s">
        <v>42</v>
      </c>
      <c r="F450" t="s">
        <f>I450&amp;" "&amp;J450&amp;" "&amp;K450&amp;" "&amp;L450&amp;" "&amp;M450&amp;" "&amp;N450</f>
        <v>698</v>
      </c>
      <c r="G450" t="s">
        <f>TEXT(D450,"mmm dd")</f>
        <v>699</v>
      </c>
      <c r="I450" t="s">
        <v>143</v>
      </c>
      <c r="J450" t="s">
        <v>700</v>
      </c>
      <c r="K450" t="s">
        <v>701</v>
      </c>
      <c r="L450" t="s">
        <v>61</v>
      </c>
      <c r="M450">
        <v>1909</v>
      </c>
      <c r="O450" t="s">
        <v>702</v>
      </c>
    </row>
    <row r="451" spans="1:23">
      <c r="A451">
        <v>29</v>
      </c>
      <c r="B451">
        <v>7</v>
      </c>
      <c r="C451">
        <v>2008</v>
      </c>
      <c r="D451" s="3" t="s">
        <f>B451&amp;"/"&amp;A451&amp;"/"&amp;C451</f>
        <v>703</v>
      </c>
      <c r="E451" t="s">
        <v>42</v>
      </c>
      <c r="F451" t="s">
        <f>I451&amp;" "&amp;J451&amp;" "&amp;K451&amp;" "&amp;L451&amp;" "&amp;M451&amp;" "&amp;N451</f>
        <v>704</v>
      </c>
      <c r="G451" t="s">
        <f>TEXT(D451,"mmm dd")</f>
        <v>705</v>
      </c>
      <c r="I451" t="s">
        <v>410</v>
      </c>
      <c r="J451" t="s">
        <v>135</v>
      </c>
      <c r="K451" t="s">
        <v>706</v>
      </c>
      <c r="L451" t="s">
        <v>86</v>
      </c>
      <c r="M451" t="s">
        <v>707</v>
      </c>
    </row>
    <row r="452" spans="1:23">
      <c r="A452">
        <v>29</v>
      </c>
      <c r="B452">
        <v>7</v>
      </c>
      <c r="C452">
        <v>2008</v>
      </c>
      <c r="D452" s="3" t="s">
        <f>B452&amp;"/"&amp;A452&amp;"/"&amp;C452</f>
        <v>703</v>
      </c>
      <c r="E452">
        <v>0.88541666666666663</v>
      </c>
      <c r="F452" t="s">
        <f>I452&amp;" "&amp;J452&amp;" "&amp;K452&amp;" "&amp;L452&amp;" "&amp;M452&amp;" "&amp;N452</f>
        <v>45</v>
      </c>
      <c r="G452" t="s">
        <f>TEXT(D452,"mmm dd")</f>
        <v>705</v>
      </c>
      <c r="I452" t="s">
        <v>46</v>
      </c>
      <c r="J452" t="s">
        <v>47</v>
      </c>
      <c r="K452" t="s">
        <v>48</v>
      </c>
      <c r="L452" t="s">
        <v>49</v>
      </c>
    </row>
    <row r="453" spans="1:23">
      <c r="A453">
        <v>29</v>
      </c>
      <c r="B453">
        <v>7</v>
      </c>
      <c r="C453">
        <v>2008</v>
      </c>
      <c r="D453" s="3" t="s">
        <f>B453&amp;"/"&amp;A453&amp;"/"&amp;C453</f>
        <v>703</v>
      </c>
      <c r="E453" t="s">
        <v>42</v>
      </c>
      <c r="F453" t="s">
        <f>I453&amp;" "&amp;J453&amp;" "&amp;K453&amp;" "&amp;L453&amp;" "&amp;M453&amp;" "&amp;N453</f>
        <v>704</v>
      </c>
      <c r="G453" t="s">
        <f>TEXT(D453,"mmm dd")</f>
        <v>705</v>
      </c>
      <c r="I453" t="s">
        <v>410</v>
      </c>
      <c r="J453" t="s">
        <v>135</v>
      </c>
      <c r="K453" t="s">
        <v>706</v>
      </c>
      <c r="L453" t="s">
        <v>86</v>
      </c>
      <c r="M453" t="s">
        <v>707</v>
      </c>
    </row>
    <row r="454" spans="1:23">
      <c r="A454">
        <v>29</v>
      </c>
      <c r="B454">
        <v>7</v>
      </c>
      <c r="C454">
        <v>2008</v>
      </c>
      <c r="D454" s="3" t="s">
        <f>B454&amp;"/"&amp;A454&amp;"/"&amp;C454</f>
        <v>703</v>
      </c>
      <c r="E454">
        <v>0.88541666666666663</v>
      </c>
      <c r="F454" t="s">
        <f>I454&amp;" "&amp;J454&amp;" "&amp;K454&amp;" "&amp;L454&amp;" "&amp;M454&amp;" "&amp;N454</f>
        <v>45</v>
      </c>
      <c r="G454" t="s">
        <f>TEXT(D454,"mmm dd")</f>
        <v>705</v>
      </c>
      <c r="I454" t="s">
        <v>46</v>
      </c>
      <c r="J454" t="s">
        <v>47</v>
      </c>
      <c r="K454" t="s">
        <v>48</v>
      </c>
      <c r="L454" t="s">
        <v>49</v>
      </c>
    </row>
    <row r="455" spans="1:23">
      <c r="A455">
        <v>30</v>
      </c>
      <c r="B455">
        <v>7</v>
      </c>
      <c r="C455">
        <v>2008</v>
      </c>
      <c r="D455" s="3" t="s">
        <f>B455&amp;"/"&amp;A455&amp;"/"&amp;C455</f>
        <v>708</v>
      </c>
      <c r="E455">
        <v>0.9375</v>
      </c>
      <c r="F455" t="s">
        <f>I455&amp;" "&amp;J455&amp;" "&amp;K455&amp;" "&amp;L455&amp;" "&amp;M455&amp;" "&amp;N455</f>
        <v>64</v>
      </c>
      <c r="G455" t="s">
        <f>TEXT(D455,"mmm dd")</f>
        <v>709</v>
      </c>
      <c r="I455" t="s">
        <v>66</v>
      </c>
    </row>
    <row r="456" spans="1:23">
      <c r="A456">
        <v>30</v>
      </c>
      <c r="B456">
        <v>7</v>
      </c>
      <c r="C456">
        <v>2008</v>
      </c>
      <c r="D456" s="3" t="s">
        <f>B456&amp;"/"&amp;A456&amp;"/"&amp;C456</f>
        <v>708</v>
      </c>
      <c r="E456">
        <v>1.0416666666666667</v>
      </c>
      <c r="F456" t="s">
        <f>I456&amp;" "&amp;J456&amp;" "&amp;K456&amp;" "&amp;L456&amp;" "&amp;M456&amp;" "&amp;N456</f>
        <v>68</v>
      </c>
      <c r="G456" t="s">
        <f>TEXT(D456,"mmm dd")</f>
        <v>709</v>
      </c>
      <c r="I456" t="s">
        <v>69</v>
      </c>
    </row>
    <row r="457" spans="1:23">
      <c r="A457">
        <v>30</v>
      </c>
      <c r="B457">
        <v>7</v>
      </c>
      <c r="C457">
        <v>2008</v>
      </c>
      <c r="D457" s="3" t="s">
        <f>B457&amp;"/"&amp;A457&amp;"/"&amp;C457</f>
        <v>708</v>
      </c>
      <c r="E457">
        <v>1</v>
      </c>
      <c r="F457" t="s">
        <f>I457&amp;" "&amp;J457&amp;" "&amp;K457&amp;" "&amp;L457&amp;" "&amp;M457&amp;" "&amp;N457</f>
        <v>71</v>
      </c>
      <c r="G457" t="s">
        <f>TEXT(D457,"mmm dd")</f>
        <v>709</v>
      </c>
      <c r="I457" t="s">
        <v>72</v>
      </c>
      <c r="J457" t="s">
        <v>73</v>
      </c>
      <c r="K457" t="s">
        <v>74</v>
      </c>
    </row>
    <row r="458" spans="1:23">
      <c r="A458">
        <v>30</v>
      </c>
      <c r="B458">
        <v>7</v>
      </c>
      <c r="C458">
        <v>2008</v>
      </c>
      <c r="D458" s="3" t="s">
        <f>B458&amp;"/"&amp;A458&amp;"/"&amp;C458</f>
        <v>708</v>
      </c>
      <c r="E458" t="s">
        <v>42</v>
      </c>
      <c r="F458" t="s">
        <f>I458&amp;" "&amp;J458&amp;" "&amp;K458&amp;" "&amp;L458&amp;" "&amp;M458&amp;" "&amp;N458</f>
        <v>710</v>
      </c>
      <c r="G458" t="s">
        <f>TEXT(D458,"mmm dd")</f>
        <v>709</v>
      </c>
      <c r="I458" t="s">
        <v>143</v>
      </c>
      <c r="J458" t="s">
        <v>711</v>
      </c>
      <c r="K458">
        <v>1833</v>
      </c>
    </row>
    <row r="459" spans="1:23">
      <c r="A459">
        <v>30</v>
      </c>
      <c r="B459">
        <v>7</v>
      </c>
      <c r="C459">
        <v>2008</v>
      </c>
      <c r="D459" s="3" t="s">
        <f>B459&amp;"/"&amp;A459&amp;"/"&amp;C459</f>
        <v>708</v>
      </c>
      <c r="E459" t="s">
        <v>42</v>
      </c>
      <c r="F459" t="s">
        <f>I459&amp;" "&amp;J459&amp;" "&amp;K459&amp;" "&amp;L459&amp;" "&amp;M459&amp;" "&amp;N459</f>
        <v>710</v>
      </c>
      <c r="G459" t="s">
        <f>TEXT(D459,"mmm dd")</f>
        <v>709</v>
      </c>
      <c r="I459" t="s">
        <v>143</v>
      </c>
      <c r="J459" t="s">
        <v>711</v>
      </c>
      <c r="K459">
        <v>1833</v>
      </c>
    </row>
    <row r="460" spans="1:23">
      <c r="A460">
        <v>30</v>
      </c>
      <c r="B460">
        <v>7</v>
      </c>
      <c r="C460">
        <v>2008</v>
      </c>
      <c r="D460" s="3" t="s">
        <f>B460&amp;"/"&amp;A460&amp;"/"&amp;C460</f>
        <v>708</v>
      </c>
      <c r="E460">
        <v>0.9375</v>
      </c>
      <c r="F460" t="s">
        <f>I460&amp;" "&amp;J460&amp;" "&amp;K460&amp;" "&amp;L460&amp;" "&amp;M460&amp;" "&amp;N460</f>
        <v>64</v>
      </c>
      <c r="G460" t="s">
        <f>TEXT(D460,"mmm dd")</f>
        <v>709</v>
      </c>
      <c r="I460" t="s">
        <v>66</v>
      </c>
    </row>
    <row r="461" spans="1:23">
      <c r="A461">
        <v>30</v>
      </c>
      <c r="B461">
        <v>7</v>
      </c>
      <c r="C461">
        <v>2008</v>
      </c>
      <c r="D461" s="3" t="s">
        <f>B461&amp;"/"&amp;A461&amp;"/"&amp;C461</f>
        <v>708</v>
      </c>
      <c r="E461">
        <v>1</v>
      </c>
      <c r="F461" t="s">
        <f>I461&amp;" "&amp;J461&amp;" "&amp;K461&amp;" "&amp;L461&amp;" "&amp;M461&amp;" "&amp;N461</f>
        <v>71</v>
      </c>
      <c r="G461" t="s">
        <f>TEXT(D461,"mmm dd")</f>
        <v>709</v>
      </c>
      <c r="I461" t="s">
        <v>72</v>
      </c>
      <c r="J461" t="s">
        <v>73</v>
      </c>
      <c r="K461" t="s">
        <v>74</v>
      </c>
    </row>
    <row r="462" spans="1:23">
      <c r="A462">
        <v>30</v>
      </c>
      <c r="B462">
        <v>7</v>
      </c>
      <c r="C462">
        <v>2008</v>
      </c>
      <c r="D462" s="3" t="s">
        <f>B462&amp;"/"&amp;A462&amp;"/"&amp;C462</f>
        <v>708</v>
      </c>
      <c r="E462">
        <v>1.0416666666666667</v>
      </c>
      <c r="F462" t="s">
        <f>I462&amp;" "&amp;J462&amp;" "&amp;K462&amp;" "&amp;L462&amp;" "&amp;M462&amp;" "&amp;N462</f>
        <v>68</v>
      </c>
      <c r="G462" t="s">
        <f>TEXT(D462,"mmm dd")</f>
        <v>709</v>
      </c>
      <c r="I462" t="s">
        <v>69</v>
      </c>
    </row>
    <row r="463" spans="1:23">
      <c r="A463">
        <v>31</v>
      </c>
      <c r="B463">
        <v>7</v>
      </c>
      <c r="C463">
        <v>2008</v>
      </c>
      <c r="D463" s="3" t="s">
        <f>B463&amp;"/"&amp;A463&amp;"/"&amp;C463</f>
        <v>712</v>
      </c>
      <c r="E463" t="s">
        <v>42</v>
      </c>
      <c r="F463" t="s">
        <f>I463&amp;" "&amp;J463&amp;" "&amp;K463&amp;" "&amp;L463&amp;" "&amp;M463&amp;" "&amp;N463</f>
        <v>713</v>
      </c>
      <c r="G463" t="s">
        <f>TEXT(D463,"mmm dd")</f>
        <v>714</v>
      </c>
      <c r="I463" t="s">
        <v>715</v>
      </c>
      <c r="J463" t="s">
        <v>86</v>
      </c>
      <c r="K463" t="s">
        <v>716</v>
      </c>
      <c r="L463">
        <v>1556</v>
      </c>
    </row>
    <row r="464" spans="1:23">
      <c r="A464">
        <v>31</v>
      </c>
      <c r="B464">
        <v>7</v>
      </c>
      <c r="C464">
        <v>2008</v>
      </c>
      <c r="D464" s="3" t="s">
        <f>B464&amp;"/"&amp;A464&amp;"/"&amp;C464</f>
        <v>712</v>
      </c>
      <c r="E464" t="s">
        <v>42</v>
      </c>
      <c r="F464" t="s">
        <f>I464&amp;" "&amp;J464&amp;" "&amp;K464&amp;" "&amp;L464&amp;" "&amp;M464&amp;" "&amp;N464</f>
        <v>155</v>
      </c>
      <c r="G464" t="s">
        <f>TEXT(D464,"mmm dd")</f>
        <v>714</v>
      </c>
      <c r="I464" t="s">
        <v>156</v>
      </c>
      <c r="J464" t="s">
        <v>157</v>
      </c>
    </row>
    <row r="465" spans="1:23">
      <c r="A465">
        <v>31</v>
      </c>
      <c r="B465">
        <v>7</v>
      </c>
      <c r="C465">
        <v>2008</v>
      </c>
      <c r="D465" s="3" t="s">
        <f>B465&amp;"/"&amp;A465&amp;"/"&amp;C465</f>
        <v>712</v>
      </c>
      <c r="E465" t="s">
        <v>42</v>
      </c>
      <c r="F465" t="s">
        <f>I465&amp;" "&amp;J465&amp;" "&amp;K465&amp;" "&amp;L465&amp;" "&amp;M465&amp;" "&amp;N465</f>
        <v>717</v>
      </c>
      <c r="G465" t="s">
        <f>TEXT(D465,"mmm dd")</f>
        <v>714</v>
      </c>
      <c r="I465" t="s">
        <v>456</v>
      </c>
      <c r="J465" t="s">
        <v>718</v>
      </c>
    </row>
    <row r="466" spans="1:23">
      <c r="A466">
        <v>31</v>
      </c>
      <c r="B466">
        <v>7</v>
      </c>
      <c r="C466">
        <v>2008</v>
      </c>
      <c r="D466" s="3" t="s">
        <f>B466&amp;"/"&amp;A466&amp;"/"&amp;C466</f>
        <v>712</v>
      </c>
      <c r="E466">
        <v>0.25</v>
      </c>
      <c r="F466" t="s">
        <f>I466&amp;" "&amp;J466&amp;" "&amp;K466&amp;" "&amp;L466&amp;" "&amp;M466&amp;" "&amp;N466</f>
        <v>719</v>
      </c>
      <c r="G466" t="s">
        <f>TEXT(D466,"mmm dd")</f>
        <v>714</v>
      </c>
      <c r="I466" t="s">
        <v>720</v>
      </c>
      <c r="J466" t="s">
        <v>439</v>
      </c>
      <c r="K466" t="s">
        <v>721</v>
      </c>
    </row>
    <row r="467" spans="1:23">
      <c r="A467">
        <v>31</v>
      </c>
      <c r="B467">
        <v>7</v>
      </c>
      <c r="C467">
        <v>2008</v>
      </c>
      <c r="D467" s="3" t="s">
        <f>B467&amp;"/"&amp;A467&amp;"/"&amp;C467</f>
        <v>712</v>
      </c>
      <c r="E467" t="s">
        <v>42</v>
      </c>
      <c r="F467" t="s">
        <f>I467&amp;" "&amp;J467&amp;" "&amp;K467&amp;" "&amp;L467&amp;" "&amp;M467&amp;" "&amp;N467</f>
        <v>717</v>
      </c>
      <c r="G467" t="s">
        <f>TEXT(D467,"mmm dd")</f>
        <v>714</v>
      </c>
      <c r="I467" t="s">
        <v>456</v>
      </c>
      <c r="J467" t="s">
        <v>718</v>
      </c>
    </row>
    <row r="468" spans="1:23">
      <c r="A468">
        <v>31</v>
      </c>
      <c r="B468">
        <v>7</v>
      </c>
      <c r="C468">
        <v>2008</v>
      </c>
      <c r="D468" s="3" t="s">
        <f>B468&amp;"/"&amp;A468&amp;"/"&amp;C468</f>
        <v>712</v>
      </c>
      <c r="E468" t="s">
        <v>42</v>
      </c>
      <c r="F468" t="s">
        <f>I468&amp;" "&amp;J468&amp;" "&amp;K468&amp;" "&amp;L468&amp;" "&amp;M468&amp;" "&amp;N468</f>
        <v>713</v>
      </c>
      <c r="G468" t="s">
        <f>TEXT(D468,"mmm dd")</f>
        <v>714</v>
      </c>
      <c r="I468" t="s">
        <v>715</v>
      </c>
      <c r="J468" t="s">
        <v>86</v>
      </c>
      <c r="K468" t="s">
        <v>716</v>
      </c>
      <c r="L468">
        <v>1556</v>
      </c>
    </row>
    <row r="469" spans="1:23">
      <c r="A469">
        <v>31</v>
      </c>
      <c r="B469">
        <v>7</v>
      </c>
      <c r="C469">
        <v>2008</v>
      </c>
      <c r="D469" s="3" t="s">
        <f>B469&amp;"/"&amp;A469&amp;"/"&amp;C469</f>
        <v>712</v>
      </c>
      <c r="E469" t="s">
        <v>42</v>
      </c>
      <c r="F469" t="s">
        <f>I469&amp;" "&amp;J469&amp;" "&amp;K469&amp;" "&amp;L469&amp;" "&amp;M469&amp;" "&amp;N469</f>
        <v>155</v>
      </c>
      <c r="G469" t="s">
        <f>TEXT(D469,"mmm dd")</f>
        <v>714</v>
      </c>
      <c r="I469" t="s">
        <v>156</v>
      </c>
      <c r="J469" t="s">
        <v>157</v>
      </c>
    </row>
    <row r="470" spans="1:23">
      <c r="A470">
        <v>31</v>
      </c>
      <c r="B470">
        <v>7</v>
      </c>
      <c r="C470">
        <v>2008</v>
      </c>
      <c r="D470" s="3" t="s">
        <f>B470&amp;"/"&amp;A470&amp;"/"&amp;C470</f>
        <v>712</v>
      </c>
      <c r="E470">
        <v>0.25</v>
      </c>
      <c r="F470" t="s">
        <f>I470&amp;" "&amp;J470&amp;" "&amp;K470&amp;" "&amp;L470&amp;" "&amp;M470&amp;" "&amp;N470</f>
        <v>719</v>
      </c>
      <c r="G470" t="s">
        <f>TEXT(D470,"mmm dd")</f>
        <v>714</v>
      </c>
      <c r="I470" t="s">
        <v>720</v>
      </c>
      <c r="J470" t="s">
        <v>439</v>
      </c>
      <c r="K470" t="s">
        <v>721</v>
      </c>
    </row>
    <row r="471" spans="1:23">
      <c r="A471">
        <v>2</v>
      </c>
      <c r="B471">
        <v>8</v>
      </c>
      <c r="C471">
        <v>2008</v>
      </c>
      <c r="D471" s="3" t="s">
        <f>B471&amp;"/"&amp;A471&amp;"/"&amp;C471</f>
        <v>722</v>
      </c>
      <c r="E471">
        <v>0.9375</v>
      </c>
      <c r="F471" t="s">
        <f>I471&amp;" "&amp;J471&amp;" "&amp;K471&amp;" "&amp;L471&amp;" "&amp;M471&amp;" "&amp;N471</f>
        <v>723</v>
      </c>
      <c r="G471" t="s">
        <f>TEXT(D471,"mmm dd")</f>
        <v>724</v>
      </c>
      <c r="I471" t="s">
        <v>725</v>
      </c>
      <c r="J471" t="s">
        <v>449</v>
      </c>
      <c r="K471" t="s">
        <v>726</v>
      </c>
    </row>
    <row r="472" spans="1:23">
      <c r="A472">
        <v>2</v>
      </c>
      <c r="B472">
        <v>8</v>
      </c>
      <c r="C472">
        <v>2008</v>
      </c>
      <c r="D472" s="3" t="s">
        <f>B472&amp;"/"&amp;A472&amp;"/"&amp;C472</f>
        <v>722</v>
      </c>
      <c r="E472">
        <v>0.9375</v>
      </c>
      <c r="F472" t="s">
        <f>I472&amp;" "&amp;J472&amp;" "&amp;K472&amp;" "&amp;L472&amp;" "&amp;M472&amp;" "&amp;N472</f>
        <v>723</v>
      </c>
      <c r="G472" t="s">
        <f>TEXT(D472,"mmm dd")</f>
        <v>724</v>
      </c>
      <c r="I472" t="s">
        <v>725</v>
      </c>
      <c r="J472" t="s">
        <v>449</v>
      </c>
      <c r="K472" t="s">
        <v>726</v>
      </c>
    </row>
    <row r="473" spans="1:23">
      <c r="A473">
        <v>9</v>
      </c>
      <c r="B473">
        <v>8</v>
      </c>
      <c r="C473">
        <v>2008</v>
      </c>
      <c r="D473" s="3" t="s">
        <f>B473&amp;"/"&amp;A473&amp;"/"&amp;C473</f>
        <v>727</v>
      </c>
      <c r="E473">
        <v>0.91666666666666663</v>
      </c>
      <c r="F473" t="s">
        <f>I473&amp;" "&amp;J473&amp;" "&amp;K473&amp;" "&amp;L473&amp;" "&amp;M473&amp;" "&amp;N473</f>
        <v>728</v>
      </c>
      <c r="G473" t="s">
        <f>TEXT(D473,"mmm dd")</f>
        <v>729</v>
      </c>
      <c r="I473" t="s">
        <v>730</v>
      </c>
      <c r="J473" t="s">
        <v>73</v>
      </c>
      <c r="K473" t="s">
        <v>731</v>
      </c>
    </row>
    <row r="474" spans="1:23">
      <c r="A474">
        <v>9</v>
      </c>
      <c r="B474">
        <v>8</v>
      </c>
      <c r="C474">
        <v>2008</v>
      </c>
      <c r="D474" s="3" t="s">
        <f>B474&amp;"/"&amp;A474&amp;"/"&amp;C474</f>
        <v>727</v>
      </c>
      <c r="E474">
        <v>0.91666666666666663</v>
      </c>
      <c r="F474" t="s">
        <f>I474&amp;" "&amp;J474&amp;" "&amp;K474&amp;" "&amp;L474&amp;" "&amp;M474&amp;" "&amp;N474</f>
        <v>728</v>
      </c>
      <c r="G474" t="s">
        <f>TEXT(D474,"mmm dd")</f>
        <v>729</v>
      </c>
      <c r="I474" t="s">
        <v>730</v>
      </c>
      <c r="J474" t="s">
        <v>73</v>
      </c>
      <c r="K474" t="s">
        <v>731</v>
      </c>
    </row>
    <row r="475" spans="1:23">
      <c r="A475">
        <v>10</v>
      </c>
      <c r="B475">
        <v>8</v>
      </c>
      <c r="C475">
        <v>2008</v>
      </c>
      <c r="D475" s="3" t="s">
        <f>B475&amp;"/"&amp;A475&amp;"/"&amp;C475</f>
        <v>732</v>
      </c>
      <c r="E475">
        <v>0.27083333333333331</v>
      </c>
      <c r="F475" t="s">
        <f>I475&amp;" "&amp;J475&amp;" "&amp;K475&amp;" "&amp;L475&amp;" "&amp;M475&amp;" "&amp;N475</f>
        <v>733</v>
      </c>
      <c r="G475" t="s">
        <f>TEXT(D475,"mmm dd")</f>
        <v>734</v>
      </c>
      <c r="I475" t="s">
        <v>548</v>
      </c>
      <c r="J475" t="s">
        <v>473</v>
      </c>
      <c r="K475" t="s">
        <v>735</v>
      </c>
    </row>
    <row r="476" spans="1:23">
      <c r="A476">
        <v>10</v>
      </c>
      <c r="B476">
        <v>8</v>
      </c>
      <c r="C476">
        <v>2008</v>
      </c>
      <c r="D476" s="3" t="s">
        <f>B476&amp;"/"&amp;A476&amp;"/"&amp;C476</f>
        <v>732</v>
      </c>
      <c r="E476">
        <v>0.14583333333333334</v>
      </c>
      <c r="F476" t="s">
        <f>I476&amp;" "&amp;J476&amp;" "&amp;K476&amp;" "&amp;L476&amp;" "&amp;M476&amp;" "&amp;N476</f>
        <v>736</v>
      </c>
      <c r="G476" t="s">
        <f>TEXT(D476,"mmm dd")</f>
        <v>734</v>
      </c>
      <c r="I476" t="s">
        <v>721</v>
      </c>
      <c r="J476" t="s">
        <v>737</v>
      </c>
    </row>
    <row r="477" spans="1:23">
      <c r="A477">
        <v>10</v>
      </c>
      <c r="B477">
        <v>8</v>
      </c>
      <c r="C477">
        <v>2008</v>
      </c>
      <c r="D477" s="3" t="s">
        <f>B477&amp;"/"&amp;A477&amp;"/"&amp;C477</f>
        <v>732</v>
      </c>
      <c r="E477">
        <v>0.20833333333333334</v>
      </c>
      <c r="F477" t="s">
        <f>I477&amp;" "&amp;J477&amp;" "&amp;K477&amp;" "&amp;L477&amp;" "&amp;M477&amp;" "&amp;N477</f>
        <v>738</v>
      </c>
      <c r="G477" t="s">
        <f>TEXT(D477,"mmm dd")</f>
        <v>734</v>
      </c>
      <c r="I477" t="s">
        <v>739</v>
      </c>
      <c r="J477" t="s">
        <v>740</v>
      </c>
      <c r="K477" t="s">
        <v>741</v>
      </c>
    </row>
    <row r="478" spans="1:23">
      <c r="A478">
        <v>10</v>
      </c>
      <c r="B478">
        <v>8</v>
      </c>
      <c r="C478">
        <v>2008</v>
      </c>
      <c r="D478" s="3" t="s">
        <f>B478&amp;"/"&amp;A478&amp;"/"&amp;C478</f>
        <v>732</v>
      </c>
      <c r="E478">
        <v>0.27083333333333331</v>
      </c>
      <c r="F478" t="s">
        <f>I478&amp;" "&amp;J478&amp;" "&amp;K478&amp;" "&amp;L478&amp;" "&amp;M478&amp;" "&amp;N478</f>
        <v>733</v>
      </c>
      <c r="G478" t="s">
        <f>TEXT(D478,"mmm dd")</f>
        <v>734</v>
      </c>
      <c r="I478" t="s">
        <v>548</v>
      </c>
      <c r="J478" t="s">
        <v>473</v>
      </c>
      <c r="K478" t="s">
        <v>735</v>
      </c>
    </row>
    <row r="479" spans="1:23">
      <c r="A479">
        <v>10</v>
      </c>
      <c r="B479">
        <v>8</v>
      </c>
      <c r="C479">
        <v>2008</v>
      </c>
      <c r="D479" s="3" t="s">
        <f>B479&amp;"/"&amp;A479&amp;"/"&amp;C479</f>
        <v>732</v>
      </c>
      <c r="E479">
        <v>0.14583333333333334</v>
      </c>
      <c r="F479" t="s">
        <f>I479&amp;" "&amp;J479&amp;" "&amp;K479&amp;" "&amp;L479&amp;" "&amp;M479&amp;" "&amp;N479</f>
        <v>736</v>
      </c>
      <c r="G479" t="s">
        <f>TEXT(D479,"mmm dd")</f>
        <v>734</v>
      </c>
      <c r="I479" t="s">
        <v>721</v>
      </c>
      <c r="J479" t="s">
        <v>737</v>
      </c>
    </row>
    <row r="480" spans="1:23">
      <c r="A480">
        <v>10</v>
      </c>
      <c r="B480">
        <v>8</v>
      </c>
      <c r="C480">
        <v>2008</v>
      </c>
      <c r="D480" s="3" t="s">
        <f>B480&amp;"/"&amp;A480&amp;"/"&amp;C480</f>
        <v>732</v>
      </c>
      <c r="E480">
        <v>0.20833333333333334</v>
      </c>
      <c r="F480" t="s">
        <f>I480&amp;" "&amp;J480&amp;" "&amp;K480&amp;" "&amp;L480&amp;" "&amp;M480&amp;" "&amp;N480</f>
        <v>738</v>
      </c>
      <c r="G480" t="s">
        <f>TEXT(D480,"mmm dd")</f>
        <v>734</v>
      </c>
      <c r="I480" t="s">
        <v>739</v>
      </c>
      <c r="J480" t="s">
        <v>740</v>
      </c>
      <c r="K480" t="s">
        <v>741</v>
      </c>
    </row>
    <row r="481" spans="1:23">
      <c r="A481">
        <v>11</v>
      </c>
      <c r="B481">
        <v>8</v>
      </c>
      <c r="C481">
        <v>2008</v>
      </c>
      <c r="D481" s="3" t="s">
        <f>B481&amp;"/"&amp;A481&amp;"/"&amp;C481</f>
        <v>742</v>
      </c>
      <c r="E481">
        <v>0.95833333333333337</v>
      </c>
      <c r="F481" t="s">
        <f>I481&amp;" "&amp;J481&amp;" "&amp;K481&amp;" "&amp;L481&amp;" "&amp;M481&amp;" "&amp;N481</f>
        <v>743</v>
      </c>
      <c r="G481" t="s">
        <f>TEXT(D481,"mmm dd")</f>
        <v>744</v>
      </c>
      <c r="I481" t="s">
        <v>745</v>
      </c>
      <c r="J481" t="s">
        <v>746</v>
      </c>
      <c r="K481" t="s">
        <v>73</v>
      </c>
      <c r="L481" t="s">
        <v>747</v>
      </c>
    </row>
    <row r="482" spans="1:23">
      <c r="A482">
        <v>11</v>
      </c>
      <c r="B482">
        <v>8</v>
      </c>
      <c r="C482">
        <v>2008</v>
      </c>
      <c r="D482" s="3" t="s">
        <f>B482&amp;"/"&amp;A482&amp;"/"&amp;C482</f>
        <v>742</v>
      </c>
      <c r="E482">
        <v>0.95833333333333337</v>
      </c>
      <c r="F482" t="s">
        <f>I482&amp;" "&amp;J482&amp;" "&amp;K482&amp;" "&amp;L482&amp;" "&amp;M482&amp;" "&amp;N482</f>
        <v>743</v>
      </c>
      <c r="G482" t="s">
        <f>TEXT(D482,"mmm dd")</f>
        <v>744</v>
      </c>
      <c r="I482" t="s">
        <v>745</v>
      </c>
      <c r="J482" t="s">
        <v>746</v>
      </c>
      <c r="K482" t="s">
        <v>73</v>
      </c>
      <c r="L482" t="s">
        <v>747</v>
      </c>
    </row>
    <row r="483" spans="1:23">
      <c r="A483">
        <v>12</v>
      </c>
      <c r="B483">
        <v>8</v>
      </c>
      <c r="C483">
        <v>2008</v>
      </c>
      <c r="D483" s="3" t="s">
        <f>B483&amp;"/"&amp;A483&amp;"/"&amp;C483</f>
        <v>748</v>
      </c>
      <c r="E483">
        <v>0.25</v>
      </c>
      <c r="F483" t="s">
        <f>I483&amp;" "&amp;J483&amp;" "&amp;K483&amp;" "&amp;L483&amp;" "&amp;M483&amp;" "&amp;N483</f>
        <v>749</v>
      </c>
      <c r="G483" t="s">
        <f>TEXT(D483,"mmm dd")</f>
        <v>750</v>
      </c>
      <c r="I483" t="s">
        <v>674</v>
      </c>
      <c r="J483" t="s">
        <v>675</v>
      </c>
      <c r="K483" t="s">
        <v>751</v>
      </c>
    </row>
    <row r="484" spans="1:23">
      <c r="A484">
        <v>12</v>
      </c>
      <c r="B484">
        <v>8</v>
      </c>
      <c r="C484">
        <v>2008</v>
      </c>
      <c r="D484" s="3" t="s">
        <f>B484&amp;"/"&amp;A484&amp;"/"&amp;C484</f>
        <v>748</v>
      </c>
      <c r="E484">
        <v>0.25</v>
      </c>
      <c r="F484" t="s">
        <f>I484&amp;" "&amp;J484&amp;" "&amp;K484&amp;" "&amp;L484&amp;" "&amp;M484&amp;" "&amp;N484</f>
        <v>749</v>
      </c>
      <c r="G484" t="s">
        <f>TEXT(D484,"mmm dd")</f>
        <v>750</v>
      </c>
      <c r="I484" t="s">
        <v>674</v>
      </c>
      <c r="J484" t="s">
        <v>675</v>
      </c>
      <c r="K484" t="s">
        <v>751</v>
      </c>
    </row>
    <row r="485" spans="1:23">
      <c r="A485">
        <v>13</v>
      </c>
      <c r="B485">
        <v>8</v>
      </c>
      <c r="C485">
        <v>2008</v>
      </c>
      <c r="D485" s="3" t="s">
        <f>B485&amp;"/"&amp;A485&amp;"/"&amp;C485</f>
        <v>752</v>
      </c>
      <c r="E485">
        <v>0.16666666666666666</v>
      </c>
      <c r="F485" t="s">
        <f>I485&amp;" "&amp;J485&amp;" "&amp;K485&amp;" "&amp;L485&amp;" "&amp;M485&amp;" "&amp;N485</f>
        <v>753</v>
      </c>
      <c r="G485" t="s">
        <f>TEXT(D485,"mmm dd")</f>
        <v>754</v>
      </c>
      <c r="I485" t="s">
        <v>300</v>
      </c>
      <c r="J485" t="s">
        <v>755</v>
      </c>
      <c r="K485" t="s">
        <v>756</v>
      </c>
    </row>
    <row r="486" spans="1:23">
      <c r="A486">
        <v>13</v>
      </c>
      <c r="B486">
        <v>8</v>
      </c>
      <c r="C486">
        <v>2008</v>
      </c>
      <c r="D486" s="3" t="s">
        <f>B486&amp;"/"&amp;A486&amp;"/"&amp;C486</f>
        <v>752</v>
      </c>
      <c r="E486">
        <v>1.0833333333333333</v>
      </c>
      <c r="F486" t="s">
        <f>I486&amp;" "&amp;J486&amp;" "&amp;K486&amp;" "&amp;L486&amp;" "&amp;M486&amp;" "&amp;N486</f>
        <v>757</v>
      </c>
      <c r="G486" t="s">
        <f>TEXT(D486,"mmm dd")</f>
        <v>754</v>
      </c>
      <c r="I486" t="s">
        <v>300</v>
      </c>
      <c r="J486" t="s">
        <v>745</v>
      </c>
      <c r="K486" t="s">
        <v>747</v>
      </c>
    </row>
    <row r="487" spans="1:23">
      <c r="A487">
        <v>13</v>
      </c>
      <c r="B487">
        <v>8</v>
      </c>
      <c r="C487">
        <v>2008</v>
      </c>
      <c r="D487" s="3" t="s">
        <f>B487&amp;"/"&amp;A487&amp;"/"&amp;C487</f>
        <v>752</v>
      </c>
      <c r="E487">
        <v>0.16666666666666666</v>
      </c>
      <c r="F487" t="s">
        <f>I487&amp;" "&amp;J487&amp;" "&amp;K487&amp;" "&amp;L487&amp;" "&amp;M487&amp;" "&amp;N487</f>
        <v>753</v>
      </c>
      <c r="G487" t="s">
        <f>TEXT(D487,"mmm dd")</f>
        <v>754</v>
      </c>
      <c r="I487" t="s">
        <v>300</v>
      </c>
      <c r="J487" t="s">
        <v>755</v>
      </c>
      <c r="K487" t="s">
        <v>756</v>
      </c>
    </row>
    <row r="488" spans="1:23">
      <c r="A488">
        <v>13</v>
      </c>
      <c r="B488">
        <v>8</v>
      </c>
      <c r="C488">
        <v>2008</v>
      </c>
      <c r="D488" s="3" t="s">
        <f>B488&amp;"/"&amp;A488&amp;"/"&amp;C488</f>
        <v>752</v>
      </c>
      <c r="E488">
        <v>1.0833333333333333</v>
      </c>
      <c r="F488" t="s">
        <f>I488&amp;" "&amp;J488&amp;" "&amp;K488&amp;" "&amp;L488&amp;" "&amp;M488&amp;" "&amp;N488</f>
        <v>757</v>
      </c>
      <c r="G488" t="s">
        <f>TEXT(D488,"mmm dd")</f>
        <v>754</v>
      </c>
      <c r="I488" t="s">
        <v>300</v>
      </c>
      <c r="J488" t="s">
        <v>745</v>
      </c>
      <c r="K488" t="s">
        <v>747</v>
      </c>
    </row>
    <row r="489" spans="1:23">
      <c r="A489">
        <v>14</v>
      </c>
      <c r="B489">
        <v>8</v>
      </c>
      <c r="C489">
        <v>2008</v>
      </c>
      <c r="D489" s="3" t="s">
        <f>B489&amp;"/"&amp;A489&amp;"/"&amp;C489</f>
        <v>758</v>
      </c>
      <c r="E489">
        <v>0.95833333333333337</v>
      </c>
      <c r="F489" t="s">
        <f>I489&amp;" "&amp;J489&amp;" "&amp;K489&amp;" "&amp;L489&amp;" "&amp;M489&amp;" "&amp;N489</f>
        <v>759</v>
      </c>
      <c r="G489" t="s">
        <f>TEXT(D489,"mmm dd")</f>
        <v>760</v>
      </c>
      <c r="I489" t="s">
        <v>761</v>
      </c>
      <c r="J489" t="s">
        <v>170</v>
      </c>
      <c r="K489" t="s">
        <v>762</v>
      </c>
      <c r="L489" t="s">
        <v>763</v>
      </c>
      <c r="M489" t="s">
        <v>764</v>
      </c>
    </row>
    <row r="490" spans="1:23">
      <c r="A490">
        <v>14</v>
      </c>
      <c r="B490">
        <v>8</v>
      </c>
      <c r="C490">
        <v>2008</v>
      </c>
      <c r="D490" s="3" t="s">
        <f>B490&amp;"/"&amp;A490&amp;"/"&amp;C490</f>
        <v>758</v>
      </c>
      <c r="E490">
        <v>0.875</v>
      </c>
      <c r="F490" t="s">
        <f>I490&amp;" "&amp;J490&amp;" "&amp;K490&amp;" "&amp;L490&amp;" "&amp;M490&amp;" "&amp;N490</f>
        <v>765</v>
      </c>
      <c r="G490" t="s">
        <f>TEXT(D490,"mmm dd")</f>
        <v>760</v>
      </c>
      <c r="I490" t="s">
        <v>766</v>
      </c>
      <c r="J490" t="s">
        <v>767</v>
      </c>
      <c r="K490" t="s">
        <v>768</v>
      </c>
      <c r="L490" t="s">
        <v>769</v>
      </c>
      <c r="M490" t="s">
        <v>770</v>
      </c>
    </row>
    <row r="491" spans="1:23">
      <c r="A491">
        <v>14</v>
      </c>
      <c r="B491">
        <v>8</v>
      </c>
      <c r="C491">
        <v>2008</v>
      </c>
      <c r="D491" s="3" t="s">
        <f>B491&amp;"/"&amp;A491&amp;"/"&amp;C491</f>
        <v>758</v>
      </c>
      <c r="E491">
        <v>0.16666666666666666</v>
      </c>
      <c r="F491" t="s">
        <f>I491&amp;" "&amp;J491&amp;" "&amp;K491&amp;" "&amp;L491&amp;" "&amp;M491&amp;" "&amp;N491</f>
        <v>771</v>
      </c>
      <c r="G491" t="s">
        <f>TEXT(D491,"mmm dd")</f>
        <v>760</v>
      </c>
      <c r="I491" t="s">
        <v>772</v>
      </c>
      <c r="J491" t="s">
        <v>449</v>
      </c>
      <c r="K491" t="s">
        <v>773</v>
      </c>
      <c r="L491" t="s">
        <v>449</v>
      </c>
      <c r="M491" t="s">
        <v>664</v>
      </c>
    </row>
    <row r="492" spans="1:23">
      <c r="A492">
        <v>14</v>
      </c>
      <c r="B492">
        <v>8</v>
      </c>
      <c r="C492">
        <v>2008</v>
      </c>
      <c r="D492" s="3" t="s">
        <f>B492&amp;"/"&amp;A492&amp;"/"&amp;C492</f>
        <v>758</v>
      </c>
      <c r="E492">
        <v>0.95833333333333337</v>
      </c>
      <c r="F492" t="s">
        <f>I492&amp;" "&amp;J492&amp;" "&amp;K492&amp;" "&amp;L492&amp;" "&amp;M492&amp;" "&amp;N492</f>
        <v>759</v>
      </c>
      <c r="G492" t="s">
        <f>TEXT(D492,"mmm dd")</f>
        <v>760</v>
      </c>
      <c r="I492" t="s">
        <v>761</v>
      </c>
      <c r="J492" t="s">
        <v>170</v>
      </c>
      <c r="K492" t="s">
        <v>762</v>
      </c>
      <c r="L492" t="s">
        <v>763</v>
      </c>
      <c r="M492" t="s">
        <v>764</v>
      </c>
    </row>
    <row r="493" spans="1:23">
      <c r="A493">
        <v>14</v>
      </c>
      <c r="B493">
        <v>8</v>
      </c>
      <c r="C493">
        <v>2008</v>
      </c>
      <c r="D493" s="3" t="s">
        <f>B493&amp;"/"&amp;A493&amp;"/"&amp;C493</f>
        <v>758</v>
      </c>
      <c r="E493">
        <v>0.875</v>
      </c>
      <c r="F493" t="s">
        <f>I493&amp;" "&amp;J493&amp;" "&amp;K493&amp;" "&amp;L493&amp;" "&amp;M493&amp;" "&amp;N493</f>
        <v>765</v>
      </c>
      <c r="G493" t="s">
        <f>TEXT(D493,"mmm dd")</f>
        <v>760</v>
      </c>
      <c r="I493" t="s">
        <v>766</v>
      </c>
      <c r="J493" t="s">
        <v>767</v>
      </c>
      <c r="K493" t="s">
        <v>768</v>
      </c>
      <c r="L493" t="s">
        <v>769</v>
      </c>
      <c r="M493" t="s">
        <v>770</v>
      </c>
    </row>
    <row r="494" spans="1:23">
      <c r="A494">
        <v>14</v>
      </c>
      <c r="B494">
        <v>8</v>
      </c>
      <c r="C494">
        <v>2008</v>
      </c>
      <c r="D494" s="3" t="s">
        <f>B494&amp;"/"&amp;A494&amp;"/"&amp;C494</f>
        <v>758</v>
      </c>
      <c r="E494">
        <v>0.16666666666666666</v>
      </c>
      <c r="F494" t="s">
        <f>I494&amp;" "&amp;J494&amp;" "&amp;K494&amp;" "&amp;L494&amp;" "&amp;M494&amp;" "&amp;N494</f>
        <v>771</v>
      </c>
      <c r="G494" t="s">
        <f>TEXT(D494,"mmm dd")</f>
        <v>760</v>
      </c>
      <c r="I494" t="s">
        <v>772</v>
      </c>
      <c r="J494" t="s">
        <v>449</v>
      </c>
      <c r="K494" t="s">
        <v>773</v>
      </c>
      <c r="L494" t="s">
        <v>449</v>
      </c>
      <c r="M494" t="s">
        <v>664</v>
      </c>
    </row>
    <row r="495" spans="1:23">
      <c r="A495">
        <v>14</v>
      </c>
      <c r="B495">
        <v>8</v>
      </c>
      <c r="C495">
        <v>2008</v>
      </c>
      <c r="D495" s="3" t="s">
        <f>B495&amp;"/"&amp;A495&amp;"/"&amp;C495</f>
        <v>758</v>
      </c>
      <c r="E495">
        <v>0.95833333333333337</v>
      </c>
      <c r="F495" t="str">
        <f>I495&amp;" "&amp;J495&amp;" "&amp;K495&amp;" "&amp;L495&amp;" "&amp;M495&amp;" "&amp;N495</f>
        <v>Apt Emma orthodontist   </v>
      </c>
      <c r="G495" t="s">
        <f>TEXT(D495,"mmm dd")</f>
        <v>760</v>
      </c>
      <c r="I495" t="s">
        <v>761</v>
      </c>
      <c r="J495" t="s">
        <v>170</v>
      </c>
      <c r="K495" t="s">
        <v>762</v>
      </c>
    </row>
    <row r="496" spans="1:23">
      <c r="A496">
        <v>15</v>
      </c>
      <c r="B496">
        <v>8</v>
      </c>
      <c r="C496">
        <v>2008</v>
      </c>
      <c r="D496" s="3" t="s">
        <f>B496&amp;"/"&amp;A496&amp;"/"&amp;C496</f>
        <v>774</v>
      </c>
      <c r="E496">
        <v>0.29166666666666669</v>
      </c>
      <c r="F496" t="s">
        <f>I496&amp;" "&amp;J496&amp;" "&amp;K496&amp;" "&amp;L496&amp;" "&amp;M496&amp;" "&amp;N496</f>
        <v>775</v>
      </c>
      <c r="G496" t="s">
        <f>TEXT(D496,"mmm dd")</f>
        <v>776</v>
      </c>
      <c r="I496" t="s">
        <v>615</v>
      </c>
      <c r="J496" t="s">
        <v>777</v>
      </c>
      <c r="K496" t="s">
        <v>772</v>
      </c>
      <c r="L496" t="s">
        <v>48</v>
      </c>
      <c r="M496" t="s">
        <v>778</v>
      </c>
    </row>
    <row r="497" spans="1:23">
      <c r="A497">
        <v>15</v>
      </c>
      <c r="B497">
        <v>8</v>
      </c>
      <c r="C497">
        <v>2008</v>
      </c>
      <c r="D497" s="3" t="s">
        <f>B497&amp;"/"&amp;A497&amp;"/"&amp;C497</f>
        <v>774</v>
      </c>
      <c r="E497">
        <v>0.20833333333333334</v>
      </c>
      <c r="F497" t="s">
        <f>I497&amp;" "&amp;J497&amp;" "&amp;K497&amp;" "&amp;L497&amp;" "&amp;M497&amp;" "&amp;N497</f>
        <v>779</v>
      </c>
      <c r="G497" t="s">
        <f>TEXT(D497,"mmm dd")</f>
        <v>776</v>
      </c>
      <c r="I497" t="s">
        <v>721</v>
      </c>
      <c r="J497" t="s">
        <v>780</v>
      </c>
      <c r="K497" t="s">
        <v>781</v>
      </c>
    </row>
    <row r="498" spans="1:23">
      <c r="A498">
        <v>15</v>
      </c>
      <c r="B498">
        <v>8</v>
      </c>
      <c r="C498">
        <v>2008</v>
      </c>
      <c r="D498" s="3" t="s">
        <f>B498&amp;"/"&amp;A498&amp;"/"&amp;C498</f>
        <v>774</v>
      </c>
      <c r="E498">
        <v>0.20833333333333334</v>
      </c>
      <c r="F498" t="s">
        <f>I498&amp;" "&amp;J498&amp;" "&amp;K498&amp;" "&amp;L498&amp;" "&amp;M498&amp;" "&amp;N498</f>
        <v>779</v>
      </c>
      <c r="G498" t="s">
        <f>TEXT(D498,"mmm dd")</f>
        <v>776</v>
      </c>
      <c r="I498" t="s">
        <v>721</v>
      </c>
      <c r="J498" t="s">
        <v>780</v>
      </c>
      <c r="K498" t="s">
        <v>781</v>
      </c>
    </row>
    <row r="499" spans="1:23">
      <c r="A499">
        <v>15</v>
      </c>
      <c r="B499">
        <v>8</v>
      </c>
      <c r="C499">
        <v>2008</v>
      </c>
      <c r="D499" s="3" t="s">
        <f>B499&amp;"/"&amp;A499&amp;"/"&amp;C499</f>
        <v>774</v>
      </c>
      <c r="E499">
        <v>0.29166666666666669</v>
      </c>
      <c r="F499" t="s">
        <f>I499&amp;" "&amp;J499&amp;" "&amp;K499&amp;" "&amp;L499&amp;" "&amp;M499&amp;" "&amp;N499</f>
        <v>775</v>
      </c>
      <c r="G499" t="s">
        <f>TEXT(D499,"mmm dd")</f>
        <v>776</v>
      </c>
      <c r="I499" t="s">
        <v>615</v>
      </c>
      <c r="J499" t="s">
        <v>777</v>
      </c>
      <c r="K499" t="s">
        <v>772</v>
      </c>
      <c r="L499" t="s">
        <v>48</v>
      </c>
      <c r="M499" t="s">
        <v>778</v>
      </c>
    </row>
    <row r="500" spans="1:23">
      <c r="A500">
        <v>16</v>
      </c>
      <c r="B500">
        <v>8</v>
      </c>
      <c r="C500">
        <v>2008</v>
      </c>
      <c r="D500" s="3" t="s">
        <f>B500&amp;"/"&amp;A500&amp;"/"&amp;C500</f>
        <v>782</v>
      </c>
      <c r="E500">
        <v>0.91666666666666663</v>
      </c>
      <c r="F500" t="s">
        <f>I500&amp;" "&amp;J500&amp;" "&amp;K500&amp;" "&amp;L500&amp;" "&amp;M500&amp;" "&amp;N500</f>
        <v>783</v>
      </c>
      <c r="G500" t="s">
        <f>TEXT(D500,"mmm dd")</f>
        <v>784</v>
      </c>
      <c r="I500" t="s">
        <v>785</v>
      </c>
      <c r="J500" t="s">
        <v>786</v>
      </c>
    </row>
    <row r="501" spans="1:23">
      <c r="A501">
        <v>16</v>
      </c>
      <c r="B501">
        <v>8</v>
      </c>
      <c r="C501">
        <v>2008</v>
      </c>
      <c r="D501" s="3" t="s">
        <f>B501&amp;"/"&amp;A501&amp;"/"&amp;C501</f>
        <v>782</v>
      </c>
      <c r="E501">
        <v>0.20833333333333334</v>
      </c>
      <c r="F501" t="s">
        <f>I501&amp;" "&amp;J501&amp;" "&amp;K501&amp;" "&amp;L501&amp;" "&amp;M501&amp;" "&amp;N501</f>
        <v>787</v>
      </c>
      <c r="G501" t="s">
        <f>TEXT(D501,"mmm dd")</f>
        <v>784</v>
      </c>
      <c r="I501" t="s">
        <v>772</v>
      </c>
      <c r="J501" t="s">
        <v>449</v>
      </c>
      <c r="K501" t="s">
        <v>788</v>
      </c>
    </row>
    <row r="502" spans="1:23">
      <c r="A502">
        <v>16</v>
      </c>
      <c r="B502">
        <v>8</v>
      </c>
      <c r="C502">
        <v>2008</v>
      </c>
      <c r="D502" s="3" t="s">
        <f>B502&amp;"/"&amp;A502&amp;"/"&amp;C502</f>
        <v>782</v>
      </c>
      <c r="E502">
        <v>0.91666666666666663</v>
      </c>
      <c r="F502" t="s">
        <f>I502&amp;" "&amp;J502&amp;" "&amp;K502&amp;" "&amp;L502&amp;" "&amp;M502&amp;" "&amp;N502</f>
        <v>789</v>
      </c>
      <c r="G502" t="s">
        <f>TEXT(D502,"mmm dd")</f>
        <v>784</v>
      </c>
      <c r="I502" t="s">
        <v>772</v>
      </c>
      <c r="J502" t="s">
        <v>449</v>
      </c>
      <c r="K502" t="s">
        <v>788</v>
      </c>
      <c r="L502" t="s">
        <v>790</v>
      </c>
    </row>
    <row r="503" spans="1:23">
      <c r="A503">
        <v>16</v>
      </c>
      <c r="B503">
        <v>8</v>
      </c>
      <c r="C503">
        <v>2008</v>
      </c>
      <c r="D503" s="3" t="s">
        <f>B503&amp;"/"&amp;A503&amp;"/"&amp;C503</f>
        <v>782</v>
      </c>
      <c r="E503">
        <v>0.91666666666666663</v>
      </c>
      <c r="F503" t="s">
        <f>I503&amp;" "&amp;J503&amp;" "&amp;K503&amp;" "&amp;L503&amp;" "&amp;M503&amp;" "&amp;N503</f>
        <v>783</v>
      </c>
      <c r="G503" t="s">
        <f>TEXT(D503,"mmm dd")</f>
        <v>784</v>
      </c>
      <c r="I503" t="s">
        <v>785</v>
      </c>
      <c r="J503" t="s">
        <v>786</v>
      </c>
    </row>
    <row r="504" spans="1:23">
      <c r="A504">
        <v>16</v>
      </c>
      <c r="B504">
        <v>8</v>
      </c>
      <c r="C504">
        <v>2008</v>
      </c>
      <c r="D504" s="3" t="s">
        <f>B504&amp;"/"&amp;A504&amp;"/"&amp;C504</f>
        <v>782</v>
      </c>
      <c r="E504">
        <v>0.20833333333333334</v>
      </c>
      <c r="F504" t="s">
        <f>I504&amp;" "&amp;J504&amp;" "&amp;K504&amp;" "&amp;L504&amp;" "&amp;M504&amp;" "&amp;N504</f>
        <v>787</v>
      </c>
      <c r="G504" t="s">
        <f>TEXT(D504,"mmm dd")</f>
        <v>784</v>
      </c>
      <c r="I504" t="s">
        <v>772</v>
      </c>
      <c r="J504" t="s">
        <v>449</v>
      </c>
      <c r="K504" t="s">
        <v>788</v>
      </c>
    </row>
    <row r="505" spans="1:23">
      <c r="A505">
        <v>16</v>
      </c>
      <c r="B505">
        <v>8</v>
      </c>
      <c r="C505">
        <v>2008</v>
      </c>
      <c r="D505" s="3" t="s">
        <f>B505&amp;"/"&amp;A505&amp;"/"&amp;C505</f>
        <v>782</v>
      </c>
      <c r="E505">
        <v>0.91666666666666663</v>
      </c>
      <c r="F505" t="s">
        <f>I505&amp;" "&amp;J505&amp;" "&amp;K505&amp;" "&amp;L505&amp;" "&amp;M505&amp;" "&amp;N505</f>
        <v>789</v>
      </c>
      <c r="G505" t="s">
        <f>TEXT(D505,"mmm dd")</f>
        <v>784</v>
      </c>
      <c r="I505" t="s">
        <v>772</v>
      </c>
      <c r="J505" t="s">
        <v>449</v>
      </c>
      <c r="K505" t="s">
        <v>788</v>
      </c>
      <c r="L505" t="s">
        <v>790</v>
      </c>
    </row>
    <row r="506" spans="1:23">
      <c r="A506">
        <v>17</v>
      </c>
      <c r="B506">
        <v>8</v>
      </c>
      <c r="C506">
        <v>2008</v>
      </c>
      <c r="D506" s="3" t="s">
        <f>B506&amp;"/"&amp;A506&amp;"/"&amp;C506</f>
        <v>791</v>
      </c>
      <c r="E506">
        <v>1</v>
      </c>
      <c r="F506" t="s">
        <f>I506&amp;" "&amp;J506&amp;" "&amp;K506&amp;" "&amp;L506&amp;" "&amp;M506&amp;" "&amp;N506</f>
        <v>792</v>
      </c>
      <c r="G506" t="s">
        <f>TEXT(D506,"mmm dd")</f>
        <v>793</v>
      </c>
      <c r="I506" t="s">
        <v>794</v>
      </c>
      <c r="J506" t="s">
        <v>439</v>
      </c>
      <c r="K506" t="s">
        <v>795</v>
      </c>
      <c r="L506" t="s">
        <v>48</v>
      </c>
      <c r="M506" t="s">
        <v>796</v>
      </c>
      <c r="N506" t="s">
        <v>797</v>
      </c>
    </row>
    <row r="507" spans="1:23">
      <c r="A507">
        <v>17</v>
      </c>
      <c r="B507">
        <v>8</v>
      </c>
      <c r="C507">
        <v>2008</v>
      </c>
      <c r="D507" s="3" t="s">
        <f>B507&amp;"/"&amp;A507&amp;"/"&amp;C507</f>
        <v>791</v>
      </c>
      <c r="E507" t="s">
        <v>42</v>
      </c>
      <c r="F507" t="s">
        <f>I507&amp;" "&amp;J507&amp;" "&amp;K507&amp;" "&amp;L507&amp;" "&amp;M507&amp;" "&amp;N507</f>
        <v>798</v>
      </c>
      <c r="G507" t="s">
        <f>TEXT(D507,"mmm dd")</f>
        <v>793</v>
      </c>
      <c r="I507" t="s">
        <v>799</v>
      </c>
      <c r="J507" t="s">
        <v>800</v>
      </c>
      <c r="K507" t="s">
        <v>48</v>
      </c>
      <c r="L507" t="s">
        <v>801</v>
      </c>
      <c r="M507" t="s">
        <v>802</v>
      </c>
    </row>
    <row r="508" spans="1:23">
      <c r="A508">
        <v>17</v>
      </c>
      <c r="B508">
        <v>8</v>
      </c>
      <c r="C508">
        <v>2008</v>
      </c>
      <c r="D508" s="3" t="s">
        <f>B508&amp;"/"&amp;A508&amp;"/"&amp;C508</f>
        <v>791</v>
      </c>
      <c r="E508" t="s">
        <v>42</v>
      </c>
      <c r="F508" t="s">
        <f>I508&amp;" "&amp;J508&amp;" "&amp;K508&amp;" "&amp;L508&amp;" "&amp;M508&amp;" "&amp;N508</f>
        <v>798</v>
      </c>
      <c r="G508" t="s">
        <f>TEXT(D508,"mmm dd")</f>
        <v>793</v>
      </c>
      <c r="I508" t="s">
        <v>799</v>
      </c>
      <c r="J508" t="s">
        <v>800</v>
      </c>
      <c r="K508" t="s">
        <v>48</v>
      </c>
      <c r="L508" t="s">
        <v>801</v>
      </c>
      <c r="M508" t="s">
        <v>802</v>
      </c>
    </row>
    <row r="509" spans="1:23">
      <c r="A509">
        <v>17</v>
      </c>
      <c r="B509">
        <v>8</v>
      </c>
      <c r="C509">
        <v>2008</v>
      </c>
      <c r="D509" s="3" t="s">
        <f>B509&amp;"/"&amp;A509&amp;"/"&amp;C509</f>
        <v>791</v>
      </c>
      <c r="E509">
        <v>1</v>
      </c>
      <c r="F509" t="s">
        <f>I509&amp;" "&amp;J509&amp;" "&amp;K509&amp;" "&amp;L509&amp;" "&amp;M509&amp;" "&amp;N509</f>
        <v>792</v>
      </c>
      <c r="G509" t="s">
        <f>TEXT(D509,"mmm dd")</f>
        <v>793</v>
      </c>
      <c r="I509" t="s">
        <v>794</v>
      </c>
      <c r="J509" t="s">
        <v>439</v>
      </c>
      <c r="K509" t="s">
        <v>795</v>
      </c>
      <c r="L509" t="s">
        <v>48</v>
      </c>
      <c r="M509" t="s">
        <v>796</v>
      </c>
      <c r="N509" t="s">
        <v>797</v>
      </c>
    </row>
    <row r="510" spans="1:23">
      <c r="A510">
        <v>19</v>
      </c>
      <c r="B510">
        <v>8</v>
      </c>
      <c r="C510">
        <v>2008</v>
      </c>
      <c r="D510" s="3" t="s">
        <f>B510&amp;"/"&amp;A510&amp;"/"&amp;C510</f>
        <v>803</v>
      </c>
      <c r="E510">
        <v>0.95833333333333337</v>
      </c>
      <c r="F510" t="s">
        <f>I510&amp;" "&amp;J510&amp;" "&amp;K510&amp;" "&amp;L510&amp;" "&amp;M510&amp;" "&amp;N510</f>
        <v>804</v>
      </c>
      <c r="G510" t="s">
        <f>TEXT(D510,"mmm dd")</f>
        <v>805</v>
      </c>
      <c r="I510" t="s">
        <v>806</v>
      </c>
      <c r="J510" t="s">
        <v>807</v>
      </c>
      <c r="K510" t="s">
        <v>772</v>
      </c>
    </row>
    <row r="511" spans="1:23">
      <c r="A511">
        <v>19</v>
      </c>
      <c r="B511">
        <v>8</v>
      </c>
      <c r="C511">
        <v>2008</v>
      </c>
      <c r="D511" s="3" t="s">
        <f>B511&amp;"/"&amp;A511&amp;"/"&amp;C511</f>
        <v>803</v>
      </c>
      <c r="E511">
        <v>1.0416666666666667</v>
      </c>
      <c r="F511" t="s">
        <f>I511&amp;" "&amp;J511&amp;" "&amp;K511&amp;" "&amp;L511&amp;" "&amp;M511&amp;" "&amp;N511</f>
        <v>808</v>
      </c>
      <c r="G511" t="s">
        <f>TEXT(D511,"mmm dd")</f>
        <v>805</v>
      </c>
      <c r="I511" t="s">
        <v>809</v>
      </c>
    </row>
    <row r="512" spans="1:23">
      <c r="A512">
        <v>19</v>
      </c>
      <c r="B512">
        <v>8</v>
      </c>
      <c r="C512">
        <v>2008</v>
      </c>
      <c r="D512" s="3" t="s">
        <f>B512&amp;"/"&amp;A512&amp;"/"&amp;C512</f>
        <v>803</v>
      </c>
      <c r="E512">
        <v>0.95833333333333337</v>
      </c>
      <c r="F512" t="s">
        <f>I512&amp;" "&amp;J512&amp;" "&amp;K512&amp;" "&amp;L512&amp;" "&amp;M512&amp;" "&amp;N512</f>
        <v>804</v>
      </c>
      <c r="G512" t="s">
        <f>TEXT(D512,"mmm dd")</f>
        <v>805</v>
      </c>
      <c r="I512" t="s">
        <v>806</v>
      </c>
      <c r="J512" t="s">
        <v>807</v>
      </c>
      <c r="K512" t="s">
        <v>772</v>
      </c>
    </row>
    <row r="513" spans="1:23">
      <c r="A513">
        <v>19</v>
      </c>
      <c r="B513">
        <v>8</v>
      </c>
      <c r="C513">
        <v>2008</v>
      </c>
      <c r="D513" s="3" t="s">
        <f>B513&amp;"/"&amp;A513&amp;"/"&amp;C513</f>
        <v>803</v>
      </c>
      <c r="E513">
        <v>1.0416666666666667</v>
      </c>
      <c r="F513" t="s">
        <f>I513&amp;" "&amp;J513&amp;" "&amp;K513&amp;" "&amp;L513&amp;" "&amp;M513&amp;" "&amp;N513</f>
        <v>808</v>
      </c>
      <c r="G513" t="s">
        <f>TEXT(D513,"mmm dd")</f>
        <v>805</v>
      </c>
      <c r="I513" t="s">
        <v>809</v>
      </c>
      <c r="O513" t="s">
        <v>441</v>
      </c>
    </row>
    <row r="514" spans="1:23">
      <c r="A514">
        <v>20</v>
      </c>
      <c r="B514">
        <v>8</v>
      </c>
      <c r="C514">
        <v>2008</v>
      </c>
      <c r="D514" s="3" t="s">
        <f>B514&amp;"/"&amp;A514&amp;"/"&amp;C514</f>
        <v>810</v>
      </c>
      <c r="E514">
        <v>1.0833333333333333</v>
      </c>
      <c r="F514" t="s">
        <f>I514&amp;" "&amp;J514&amp;" "&amp;K514&amp;" "&amp;L514&amp;" "&amp;M514&amp;" "&amp;N514</f>
        <v>811</v>
      </c>
      <c r="G514" t="s">
        <f>TEXT(D514,"mmm dd")</f>
        <v>812</v>
      </c>
      <c r="I514" t="s">
        <v>813</v>
      </c>
      <c r="J514" t="s">
        <v>591</v>
      </c>
      <c r="L514" t="s">
        <v>814</v>
      </c>
      <c r="M514" t="s">
        <v>815</v>
      </c>
    </row>
    <row r="515" spans="1:23">
      <c r="A515">
        <v>20</v>
      </c>
      <c r="B515">
        <v>8</v>
      </c>
      <c r="C515">
        <v>2008</v>
      </c>
      <c r="D515" s="3" t="s">
        <f>B515&amp;"/"&amp;A515&amp;"/"&amp;C515</f>
        <v>810</v>
      </c>
      <c r="E515">
        <v>1.0833333333333333</v>
      </c>
      <c r="F515" t="s">
        <f>I515&amp;" "&amp;J515&amp;" "&amp;K515&amp;" "&amp;L515&amp;" "&amp;M515&amp;" "&amp;N515</f>
        <v>811</v>
      </c>
      <c r="G515" t="s">
        <f>TEXT(D515,"mmm dd")</f>
        <v>812</v>
      </c>
      <c r="I515" t="s">
        <v>813</v>
      </c>
      <c r="J515" t="s">
        <v>591</v>
      </c>
      <c r="L515" t="s">
        <v>814</v>
      </c>
      <c r="M515" t="s">
        <v>815</v>
      </c>
    </row>
    <row r="516" spans="1:23">
      <c r="A516">
        <v>21</v>
      </c>
      <c r="B516">
        <v>8</v>
      </c>
      <c r="C516">
        <v>2008</v>
      </c>
      <c r="D516" s="3" t="s">
        <f>B516&amp;"/"&amp;A516&amp;"/"&amp;C516</f>
        <v>816</v>
      </c>
      <c r="E516">
        <v>1</v>
      </c>
      <c r="F516" t="s">
        <f>I516&amp;" "&amp;J516&amp;" "&amp;K516&amp;" "&amp;L516&amp;" "&amp;M516&amp;" "&amp;N516</f>
        <v>817</v>
      </c>
      <c r="G516" t="s">
        <f>TEXT(D516,"mmm dd")</f>
        <v>818</v>
      </c>
      <c r="I516" t="s">
        <v>451</v>
      </c>
      <c r="J516" t="s">
        <v>609</v>
      </c>
      <c r="K516" t="s">
        <v>48</v>
      </c>
      <c r="L516" t="s">
        <v>819</v>
      </c>
    </row>
    <row r="517" spans="1:23">
      <c r="A517">
        <v>21</v>
      </c>
      <c r="B517">
        <v>8</v>
      </c>
      <c r="C517">
        <v>2008</v>
      </c>
      <c r="D517" s="3" t="s">
        <f>B517&amp;"/"&amp;A517&amp;"/"&amp;C517</f>
        <v>816</v>
      </c>
      <c r="E517">
        <v>0.89583333333333337</v>
      </c>
      <c r="F517" t="s">
        <f>I517&amp;" "&amp;J517&amp;" "&amp;K517&amp;" "&amp;L517&amp;" "&amp;M517&amp;" "&amp;N517</f>
        <v>192</v>
      </c>
      <c r="G517" t="s">
        <f>TEXT(D517,"mmm dd")</f>
        <v>818</v>
      </c>
      <c r="I517" t="s">
        <v>194</v>
      </c>
    </row>
    <row r="518" spans="1:23">
      <c r="A518">
        <v>21</v>
      </c>
      <c r="B518">
        <v>8</v>
      </c>
      <c r="C518">
        <v>2008</v>
      </c>
      <c r="D518" s="3" t="s">
        <f>B518&amp;"/"&amp;A518&amp;"/"&amp;C518</f>
        <v>816</v>
      </c>
      <c r="E518">
        <v>0.79166666666666663</v>
      </c>
      <c r="F518" t="s">
        <f>I518&amp;" "&amp;J518&amp;" "&amp;K518&amp;" "&amp;L518&amp;" "&amp;M518&amp;" "&amp;N518</f>
        <v>820</v>
      </c>
      <c r="G518" t="s">
        <f>TEXT(D518,"mmm dd")</f>
        <v>818</v>
      </c>
      <c r="I518" t="s">
        <v>821</v>
      </c>
      <c r="J518" t="s">
        <v>822</v>
      </c>
      <c r="K518" t="s">
        <v>449</v>
      </c>
      <c r="L518" t="s">
        <v>778</v>
      </c>
    </row>
    <row r="519" spans="1:23">
      <c r="A519">
        <v>21</v>
      </c>
      <c r="B519">
        <v>8</v>
      </c>
      <c r="C519">
        <v>2008</v>
      </c>
      <c r="D519" s="3" t="s">
        <f>B519&amp;"/"&amp;A519&amp;"/"&amp;C519</f>
        <v>816</v>
      </c>
      <c r="E519">
        <v>0.66666666666666663</v>
      </c>
      <c r="F519" t="s">
        <f>I519&amp;" "&amp;J519&amp;" "&amp;K519&amp;" "&amp;L519&amp;" "&amp;M519&amp;" "&amp;N519</f>
        <v>186</v>
      </c>
      <c r="G519" t="s">
        <f>TEXT(D519,"mmm dd")</f>
        <v>818</v>
      </c>
      <c r="I519" t="s">
        <v>188</v>
      </c>
      <c r="J519" t="s">
        <v>189</v>
      </c>
      <c r="K519" t="s">
        <v>190</v>
      </c>
    </row>
    <row r="520" spans="1:23">
      <c r="A520">
        <v>21</v>
      </c>
      <c r="B520">
        <v>8</v>
      </c>
      <c r="C520">
        <v>2008</v>
      </c>
      <c r="D520" s="3" t="s">
        <f>B520&amp;"/"&amp;A520&amp;"/"&amp;C520</f>
        <v>816</v>
      </c>
      <c r="E520">
        <v>0.89583333333333337</v>
      </c>
      <c r="F520" t="s">
        <f>I520&amp;" "&amp;J520&amp;" "&amp;K520&amp;" "&amp;L520&amp;" "&amp;M520&amp;" "&amp;N520</f>
        <v>192</v>
      </c>
      <c r="G520" t="s">
        <f>TEXT(D520,"mmm dd")</f>
        <v>818</v>
      </c>
      <c r="I520" t="s">
        <v>194</v>
      </c>
    </row>
    <row r="521" spans="1:23">
      <c r="A521">
        <v>21</v>
      </c>
      <c r="B521">
        <v>8</v>
      </c>
      <c r="C521">
        <v>2008</v>
      </c>
      <c r="D521" s="3" t="s">
        <f>B521&amp;"/"&amp;A521&amp;"/"&amp;C521</f>
        <v>816</v>
      </c>
      <c r="E521">
        <v>0.66666666666666663</v>
      </c>
      <c r="F521" t="s">
        <f>I521&amp;" "&amp;J521&amp;" "&amp;K521&amp;" "&amp;L521&amp;" "&amp;M521&amp;" "&amp;N521</f>
        <v>186</v>
      </c>
      <c r="G521" t="s">
        <f>TEXT(D521,"mmm dd")</f>
        <v>818</v>
      </c>
      <c r="I521" t="s">
        <v>188</v>
      </c>
      <c r="J521" t="s">
        <v>189</v>
      </c>
      <c r="K521" t="s">
        <v>190</v>
      </c>
    </row>
    <row r="522" spans="1:23">
      <c r="A522">
        <v>21</v>
      </c>
      <c r="B522">
        <v>8</v>
      </c>
      <c r="C522">
        <v>2008</v>
      </c>
      <c r="D522" s="3" t="s">
        <f>B522&amp;"/"&amp;A522&amp;"/"&amp;C522</f>
        <v>816</v>
      </c>
      <c r="E522">
        <v>1</v>
      </c>
      <c r="F522" t="s">
        <f>I522&amp;" "&amp;J522&amp;" "&amp;K522&amp;" "&amp;L522&amp;" "&amp;M522&amp;" "&amp;N522</f>
        <v>817</v>
      </c>
      <c r="G522" t="s">
        <f>TEXT(D522,"mmm dd")</f>
        <v>818</v>
      </c>
      <c r="I522" t="s">
        <v>451</v>
      </c>
      <c r="J522" t="s">
        <v>609</v>
      </c>
      <c r="K522" t="s">
        <v>48</v>
      </c>
      <c r="L522" t="s">
        <v>819</v>
      </c>
    </row>
    <row r="523" spans="1:23">
      <c r="A523">
        <v>21</v>
      </c>
      <c r="B523">
        <v>8</v>
      </c>
      <c r="C523">
        <v>2008</v>
      </c>
      <c r="D523" s="3" t="s">
        <f>B523&amp;"/"&amp;A523&amp;"/"&amp;C523</f>
        <v>816</v>
      </c>
      <c r="E523">
        <v>0.79166666666666663</v>
      </c>
      <c r="F523" t="s">
        <f>I523&amp;" "&amp;J523&amp;" "&amp;K523&amp;" "&amp;L523&amp;" "&amp;M523&amp;" "&amp;N523</f>
        <v>820</v>
      </c>
      <c r="G523" t="s">
        <f>TEXT(D523,"mmm dd")</f>
        <v>818</v>
      </c>
      <c r="I523" t="s">
        <v>821</v>
      </c>
      <c r="J523" t="s">
        <v>822</v>
      </c>
      <c r="K523" t="s">
        <v>449</v>
      </c>
      <c r="L523" t="s">
        <v>778</v>
      </c>
    </row>
    <row r="524" spans="1:23">
      <c r="A524">
        <v>22</v>
      </c>
      <c r="B524">
        <v>8</v>
      </c>
      <c r="C524">
        <v>2008</v>
      </c>
      <c r="D524" s="3" t="str">
        <f>B524&amp;"/"&amp;A524&amp;"/"&amp;C524</f>
        <v>8/22/2008</v>
      </c>
      <c r="E524">
        <v>0.91666666666666663</v>
      </c>
      <c r="F524" t="s">
        <f>I524&amp;" "&amp;J524&amp;" "&amp;K524&amp;" "&amp;L524&amp;" "&amp;M524&amp;" "&amp;N524</f>
        <v>823</v>
      </c>
      <c r="G524" t="s">
        <f>TEXT(D524,"mmm dd")</f>
        <v>824</v>
      </c>
      <c r="I524" t="s">
        <v>825</v>
      </c>
    </row>
    <row r="525" spans="1:23">
      <c r="A525">
        <v>23</v>
      </c>
      <c r="B525">
        <v>8</v>
      </c>
      <c r="C525">
        <v>2008</v>
      </c>
      <c r="D525" s="3" t="s">
        <f>B525&amp;"/"&amp;A525&amp;"/"&amp;C525</f>
        <v>826</v>
      </c>
      <c r="E525">
        <v>0.91666666666666663</v>
      </c>
      <c r="F525" t="s">
        <f>I525&amp;" "&amp;J525&amp;" "&amp;K525&amp;" "&amp;L525&amp;" "&amp;M525&amp;" "&amp;N525</f>
        <v>827</v>
      </c>
      <c r="G525" t="s">
        <f>TEXT(D525,"mmm dd")</f>
        <v>828</v>
      </c>
      <c r="I525" t="s">
        <v>785</v>
      </c>
      <c r="J525" t="s">
        <v>829</v>
      </c>
      <c r="K525" t="s">
        <v>830</v>
      </c>
    </row>
    <row r="526" spans="1:23">
      <c r="A526">
        <v>23</v>
      </c>
      <c r="B526">
        <v>8</v>
      </c>
      <c r="C526">
        <v>2008</v>
      </c>
      <c r="D526" s="3" t="s">
        <f>B526&amp;"/"&amp;A526&amp;"/"&amp;C526</f>
        <v>826</v>
      </c>
      <c r="E526">
        <v>0.875</v>
      </c>
      <c r="F526" t="s">
        <f>I526&amp;" "&amp;J526&amp;" "&amp;K526&amp;" "&amp;L526&amp;" "&amp;M526&amp;" "&amp;N526</f>
        <v>831</v>
      </c>
      <c r="G526" t="s">
        <f>TEXT(D526,"mmm dd")</f>
        <v>828</v>
      </c>
      <c r="I526" t="s">
        <v>721</v>
      </c>
      <c r="J526" t="s">
        <v>832</v>
      </c>
      <c r="K526" t="s">
        <v>48</v>
      </c>
      <c r="L526" t="s">
        <v>833</v>
      </c>
      <c r="M526" t="s">
        <v>834</v>
      </c>
    </row>
    <row r="527" spans="1:23">
      <c r="A527">
        <v>23</v>
      </c>
      <c r="B527">
        <v>8</v>
      </c>
      <c r="C527">
        <v>2008</v>
      </c>
      <c r="D527" s="3" t="s">
        <f>B527&amp;"/"&amp;A527&amp;"/"&amp;C527</f>
        <v>826</v>
      </c>
      <c r="E527">
        <v>0.875</v>
      </c>
      <c r="F527" t="s">
        <f>I527&amp;" "&amp;J527&amp;" "&amp;K527&amp;" "&amp;L527&amp;" "&amp;M527&amp;" "&amp;N527</f>
        <v>831</v>
      </c>
      <c r="G527" t="s">
        <f>TEXT(D527,"mmm dd")</f>
        <v>828</v>
      </c>
      <c r="I527" t="s">
        <v>721</v>
      </c>
      <c r="J527" t="s">
        <v>832</v>
      </c>
      <c r="K527" t="s">
        <v>48</v>
      </c>
      <c r="L527" t="s">
        <v>833</v>
      </c>
      <c r="M527" t="s">
        <v>834</v>
      </c>
    </row>
    <row r="528" spans="1:23">
      <c r="A528">
        <v>23</v>
      </c>
      <c r="B528">
        <v>8</v>
      </c>
      <c r="C528">
        <v>2008</v>
      </c>
      <c r="D528" s="3" t="s">
        <f>B528&amp;"/"&amp;A528&amp;"/"&amp;C528</f>
        <v>826</v>
      </c>
      <c r="E528">
        <v>0.91666666666666663</v>
      </c>
      <c r="F528" t="s">
        <f>I528&amp;" "&amp;J528&amp;" "&amp;K528&amp;" "&amp;L528&amp;" "&amp;M528&amp;" "&amp;N528</f>
        <v>827</v>
      </c>
      <c r="G528" t="s">
        <f>TEXT(D528,"mmm dd")</f>
        <v>828</v>
      </c>
      <c r="I528" t="s">
        <v>785</v>
      </c>
      <c r="J528" t="s">
        <v>829</v>
      </c>
      <c r="K528" t="s">
        <v>830</v>
      </c>
    </row>
    <row r="529" spans="1:23">
      <c r="A529">
        <v>26</v>
      </c>
      <c r="B529">
        <v>8</v>
      </c>
      <c r="C529">
        <v>2008</v>
      </c>
      <c r="D529" s="3" t="s">
        <f>B529&amp;"/"&amp;A529&amp;"/"&amp;C529</f>
        <v>835</v>
      </c>
      <c r="E529">
        <v>0.29166666666666669</v>
      </c>
      <c r="F529" t="s">
        <f>I529&amp;" "&amp;J529&amp;" "&amp;K529&amp;" "&amp;L529&amp;" "&amp;M529&amp;" "&amp;N529</f>
        <v>836</v>
      </c>
      <c r="G529" t="s">
        <f>TEXT(D529,"mmm dd")</f>
        <v>837</v>
      </c>
      <c r="I529" t="s">
        <v>838</v>
      </c>
      <c r="J529" t="s">
        <v>591</v>
      </c>
      <c r="L529" t="s">
        <v>745</v>
      </c>
    </row>
    <row r="530" spans="1:23">
      <c r="A530">
        <v>26</v>
      </c>
      <c r="B530">
        <v>8</v>
      </c>
      <c r="C530">
        <v>2008</v>
      </c>
      <c r="D530" s="3" t="s">
        <f>B530&amp;"/"&amp;A530&amp;"/"&amp;C530</f>
        <v>835</v>
      </c>
      <c r="E530">
        <v>0.29166666666666669</v>
      </c>
      <c r="F530" t="s">
        <f>I530&amp;" "&amp;J530&amp;" "&amp;K530&amp;" "&amp;L530&amp;" "&amp;M530&amp;" "&amp;N530</f>
        <v>836</v>
      </c>
      <c r="G530" t="s">
        <f>TEXT(D530,"mmm dd")</f>
        <v>837</v>
      </c>
      <c r="I530" t="s">
        <v>838</v>
      </c>
      <c r="J530" t="s">
        <v>591</v>
      </c>
      <c r="L530" t="s">
        <v>745</v>
      </c>
    </row>
    <row r="531" spans="1:23">
      <c r="A531">
        <v>29</v>
      </c>
      <c r="B531">
        <v>8</v>
      </c>
      <c r="C531">
        <v>2008</v>
      </c>
      <c r="D531" s="3" t="s">
        <f>B531&amp;"/"&amp;A531&amp;"/"&amp;C531</f>
        <v>839</v>
      </c>
      <c r="E531">
        <v>0.27083333333333331</v>
      </c>
      <c r="F531" t="s">
        <f>I531&amp;" "&amp;J531&amp;" "&amp;K531&amp;" "&amp;L531&amp;" "&amp;M531&amp;" "&amp;N531</f>
        <v>840</v>
      </c>
      <c r="G531" t="s">
        <f>TEXT(D531,"mmm dd")</f>
        <v>841</v>
      </c>
      <c r="I531" t="s">
        <v>695</v>
      </c>
      <c r="J531" t="s">
        <v>842</v>
      </c>
      <c r="K531" t="s">
        <v>48</v>
      </c>
      <c r="L531" t="s">
        <v>843</v>
      </c>
      <c r="O531" t="s">
        <v>355</v>
      </c>
    </row>
    <row r="532" spans="1:23">
      <c r="A532">
        <v>29</v>
      </c>
      <c r="B532">
        <v>8</v>
      </c>
      <c r="C532">
        <v>2008</v>
      </c>
      <c r="D532" s="3" t="s">
        <f>B532&amp;"/"&amp;A532&amp;"/"&amp;C532</f>
        <v>839</v>
      </c>
      <c r="E532">
        <v>0.27083333333333331</v>
      </c>
      <c r="F532" t="s">
        <f>I532&amp;" "&amp;J532&amp;" "&amp;K532&amp;" "&amp;L532&amp;" "&amp;M532&amp;" "&amp;N532</f>
        <v>840</v>
      </c>
      <c r="G532" t="s">
        <f>TEXT(D532,"mmm dd")</f>
        <v>841</v>
      </c>
      <c r="I532" t="s">
        <v>695</v>
      </c>
      <c r="J532" t="s">
        <v>842</v>
      </c>
      <c r="K532" t="s">
        <v>48</v>
      </c>
      <c r="L532" t="s">
        <v>843</v>
      </c>
    </row>
    <row r="533" spans="1:23">
      <c r="A533">
        <v>30</v>
      </c>
      <c r="B533">
        <v>8</v>
      </c>
      <c r="C533">
        <v>2008</v>
      </c>
      <c r="D533" s="3" t="s">
        <f>B533&amp;"/"&amp;A533&amp;"/"&amp;C533</f>
        <v>844</v>
      </c>
      <c r="E533">
        <v>0.16666666666666666</v>
      </c>
      <c r="F533" t="s">
        <f>I533&amp;" "&amp;J533&amp;" "&amp;K533&amp;" "&amp;L533&amp;" "&amp;M533&amp;" "&amp;N533</f>
        <v>845</v>
      </c>
      <c r="G533" t="s">
        <f>TEXT(D533,"mmm dd")</f>
        <v>846</v>
      </c>
      <c r="I533" t="s">
        <v>847</v>
      </c>
      <c r="J533" t="s">
        <v>848</v>
      </c>
      <c r="K533" t="s">
        <v>439</v>
      </c>
      <c r="L533" t="s">
        <v>170</v>
      </c>
      <c r="O533" t="s">
        <v>165</v>
      </c>
      <c r="P533" t="s">
        <v>166</v>
      </c>
    </row>
    <row r="534" spans="1:23">
      <c r="A534">
        <v>30</v>
      </c>
      <c r="B534">
        <v>8</v>
      </c>
      <c r="C534">
        <v>2008</v>
      </c>
      <c r="D534" s="3" t="s">
        <f>B534&amp;"/"&amp;A534&amp;"/"&amp;C534</f>
        <v>844</v>
      </c>
      <c r="E534">
        <v>0.16666666666666666</v>
      </c>
      <c r="F534" t="s">
        <f>I534&amp;" "&amp;J534&amp;" "&amp;K534&amp;" "&amp;L534&amp;" "&amp;M534&amp;" "&amp;N534</f>
        <v>845</v>
      </c>
      <c r="G534" t="s">
        <f>TEXT(D534,"mmm dd")</f>
        <v>846</v>
      </c>
      <c r="I534" t="s">
        <v>847</v>
      </c>
      <c r="J534" t="s">
        <v>848</v>
      </c>
      <c r="K534" t="s">
        <v>439</v>
      </c>
      <c r="L534" t="s">
        <v>170</v>
      </c>
    </row>
    <row r="535" spans="1:23">
      <c r="A535">
        <v>3</v>
      </c>
      <c r="B535">
        <v>9</v>
      </c>
      <c r="C535">
        <v>2008</v>
      </c>
      <c r="D535" s="3" t="s">
        <f>B535&amp;"/"&amp;A535&amp;"/"&amp;C535</f>
        <v>849</v>
      </c>
      <c r="E535">
        <v>0.29166666666666669</v>
      </c>
      <c r="F535" t="s">
        <f>I535&amp;" "&amp;J535&amp;" "&amp;K535&amp;" "&amp;L535&amp;" "&amp;M535&amp;" "&amp;N535</f>
        <v>586</v>
      </c>
      <c r="G535" t="s">
        <f>TEXT(D535,"mmm dd")</f>
        <v>850</v>
      </c>
      <c r="I535" t="s">
        <v>587</v>
      </c>
      <c r="J535" t="s">
        <v>399</v>
      </c>
      <c r="K535" t="s">
        <v>497</v>
      </c>
      <c r="O535" t="s">
        <v>86</v>
      </c>
      <c r="P535" t="s">
        <v>332</v>
      </c>
      <c r="Q535" t="s">
        <v>333</v>
      </c>
    </row>
    <row r="536" spans="1:23">
      <c r="A536">
        <v>3</v>
      </c>
      <c r="B536">
        <v>9</v>
      </c>
      <c r="C536">
        <v>2008</v>
      </c>
      <c r="D536" s="3" t="s">
        <f>B536&amp;"/"&amp;A536&amp;"/"&amp;C536</f>
        <v>849</v>
      </c>
      <c r="E536" t="s">
        <v>42</v>
      </c>
      <c r="F536" t="s">
        <f>I536&amp;" "&amp;J536&amp;" "&amp;K536&amp;" "&amp;L536&amp;" "&amp;M536&amp;" "&amp;N536</f>
        <v>851</v>
      </c>
      <c r="G536" t="s">
        <f>TEXT(D536,"mmm dd")</f>
        <v>850</v>
      </c>
      <c r="I536" t="s">
        <v>852</v>
      </c>
      <c r="J536" t="s">
        <v>686</v>
      </c>
      <c r="K536" t="s">
        <v>853</v>
      </c>
      <c r="L536" t="s">
        <v>427</v>
      </c>
      <c r="M536" t="s">
        <v>439</v>
      </c>
      <c r="N536" t="s">
        <v>854</v>
      </c>
    </row>
    <row r="537" spans="1:23">
      <c r="A537">
        <v>3</v>
      </c>
      <c r="B537">
        <v>9</v>
      </c>
      <c r="C537">
        <v>2008</v>
      </c>
      <c r="D537" s="3" t="s">
        <f>B537&amp;"/"&amp;A537&amp;"/"&amp;C537</f>
        <v>849</v>
      </c>
      <c r="E537">
        <v>0.625</v>
      </c>
      <c r="F537" t="str">
        <f>I537&amp;" "&amp;J537&amp;" "&amp;K537&amp;" "&amp;L537&amp;" "&amp;M537&amp;" "&amp;N537</f>
        <v>Healing worship    </v>
      </c>
      <c r="G537" t="s">
        <f>TEXT(D537,"mmm dd")</f>
        <v>850</v>
      </c>
      <c r="I537" t="s">
        <v>855</v>
      </c>
      <c r="J537" t="inlineStr">
        <is>
          <t>worship</t>
        </is>
      </c>
    </row>
    <row r="538" spans="1:23">
      <c r="A538">
        <v>3</v>
      </c>
      <c r="B538">
        <v>9</v>
      </c>
      <c r="C538">
        <v>2008</v>
      </c>
      <c r="D538" s="3" t="s">
        <f>B538&amp;"/"&amp;A538&amp;"/"&amp;C538</f>
        <v>849</v>
      </c>
      <c r="E538">
        <v>0.29166666666666669</v>
      </c>
      <c r="F538" t="s">
        <f>I538&amp;" "&amp;J538&amp;" "&amp;K538&amp;" "&amp;L538&amp;" "&amp;M538&amp;" "&amp;N538</f>
        <v>586</v>
      </c>
      <c r="G538" t="s">
        <f>TEXT(D538,"mmm dd")</f>
        <v>850</v>
      </c>
      <c r="I538" t="s">
        <v>587</v>
      </c>
      <c r="J538" t="s">
        <v>399</v>
      </c>
      <c r="K538" t="s">
        <v>497</v>
      </c>
    </row>
    <row r="539" spans="1:23">
      <c r="A539">
        <v>3</v>
      </c>
      <c r="B539">
        <v>9</v>
      </c>
      <c r="C539">
        <v>2008</v>
      </c>
      <c r="D539" s="3" t="s">
        <f>B539&amp;"/"&amp;A539&amp;"/"&amp;C539</f>
        <v>849</v>
      </c>
      <c r="E539">
        <v>0.58333333333333337</v>
      </c>
      <c r="F539" t="str">
        <f>I539&amp;" "&amp;J539&amp;" "&amp;K539&amp;" "&amp;L539&amp;" "&amp;M539&amp;" "&amp;N539</f>
        <v>Free lunch    </v>
      </c>
      <c r="G539" t="s">
        <f>TEXT(D539,"mmm dd")</f>
        <v>850</v>
      </c>
      <c r="I539" t="inlineStr">
        <is>
          <t>Free</t>
        </is>
      </c>
      <c r="J539" t="s">
        <v>440</v>
      </c>
    </row>
    <row r="540" spans="1:23">
      <c r="A540">
        <v>3</v>
      </c>
      <c r="B540">
        <v>9</v>
      </c>
      <c r="C540">
        <v>2008</v>
      </c>
      <c r="D540" s="3" t="s">
        <f>B540&amp;"/"&amp;A540&amp;"/"&amp;C540</f>
        <v>849</v>
      </c>
      <c r="E540" t="s">
        <v>42</v>
      </c>
      <c r="F540" t="s">
        <f>I540&amp;" "&amp;J540&amp;" "&amp;K540&amp;" "&amp;L540&amp;" "&amp;M540&amp;" "&amp;N540</f>
        <v>851</v>
      </c>
      <c r="G540" t="s">
        <f>TEXT(D540,"mmm dd")</f>
        <v>850</v>
      </c>
      <c r="I540" t="s">
        <v>852</v>
      </c>
      <c r="J540" t="s">
        <v>686</v>
      </c>
      <c r="K540" t="s">
        <v>853</v>
      </c>
      <c r="L540" t="s">
        <v>427</v>
      </c>
      <c r="M540" t="s">
        <v>439</v>
      </c>
      <c r="N540" t="s">
        <v>854</v>
      </c>
    </row>
    <row r="541" spans="1:23">
      <c r="A541">
        <v>3</v>
      </c>
      <c r="B541">
        <v>9</v>
      </c>
      <c r="C541">
        <v>2008</v>
      </c>
      <c r="D541" s="3" t="s">
        <f>B541&amp;"/"&amp;A541&amp;"/"&amp;C541</f>
        <v>849</v>
      </c>
      <c r="E541">
        <v>0.5</v>
      </c>
      <c r="F541" t="str">
        <f>I541&amp;" "&amp;J541&amp;" "&amp;K541&amp;" "&amp;L541&amp;" "&amp;M541&amp;" "&amp;N541</f>
        <v>Bible class    </v>
      </c>
      <c r="G541" t="s">
        <f>TEXT(D541,"mmm dd")</f>
        <v>850</v>
      </c>
      <c r="I541" t="s">
        <v>856</v>
      </c>
      <c r="J541" t="s">
        <v>857</v>
      </c>
    </row>
    <row r="542" spans="1:23">
      <c r="A542">
        <v>6</v>
      </c>
      <c r="B542">
        <v>9</v>
      </c>
      <c r="C542">
        <v>2008</v>
      </c>
      <c r="D542" s="3" t="s">
        <f>B542&amp;"/"&amp;A542&amp;"/"&amp;C542</f>
        <v>858</v>
      </c>
      <c r="E542" t="s">
        <v>42</v>
      </c>
      <c r="F542" t="s">
        <f>I542&amp;" "&amp;J542&amp;" "&amp;K542&amp;" "&amp;L542&amp;" "&amp;M542&amp;" "&amp;N542</f>
        <v>859</v>
      </c>
      <c r="G542" t="s">
        <f>TEXT(D542,"mmm dd")</f>
        <v>860</v>
      </c>
      <c r="I542" t="s">
        <v>745</v>
      </c>
      <c r="J542" t="s">
        <v>746</v>
      </c>
      <c r="K542" t="s">
        <v>861</v>
      </c>
    </row>
    <row r="543" spans="1:23">
      <c r="A543">
        <v>6</v>
      </c>
      <c r="B543">
        <v>9</v>
      </c>
      <c r="C543">
        <v>2008</v>
      </c>
      <c r="D543" s="3" t="s">
        <f>B543&amp;"/"&amp;A543&amp;"/"&amp;C543</f>
        <v>858</v>
      </c>
      <c r="E543" t="s">
        <v>42</v>
      </c>
      <c r="F543" t="s">
        <f>I543&amp;" "&amp;J543&amp;" "&amp;K543&amp;" "&amp;L543&amp;" "&amp;M543&amp;" "&amp;N543</f>
        <v>859</v>
      </c>
      <c r="G543" t="s">
        <f>TEXT(D543,"mmm dd")</f>
        <v>860</v>
      </c>
      <c r="I543" t="s">
        <v>745</v>
      </c>
      <c r="J543" t="s">
        <v>746</v>
      </c>
      <c r="K543" t="s">
        <v>861</v>
      </c>
    </row>
    <row r="544" spans="1:23">
      <c r="A544">
        <v>6</v>
      </c>
      <c r="B544">
        <v>9</v>
      </c>
      <c r="C544">
        <v>2008</v>
      </c>
      <c r="D544" s="3" t="s">
        <f>B544&amp;"/"&amp;A544&amp;"/"&amp;C544</f>
        <v>858</v>
      </c>
      <c r="E544">
        <v>0.95833333333333337</v>
      </c>
      <c r="F544" t="s">
        <f>I544&amp;" "&amp;J544&amp;" "&amp;K544&amp;" "&amp;L544&amp;" "&amp;M544&amp;" "&amp;N544</f>
        <v>862</v>
      </c>
      <c r="G544" t="s">
        <f>TEXT(D544,"mmm dd")</f>
        <v>860</v>
      </c>
      <c r="I544" t="s">
        <v>361</v>
      </c>
      <c r="J544" t="s">
        <v>863</v>
      </c>
    </row>
    <row r="545" spans="1:23">
      <c r="A545">
        <v>13</v>
      </c>
      <c r="B545">
        <v>9</v>
      </c>
      <c r="C545">
        <v>2008</v>
      </c>
      <c r="D545" s="3" t="s">
        <f>B545&amp;"/"&amp;A545&amp;"/"&amp;C545</f>
        <v>864</v>
      </c>
      <c r="E545">
        <v>0.9375</v>
      </c>
      <c r="F545" t="s">
        <f>I545&amp;" "&amp;J545&amp;" "&amp;K545&amp;" "&amp;L545&amp;" "&amp;M545&amp;" "&amp;N545</f>
        <v>865</v>
      </c>
      <c r="G545" t="s">
        <f>TEXT(D545,"mmm dd")</f>
        <v>866</v>
      </c>
      <c r="I545" t="s">
        <v>730</v>
      </c>
      <c r="J545" t="s">
        <v>73</v>
      </c>
      <c r="K545" t="s">
        <v>731</v>
      </c>
      <c r="L545" t="s">
        <v>591</v>
      </c>
      <c r="N545" t="s">
        <v>867</v>
      </c>
    </row>
    <row r="546" spans="1:23">
      <c r="A546">
        <v>13</v>
      </c>
      <c r="B546">
        <v>9</v>
      </c>
      <c r="C546">
        <v>2008</v>
      </c>
      <c r="D546" s="3" t="s">
        <f>B546&amp;"/"&amp;A546&amp;"/"&amp;C546</f>
        <v>864</v>
      </c>
      <c r="E546">
        <v>0.9375</v>
      </c>
      <c r="F546" t="s">
        <f>I546&amp;" "&amp;J546&amp;" "&amp;K546&amp;" "&amp;L546&amp;" "&amp;M546&amp;" "&amp;N546</f>
        <v>865</v>
      </c>
      <c r="G546" t="s">
        <f>TEXT(D546,"mmm dd")</f>
        <v>866</v>
      </c>
      <c r="I546" t="s">
        <v>730</v>
      </c>
      <c r="J546" t="s">
        <v>73</v>
      </c>
      <c r="K546" t="s">
        <v>731</v>
      </c>
      <c r="L546" t="s">
        <v>591</v>
      </c>
      <c r="N546" t="s">
        <v>867</v>
      </c>
    </row>
    <row r="547" spans="1:23">
      <c r="A547">
        <v>16</v>
      </c>
      <c r="B547">
        <v>9</v>
      </c>
      <c r="C547">
        <v>2008</v>
      </c>
      <c r="D547" s="3" t="s">
        <f>B547&amp;"/"&amp;A547&amp;"/"&amp;C547</f>
        <v>868</v>
      </c>
      <c r="E547">
        <v>1</v>
      </c>
      <c r="F547" t="s">
        <f>I547&amp;" "&amp;J547&amp;" "&amp;K547&amp;" "&amp;L547&amp;" "&amp;M547&amp;" "&amp;N547</f>
        <v>869</v>
      </c>
      <c r="G547" t="s">
        <f>TEXT(D547,"mmm dd")</f>
        <v>870</v>
      </c>
      <c r="I547" t="s">
        <v>451</v>
      </c>
      <c r="J547" t="s">
        <v>609</v>
      </c>
      <c r="K547" t="s">
        <v>48</v>
      </c>
      <c r="L547" t="s">
        <v>218</v>
      </c>
      <c r="M547" t="s">
        <v>219</v>
      </c>
    </row>
    <row r="548" spans="1:23">
      <c r="A548">
        <v>16</v>
      </c>
      <c r="B548">
        <v>9</v>
      </c>
      <c r="C548">
        <v>2008</v>
      </c>
      <c r="D548" s="3" t="s">
        <f>B548&amp;"/"&amp;A548&amp;"/"&amp;C548</f>
        <v>868</v>
      </c>
      <c r="E548">
        <v>1</v>
      </c>
      <c r="F548" t="s">
        <f>I548&amp;" "&amp;J548&amp;" "&amp;K548&amp;" "&amp;L548&amp;" "&amp;M548&amp;" "&amp;N548</f>
        <v>869</v>
      </c>
      <c r="G548" t="s">
        <f>TEXT(D548,"mmm dd")</f>
        <v>870</v>
      </c>
      <c r="I548" t="s">
        <v>451</v>
      </c>
      <c r="J548" t="s">
        <v>609</v>
      </c>
      <c r="K548" t="s">
        <v>48</v>
      </c>
      <c r="L548" t="s">
        <v>218</v>
      </c>
      <c r="M548" t="s">
        <v>219</v>
      </c>
    </row>
    <row r="549" spans="1:23">
      <c r="A549">
        <v>17</v>
      </c>
      <c r="B549">
        <v>9</v>
      </c>
      <c r="C549">
        <v>2008</v>
      </c>
      <c r="D549" s="3" t="s">
        <f>B549&amp;"/"&amp;A549&amp;"/"&amp;C549</f>
        <v>871</v>
      </c>
      <c r="E549">
        <v>0.20833333333333334</v>
      </c>
      <c r="F549" t="str">
        <f>I549&amp;" "&amp;J549&amp;" "&amp;K549&amp;" "&amp;L549&amp;" "&amp;M549&amp;" "&amp;N549</f>
        <v>Lydia tennis game   </v>
      </c>
      <c r="G549" t="s">
        <f>TEXT(D549,"mmm dd")</f>
        <v>872</v>
      </c>
      <c r="I549" t="s">
        <v>772</v>
      </c>
      <c r="J549" t="s">
        <v>788</v>
      </c>
      <c r="K549" t="inlineStr">
        <is>
          <t>game</t>
        </is>
      </c>
    </row>
    <row r="550" spans="1:23">
      <c r="A550">
        <v>17</v>
      </c>
      <c r="B550">
        <v>9</v>
      </c>
      <c r="C550">
        <v>2008</v>
      </c>
      <c r="D550" s="3" t="s">
        <f>B550&amp;"/"&amp;A550&amp;"/"&amp;C550</f>
        <v>871</v>
      </c>
      <c r="E550">
        <v>0.15625</v>
      </c>
      <c r="F550" t="str">
        <f>I550&amp;" "&amp;J550&amp;" "&amp;K550&amp;" "&amp;L550&amp;" "&amp;M550&amp;" "&amp;N550</f>
        <v>Tom from Ikon   </v>
      </c>
      <c r="G550" t="s">
        <f>TEXT(D550,"mmm dd")</f>
        <v>872</v>
      </c>
      <c r="I550" t="s">
        <v>873</v>
      </c>
      <c r="J550" t="s">
        <v>874</v>
      </c>
      <c r="K550" t="s">
        <v>482</v>
      </c>
    </row>
    <row r="551" spans="1:23">
      <c r="A551">
        <v>18</v>
      </c>
      <c r="B551">
        <v>9</v>
      </c>
      <c r="C551">
        <v>2008</v>
      </c>
      <c r="D551" s="3" t="str">
        <f>B551&amp;"/"&amp;A551&amp;"/"&amp;C551</f>
        <v>9/18/2008</v>
      </c>
      <c r="E551">
        <v>0.20833333333333334</v>
      </c>
      <c r="F551" t="str">
        <f>I551&amp;" "&amp;J551&amp;" "&amp;K551&amp;" "&amp;L551&amp;" "&amp;M551&amp;" "&amp;N551</f>
        <v>Meet Convocation comm @ dioc </v>
      </c>
      <c r="G551" t="s">
        <f>TEXT(D551,"mmm dd")</f>
        <v>875</v>
      </c>
      <c r="I551" t="s">
        <v>300</v>
      </c>
      <c r="J551" t="s">
        <v>876</v>
      </c>
      <c r="K551" t="s">
        <v>399</v>
      </c>
      <c r="L551" t="s">
        <v>48</v>
      </c>
      <c r="M551" t="inlineStr">
        <is>
          <t>dioc</t>
        </is>
      </c>
    </row>
    <row r="552" spans="1:23">
      <c r="A552">
        <v>19</v>
      </c>
      <c r="B552">
        <v>9</v>
      </c>
      <c r="C552">
        <v>2008</v>
      </c>
      <c r="D552" s="3" t="s">
        <f>B552&amp;"/"&amp;A552&amp;"/"&amp;C552</f>
        <v>877</v>
      </c>
      <c r="E552" t="s">
        <v>42</v>
      </c>
      <c r="F552" t="s">
        <f>I552&amp;" "&amp;J552&amp;" "&amp;K552&amp;" "&amp;L552&amp;" "&amp;M552&amp;" "&amp;N552</f>
        <v>878</v>
      </c>
      <c r="G552" t="s">
        <f>TEXT(D552,"mmm dd")</f>
        <v>879</v>
      </c>
      <c r="I552" t="s">
        <v>880</v>
      </c>
      <c r="J552" t="s">
        <v>48</v>
      </c>
      <c r="K552" t="s">
        <v>208</v>
      </c>
      <c r="L552" t="s">
        <v>881</v>
      </c>
      <c r="M552" t="s">
        <v>882</v>
      </c>
      <c r="N552" t="s">
        <v>449</v>
      </c>
    </row>
    <row r="553" spans="1:23">
      <c r="A553">
        <v>19</v>
      </c>
      <c r="B553">
        <v>9</v>
      </c>
      <c r="C553">
        <v>2008</v>
      </c>
      <c r="D553" s="3" t="s">
        <f>B553&amp;"/"&amp;A553&amp;"/"&amp;C553</f>
        <v>877</v>
      </c>
      <c r="E553" t="s">
        <v>42</v>
      </c>
      <c r="F553" t="s">
        <f>I553&amp;" "&amp;J553&amp;" "&amp;K553&amp;" "&amp;L553&amp;" "&amp;M553&amp;" "&amp;N553</f>
        <v>878</v>
      </c>
      <c r="G553" t="s">
        <f>TEXT(D553,"mmm dd")</f>
        <v>879</v>
      </c>
      <c r="I553" t="s">
        <v>880</v>
      </c>
      <c r="J553" t="s">
        <v>48</v>
      </c>
      <c r="K553" t="s">
        <v>208</v>
      </c>
      <c r="L553" t="s">
        <v>881</v>
      </c>
      <c r="M553" t="s">
        <v>882</v>
      </c>
      <c r="N553" t="s">
        <v>449</v>
      </c>
    </row>
    <row r="554" spans="1:23">
      <c r="A554">
        <v>20</v>
      </c>
      <c r="B554">
        <v>9</v>
      </c>
      <c r="C554">
        <v>2008</v>
      </c>
      <c r="D554" s="3" t="s">
        <f>B554&amp;"/"&amp;A554&amp;"/"&amp;C554</f>
        <v>883</v>
      </c>
      <c r="E554">
        <v>0.95833333333333337</v>
      </c>
      <c r="F554" t="str">
        <f>I554&amp;" "&amp;J554&amp;" "&amp;K554&amp;" "&amp;L554&amp;" "&amp;M554&amp;" "&amp;N554</f>
        <v>Possible baptism rehearsal   </v>
      </c>
      <c r="G554" t="s">
        <f>TEXT(D554,"mmm dd")</f>
        <v>884</v>
      </c>
      <c r="I554" t="s">
        <v>885</v>
      </c>
      <c r="J554" t="s">
        <v>886</v>
      </c>
      <c r="K554" t="s">
        <v>863</v>
      </c>
    </row>
    <row r="555" spans="1:23">
      <c r="A555">
        <v>20</v>
      </c>
      <c r="B555">
        <v>9</v>
      </c>
      <c r="C555">
        <v>2008</v>
      </c>
      <c r="D555" s="3" t="s">
        <f>B555&amp;"/"&amp;A555&amp;"/"&amp;C555</f>
        <v>883</v>
      </c>
      <c r="E555">
        <v>0.875</v>
      </c>
      <c r="F555" t="str">
        <f>I555&amp;" "&amp;J555&amp;" "&amp;K555&amp;" "&amp;L555&amp;" "&amp;M555&amp;" "&amp;N555</f>
        <v>Altar Guild meeting   </v>
      </c>
      <c r="G555" t="s">
        <f>TEXT(D555,"mmm dd")</f>
        <v>884</v>
      </c>
      <c r="I555" t="s">
        <v>887</v>
      </c>
      <c r="J555" t="s">
        <v>888</v>
      </c>
      <c r="K555" t="s">
        <v>842</v>
      </c>
    </row>
    <row r="556" spans="1:23">
      <c r="A556">
        <v>21</v>
      </c>
      <c r="B556">
        <v>9</v>
      </c>
      <c r="C556">
        <v>2008</v>
      </c>
      <c r="D556" s="3" t="s">
        <f>B556&amp;"/"&amp;A556&amp;"/"&amp;C556</f>
        <v>889</v>
      </c>
      <c r="E556" t="s">
        <v>42</v>
      </c>
      <c r="F556" t="str">
        <f>I556&amp;" "&amp;J556&amp;" "&amp;K556&amp;" "&amp;L556&amp;" "&amp;M556&amp;" "&amp;N556</f>
        <v>Chang wedding    </v>
      </c>
      <c r="G556" t="s">
        <f>TEXT(D556,"mmm dd")</f>
        <v>890</v>
      </c>
      <c r="I556" t="s">
        <v>891</v>
      </c>
      <c r="J556" t="s">
        <v>861</v>
      </c>
    </row>
    <row r="557" spans="1:23">
      <c r="A557">
        <v>21</v>
      </c>
      <c r="B557">
        <v>9</v>
      </c>
      <c r="C557">
        <v>2008</v>
      </c>
      <c r="D557" s="3" t="s">
        <f>B557&amp;"/"&amp;A557&amp;"/"&amp;C557</f>
        <v>889</v>
      </c>
      <c r="E557" t="s">
        <v>42</v>
      </c>
      <c r="F557" t="str">
        <f>I557&amp;" "&amp;J557&amp;" "&amp;K557&amp;" "&amp;L557&amp;" "&amp;M557&amp;" "&amp;N557</f>
        <v>Chang baptism    </v>
      </c>
      <c r="G557" t="s">
        <f>TEXT(D557,"mmm dd")</f>
        <v>890</v>
      </c>
      <c r="I557" t="s">
        <v>891</v>
      </c>
      <c r="J557" t="s">
        <v>886</v>
      </c>
    </row>
    <row r="558" spans="1:23">
      <c r="A558">
        <v>23</v>
      </c>
      <c r="B558">
        <v>9</v>
      </c>
      <c r="C558">
        <v>2008</v>
      </c>
      <c r="D558" s="3" t="str">
        <f>B558&amp;"/"&amp;A558&amp;"/"&amp;C558</f>
        <v>9/23/2008</v>
      </c>
      <c r="E558">
        <v>0.3125</v>
      </c>
      <c r="F558" t="str">
        <f>I558&amp;" "&amp;J558&amp;" "&amp;K558&amp;" "&amp;L558&amp;" "&amp;M558&amp;" "&amp;N558</f>
        <v>Dinner w Michael in Kailua </v>
      </c>
      <c r="G558" t="s">
        <f>TEXT(D558,"mmm dd")</f>
        <v>892</v>
      </c>
      <c r="I558" t="s">
        <v>838</v>
      </c>
      <c r="J558" t="s">
        <v>591</v>
      </c>
      <c r="K558" t="s">
        <v>745</v>
      </c>
      <c r="L558" t="s">
        <v>372</v>
      </c>
      <c r="M558" t="inlineStr">
        <is>
          <t>Kailua</t>
        </is>
      </c>
    </row>
    <row r="559" spans="1:23">
      <c r="A559">
        <v>26</v>
      </c>
      <c r="B559">
        <v>9</v>
      </c>
      <c r="C559">
        <v>2008</v>
      </c>
      <c r="D559" s="3" t="s">
        <f>B559&amp;"/"&amp;A559&amp;"/"&amp;C559</f>
        <v>893</v>
      </c>
      <c r="E559">
        <v>0.875</v>
      </c>
      <c r="F559" t="s">
        <f>I559&amp;" "&amp;J559&amp;" "&amp;K559&amp;" "&amp;L559&amp;" "&amp;M559&amp;" "&amp;N559</f>
        <v>894</v>
      </c>
      <c r="G559" t="s">
        <f>TEXT(D559,"mmm dd")</f>
        <v>895</v>
      </c>
      <c r="I559" t="s">
        <v>769</v>
      </c>
      <c r="J559" t="s">
        <v>770</v>
      </c>
      <c r="K559" t="s">
        <v>439</v>
      </c>
      <c r="L559" t="s">
        <v>896</v>
      </c>
      <c r="M559" t="s">
        <v>897</v>
      </c>
    </row>
    <row r="560" spans="1:23">
      <c r="A560">
        <v>26</v>
      </c>
      <c r="B560">
        <v>9</v>
      </c>
      <c r="C560">
        <v>2008</v>
      </c>
      <c r="D560" s="3" t="s">
        <f>B560&amp;"/"&amp;A560&amp;"/"&amp;C560</f>
        <v>893</v>
      </c>
      <c r="E560">
        <v>0.27083333333333331</v>
      </c>
      <c r="F560" t="str">
        <f>I560&amp;" "&amp;J560&amp;" "&amp;K560&amp;" "&amp;L560&amp;" "&amp;M560&amp;" "&amp;N560</f>
        <v>Meeting for Europe trip in K111</v>
      </c>
      <c r="G560" t="s">
        <f>TEXT(D560,"mmm dd")</f>
        <v>895</v>
      </c>
      <c r="I560" t="s">
        <v>898</v>
      </c>
      <c r="J560" t="s">
        <v>439</v>
      </c>
      <c r="K560" t="inlineStr">
        <is>
          <t>Europe</t>
        </is>
      </c>
      <c r="L560" t="inlineStr">
        <is>
          <t>trip</t>
        </is>
      </c>
      <c r="M560" t="s">
        <v>372</v>
      </c>
      <c r="N560" t="inlineStr">
        <is>
          <t>K111</t>
        </is>
      </c>
    </row>
    <row r="561" spans="1:23">
      <c r="A561">
        <v>26</v>
      </c>
      <c r="B561">
        <v>9</v>
      </c>
      <c r="C561">
        <v>2008</v>
      </c>
      <c r="D561" s="3" t="s">
        <f>B561&amp;"/"&amp;A561&amp;"/"&amp;C561</f>
        <v>893</v>
      </c>
      <c r="E561">
        <v>0.875</v>
      </c>
      <c r="F561" t="s">
        <f>I561&amp;" "&amp;J561&amp;" "&amp;K561&amp;" "&amp;L561&amp;" "&amp;M561&amp;" "&amp;N561</f>
        <v>894</v>
      </c>
      <c r="G561" t="s">
        <f>TEXT(D561,"mmm dd")</f>
        <v>895</v>
      </c>
      <c r="I561" t="s">
        <v>769</v>
      </c>
      <c r="J561" t="s">
        <v>770</v>
      </c>
      <c r="K561" t="s">
        <v>439</v>
      </c>
      <c r="L561" t="s">
        <v>896</v>
      </c>
      <c r="M561" t="s">
        <v>897</v>
      </c>
    </row>
    <row r="562" spans="1:23">
      <c r="A562">
        <v>27</v>
      </c>
      <c r="B562">
        <v>9</v>
      </c>
      <c r="C562">
        <v>2008</v>
      </c>
      <c r="D562" s="3" t="s">
        <f>B562&amp;"/"&amp;A562&amp;"/"&amp;C562</f>
        <v>899</v>
      </c>
      <c r="E562">
        <v>0.91666666666666663</v>
      </c>
      <c r="F562" t="s">
        <f>I562&amp;" "&amp;J562&amp;" "&amp;K562&amp;" "&amp;L562&amp;" "&amp;M562&amp;" "&amp;N562</f>
        <v>900</v>
      </c>
      <c r="G562" t="s">
        <f>TEXT(D562,"mmm dd")</f>
        <v>901</v>
      </c>
      <c r="I562" t="s">
        <v>772</v>
      </c>
      <c r="J562" t="s">
        <v>788</v>
      </c>
      <c r="K562" t="s">
        <v>902</v>
      </c>
    </row>
    <row r="563" spans="1:23">
      <c r="A563">
        <v>27</v>
      </c>
      <c r="B563">
        <v>9</v>
      </c>
      <c r="C563">
        <v>2008</v>
      </c>
      <c r="D563" s="3" t="s">
        <f>B563&amp;"/"&amp;A563&amp;"/"&amp;C563</f>
        <v>899</v>
      </c>
      <c r="E563">
        <v>0.91666666666666663</v>
      </c>
      <c r="F563" t="s">
        <f>I563&amp;" "&amp;J563&amp;" "&amp;K563&amp;" "&amp;L563&amp;" "&amp;M563&amp;" "&amp;N563</f>
        <v>903</v>
      </c>
      <c r="G563" t="s">
        <f>TEXT(D563,"mmm dd")</f>
        <v>901</v>
      </c>
      <c r="I563" t="s">
        <v>164</v>
      </c>
      <c r="J563" t="s">
        <v>904</v>
      </c>
      <c r="K563" t="s">
        <v>905</v>
      </c>
      <c r="O563" t="s">
        <v>158</v>
      </c>
    </row>
    <row r="564" spans="1:23">
      <c r="A564">
        <v>27</v>
      </c>
      <c r="B564">
        <v>9</v>
      </c>
      <c r="C564">
        <v>2008</v>
      </c>
      <c r="D564" s="3" t="s">
        <f>B564&amp;"/"&amp;A564&amp;"/"&amp;C564</f>
        <v>899</v>
      </c>
      <c r="E564">
        <v>0.91666666666666663</v>
      </c>
      <c r="F564" t="s">
        <f>I564&amp;" "&amp;J564&amp;" "&amp;K564&amp;" "&amp;L564&amp;" "&amp;M564&amp;" "&amp;N564</f>
        <v>906</v>
      </c>
      <c r="G564" t="s">
        <f>TEXT(D564,"mmm dd")</f>
        <v>901</v>
      </c>
      <c r="I564" t="s">
        <v>907</v>
      </c>
      <c r="J564" t="s">
        <v>908</v>
      </c>
      <c r="K564" t="s">
        <v>48</v>
      </c>
      <c r="L564" t="s">
        <v>218</v>
      </c>
      <c r="M564" t="s">
        <v>909</v>
      </c>
    </row>
    <row r="565" spans="1:23">
      <c r="A565">
        <v>27</v>
      </c>
      <c r="B565">
        <v>9</v>
      </c>
      <c r="C565">
        <v>2008</v>
      </c>
      <c r="D565" s="3" t="s">
        <f>B565&amp;"/"&amp;A565&amp;"/"&amp;C565</f>
        <v>899</v>
      </c>
      <c r="E565">
        <v>0.91666666666666663</v>
      </c>
      <c r="F565" t="s">
        <f>I565&amp;" "&amp;J565&amp;" "&amp;K565&amp;" "&amp;L565&amp;" "&amp;M565&amp;" "&amp;N565</f>
        <v>903</v>
      </c>
      <c r="G565" t="s">
        <f>TEXT(D565,"mmm dd")</f>
        <v>901</v>
      </c>
      <c r="I565" t="s">
        <v>164</v>
      </c>
      <c r="J565" t="s">
        <v>904</v>
      </c>
      <c r="K565" t="s">
        <v>905</v>
      </c>
    </row>
    <row r="566" spans="1:23">
      <c r="A566">
        <v>27</v>
      </c>
      <c r="B566">
        <v>9</v>
      </c>
      <c r="C566">
        <v>2008</v>
      </c>
      <c r="D566" s="3" t="s">
        <f>B566&amp;"/"&amp;A566&amp;"/"&amp;C566</f>
        <v>899</v>
      </c>
      <c r="E566">
        <v>0.91666666666666663</v>
      </c>
      <c r="F566" t="s">
        <f>I566&amp;" "&amp;J566&amp;" "&amp;K566&amp;" "&amp;L566&amp;" "&amp;M566&amp;" "&amp;N566</f>
        <v>900</v>
      </c>
      <c r="G566" t="s">
        <f>TEXT(D566,"mmm dd")</f>
        <v>901</v>
      </c>
      <c r="I566" t="s">
        <v>772</v>
      </c>
      <c r="J566" t="s">
        <v>788</v>
      </c>
      <c r="K566" t="s">
        <v>902</v>
      </c>
    </row>
    <row r="567" spans="1:23">
      <c r="A567">
        <v>27</v>
      </c>
      <c r="B567">
        <v>9</v>
      </c>
      <c r="C567">
        <v>2008</v>
      </c>
      <c r="D567" s="3" t="s">
        <f>B567&amp;"/"&amp;A567&amp;"/"&amp;C567</f>
        <v>899</v>
      </c>
      <c r="E567">
        <v>0.91666666666666663</v>
      </c>
      <c r="F567" t="s">
        <f>I567&amp;" "&amp;J567&amp;" "&amp;K567&amp;" "&amp;L567&amp;" "&amp;M567&amp;" "&amp;N567</f>
        <v>906</v>
      </c>
      <c r="G567" t="s">
        <f>TEXT(D567,"mmm dd")</f>
        <v>901</v>
      </c>
      <c r="I567" t="s">
        <v>907</v>
      </c>
      <c r="J567" t="s">
        <v>908</v>
      </c>
      <c r="K567" t="s">
        <v>48</v>
      </c>
      <c r="L567" t="s">
        <v>218</v>
      </c>
      <c r="M567" t="s">
        <v>909</v>
      </c>
    </row>
    <row r="568" spans="1:23">
      <c r="A568">
        <v>28</v>
      </c>
      <c r="B568">
        <v>9</v>
      </c>
      <c r="C568">
        <v>2008</v>
      </c>
      <c r="D568" s="3" t="s">
        <f>B568&amp;"/"&amp;A568&amp;"/"&amp;C568</f>
        <v>910</v>
      </c>
      <c r="E568" t="s">
        <v>42</v>
      </c>
      <c r="F568" t="s">
        <f>I568&amp;" "&amp;J568&amp;" "&amp;K568&amp;" "&amp;L568&amp;" "&amp;M568&amp;" "&amp;N568</f>
        <v>911</v>
      </c>
      <c r="G568" t="s">
        <f>TEXT(D568,"mmm dd")</f>
        <v>912</v>
      </c>
      <c r="I568" t="s">
        <v>46</v>
      </c>
      <c r="J568" t="s">
        <v>913</v>
      </c>
    </row>
    <row r="569" spans="1:23">
      <c r="A569">
        <v>28</v>
      </c>
      <c r="B569">
        <v>9</v>
      </c>
      <c r="C569">
        <v>2008</v>
      </c>
      <c r="D569" s="3" t="s">
        <f>B569&amp;"/"&amp;A569&amp;"/"&amp;C569</f>
        <v>910</v>
      </c>
      <c r="E569" t="s">
        <v>42</v>
      </c>
      <c r="F569" t="s">
        <f>I569&amp;" "&amp;J569&amp;" "&amp;K569&amp;" "&amp;L569&amp;" "&amp;M569&amp;" "&amp;N569</f>
        <v>911</v>
      </c>
      <c r="G569" t="s">
        <f>TEXT(D569,"mmm dd")</f>
        <v>912</v>
      </c>
      <c r="I569" t="s">
        <v>46</v>
      </c>
      <c r="J569" t="s">
        <v>913</v>
      </c>
    </row>
    <row r="570" spans="1:23">
      <c r="A570">
        <v>30</v>
      </c>
      <c r="B570">
        <v>9</v>
      </c>
      <c r="C570">
        <v>2008</v>
      </c>
      <c r="D570" s="3" t="s">
        <f>B570&amp;"/"&amp;A570&amp;"/"&amp;C570</f>
        <v>914</v>
      </c>
      <c r="E570">
        <v>0.20833333333333334</v>
      </c>
      <c r="F570" t="s">
        <f>I570&amp;" "&amp;J570&amp;" "&amp;K570&amp;" "&amp;L570&amp;" "&amp;M570&amp;" "&amp;N570</f>
        <v>915</v>
      </c>
      <c r="G570" t="s">
        <f>TEXT(D570,"mmm dd")</f>
        <v>916</v>
      </c>
      <c r="I570" t="s">
        <v>847</v>
      </c>
      <c r="J570" t="s">
        <v>917</v>
      </c>
      <c r="K570" t="s">
        <v>918</v>
      </c>
      <c r="L570" t="s">
        <v>439</v>
      </c>
      <c r="M570" t="s">
        <v>170</v>
      </c>
      <c r="O570" t="s">
        <v>213</v>
      </c>
    </row>
    <row r="571" spans="1:23">
      <c r="A571">
        <v>30</v>
      </c>
      <c r="B571">
        <v>9</v>
      </c>
      <c r="C571">
        <v>2008</v>
      </c>
      <c r="D571" s="3" t="s">
        <f>B571&amp;"/"&amp;A571&amp;"/"&amp;C571</f>
        <v>914</v>
      </c>
      <c r="E571">
        <v>0.20833333333333334</v>
      </c>
      <c r="F571" t="s">
        <f>I571&amp;" "&amp;J571&amp;" "&amp;K571&amp;" "&amp;L571&amp;" "&amp;M571&amp;" "&amp;N571</f>
        <v>915</v>
      </c>
      <c r="G571" t="s">
        <f>TEXT(D571,"mmm dd")</f>
        <v>916</v>
      </c>
      <c r="I571" t="s">
        <v>847</v>
      </c>
      <c r="J571" t="s">
        <v>917</v>
      </c>
      <c r="K571" t="s">
        <v>918</v>
      </c>
      <c r="L571" t="s">
        <v>439</v>
      </c>
      <c r="M571" t="s">
        <v>170</v>
      </c>
    </row>
    <row r="572" spans="1:23">
      <c r="A572">
        <v>3</v>
      </c>
      <c r="B572">
        <v>10</v>
      </c>
      <c r="C572">
        <v>2008</v>
      </c>
      <c r="D572" s="3" t="str">
        <f>B572&amp;"/"&amp;A572&amp;"/"&amp;C572</f>
        <v>10/3/2008</v>
      </c>
      <c r="E572" t="s">
        <v>42</v>
      </c>
      <c r="F572" t="s">
        <f>I572&amp;" "&amp;J572&amp;" "&amp;K572&amp;" "&amp;L572&amp;" "&amp;M572&amp;" "&amp;N572</f>
        <v>919</v>
      </c>
      <c r="G572" t="s">
        <f>TEXT(D572,"mmm dd")</f>
        <v>920</v>
      </c>
      <c r="I572" t="s">
        <v>164</v>
      </c>
      <c r="J572" t="s">
        <v>921</v>
      </c>
    </row>
    <row r="573" spans="1:23">
      <c r="A573">
        <v>9</v>
      </c>
      <c r="B573">
        <v>10</v>
      </c>
      <c r="C573">
        <v>2008</v>
      </c>
      <c r="D573" s="3" t="s">
        <f>B573&amp;"/"&amp;A573&amp;"/"&amp;C573</f>
        <v>922</v>
      </c>
      <c r="E573">
        <v>0.95833333333333337</v>
      </c>
      <c r="F573" t="s">
        <f>I573&amp;" "&amp;J573&amp;" "&amp;K573&amp;" "&amp;L573&amp;" "&amp;M573&amp;" "&amp;N573</f>
        <v>923</v>
      </c>
      <c r="G573" t="s">
        <f>TEXT(D573,"mmm dd")</f>
        <v>924</v>
      </c>
      <c r="I573" t="s">
        <v>925</v>
      </c>
      <c r="J573" t="s">
        <v>926</v>
      </c>
      <c r="K573" t="s">
        <v>633</v>
      </c>
      <c r="L573" t="s">
        <v>927</v>
      </c>
      <c r="M573" t="s">
        <v>372</v>
      </c>
      <c r="N573" t="s">
        <v>928</v>
      </c>
    </row>
    <row r="574" spans="1:23">
      <c r="A574">
        <v>9</v>
      </c>
      <c r="B574">
        <v>10</v>
      </c>
      <c r="C574">
        <v>2008</v>
      </c>
      <c r="D574" s="3" t="s">
        <f>B574&amp;"/"&amp;A574&amp;"/"&amp;C574</f>
        <v>922</v>
      </c>
      <c r="E574">
        <v>0.91666666666666663</v>
      </c>
      <c r="F574" t="s">
        <f>I574&amp;" "&amp;J574&amp;" "&amp;K574&amp;" "&amp;L574&amp;" "&amp;M574&amp;" "&amp;N574</f>
        <v>929</v>
      </c>
      <c r="G574" t="s">
        <f>TEXT(D574,"mmm dd")</f>
        <v>924</v>
      </c>
      <c r="I574" t="s">
        <v>930</v>
      </c>
      <c r="J574" t="s">
        <v>591</v>
      </c>
      <c r="L574" t="s">
        <v>52</v>
      </c>
      <c r="M574" t="s">
        <v>48</v>
      </c>
      <c r="N574" t="s">
        <v>292</v>
      </c>
    </row>
    <row r="575" spans="1:23">
      <c r="A575">
        <v>9</v>
      </c>
      <c r="B575">
        <v>10</v>
      </c>
      <c r="C575">
        <v>2008</v>
      </c>
      <c r="D575" s="3" t="s">
        <f>B575&amp;"/"&amp;A575&amp;"/"&amp;C575</f>
        <v>922</v>
      </c>
      <c r="E575">
        <v>0.91666666666666663</v>
      </c>
      <c r="F575" t="s">
        <f>I575&amp;" "&amp;J575&amp;" "&amp;K575&amp;" "&amp;L575&amp;" "&amp;M575&amp;" "&amp;N575</f>
        <v>929</v>
      </c>
      <c r="G575" t="s">
        <f>TEXT(D575,"mmm dd")</f>
        <v>924</v>
      </c>
      <c r="I575" t="s">
        <v>930</v>
      </c>
      <c r="J575" t="s">
        <v>591</v>
      </c>
      <c r="L575" t="s">
        <v>52</v>
      </c>
      <c r="M575" t="s">
        <v>48</v>
      </c>
      <c r="N575" t="s">
        <v>292</v>
      </c>
    </row>
    <row r="576" spans="1:23">
      <c r="A576">
        <v>9</v>
      </c>
      <c r="B576">
        <v>10</v>
      </c>
      <c r="C576">
        <v>2008</v>
      </c>
      <c r="D576" s="3" t="s">
        <f>B576&amp;"/"&amp;A576&amp;"/"&amp;C576</f>
        <v>922</v>
      </c>
      <c r="E576">
        <v>0.95833333333333337</v>
      </c>
      <c r="F576" t="s">
        <f>I576&amp;" "&amp;J576&amp;" "&amp;K576&amp;" "&amp;L576&amp;" "&amp;M576&amp;" "&amp;N576</f>
        <v>923</v>
      </c>
      <c r="G576" t="s">
        <f>TEXT(D576,"mmm dd")</f>
        <v>924</v>
      </c>
      <c r="I576" t="s">
        <v>925</v>
      </c>
      <c r="J576" t="s">
        <v>926</v>
      </c>
      <c r="K576" t="s">
        <v>633</v>
      </c>
      <c r="L576" t="s">
        <v>927</v>
      </c>
      <c r="M576" t="s">
        <v>372</v>
      </c>
      <c r="N576" t="s">
        <v>928</v>
      </c>
    </row>
    <row r="577" spans="1:23">
      <c r="A577">
        <v>11</v>
      </c>
      <c r="B577">
        <v>10</v>
      </c>
      <c r="C577">
        <v>2008</v>
      </c>
      <c r="D577" s="3" t="s">
        <f>B577&amp;"/"&amp;A577&amp;"/"&amp;C577</f>
        <v>931</v>
      </c>
      <c r="E577">
        <v>0.20833333333333334</v>
      </c>
      <c r="F577" t="s">
        <f>I577&amp;" "&amp;J577&amp;" "&amp;K577&amp;" "&amp;L577&amp;" "&amp;M577&amp;" "&amp;N577</f>
        <v>932</v>
      </c>
      <c r="G577" t="s">
        <f>TEXT(D577,"mmm dd")</f>
        <v>933</v>
      </c>
      <c r="I577" t="s">
        <v>934</v>
      </c>
      <c r="J577" t="s">
        <v>842</v>
      </c>
      <c r="K577" t="s">
        <v>48</v>
      </c>
      <c r="L577" t="s">
        <v>935</v>
      </c>
      <c r="M577" t="s">
        <v>692</v>
      </c>
    </row>
    <row r="578" spans="1:23">
      <c r="A578">
        <v>11</v>
      </c>
      <c r="B578">
        <v>10</v>
      </c>
      <c r="C578">
        <v>2008</v>
      </c>
      <c r="D578" s="3" t="s">
        <f>B578&amp;"/"&amp;A578&amp;"/"&amp;C578</f>
        <v>931</v>
      </c>
      <c r="E578">
        <v>0.20833333333333334</v>
      </c>
      <c r="F578" t="s">
        <f>I578&amp;" "&amp;J578&amp;" "&amp;K578&amp;" "&amp;L578&amp;" "&amp;M578&amp;" "&amp;N578</f>
        <v>932</v>
      </c>
      <c r="G578" t="s">
        <f>TEXT(D578,"mmm dd")</f>
        <v>933</v>
      </c>
      <c r="I578" t="s">
        <v>934</v>
      </c>
      <c r="J578" t="s">
        <v>842</v>
      </c>
      <c r="K578" t="s">
        <v>48</v>
      </c>
      <c r="L578" t="s">
        <v>935</v>
      </c>
      <c r="M578" t="s">
        <v>692</v>
      </c>
    </row>
    <row r="579" spans="1:23">
      <c r="A579">
        <v>14</v>
      </c>
      <c r="B579">
        <v>10</v>
      </c>
      <c r="C579">
        <v>2008</v>
      </c>
      <c r="D579" s="3" t="s">
        <f>B579&amp;"/"&amp;A579&amp;"/"&amp;C579</f>
        <v>936</v>
      </c>
      <c r="E579">
        <v>0.20833333333333334</v>
      </c>
      <c r="F579" t="s">
        <f>I579&amp;" "&amp;J579&amp;" "&amp;K579&amp;" "&amp;L579&amp;" "&amp;M579&amp;" "&amp;N579</f>
        <v>937</v>
      </c>
      <c r="G579" t="s">
        <f>TEXT(D579,"mmm dd")</f>
        <v>938</v>
      </c>
      <c r="I579" t="s">
        <v>847</v>
      </c>
      <c r="J579" t="s">
        <v>918</v>
      </c>
    </row>
    <row r="580" spans="1:23">
      <c r="A580">
        <v>14</v>
      </c>
      <c r="B580">
        <v>10</v>
      </c>
      <c r="C580">
        <v>2008</v>
      </c>
      <c r="D580" s="3" t="s">
        <f>B580&amp;"/"&amp;A580&amp;"/"&amp;C580</f>
        <v>936</v>
      </c>
      <c r="E580">
        <v>0.875</v>
      </c>
      <c r="F580" t="s">
        <f>I580&amp;" "&amp;J580&amp;" "&amp;K580&amp;" "&amp;L580&amp;" "&amp;M580&amp;" "&amp;N580</f>
        <v>939</v>
      </c>
      <c r="G580" t="s">
        <f>TEXT(D580,"mmm dd")</f>
        <v>938</v>
      </c>
      <c r="I580" t="s">
        <v>52</v>
      </c>
      <c r="J580" t="s">
        <v>55</v>
      </c>
    </row>
    <row r="581" spans="1:23">
      <c r="A581">
        <v>15</v>
      </c>
      <c r="B581">
        <v>10</v>
      </c>
      <c r="C581">
        <v>2008</v>
      </c>
      <c r="D581" s="3" t="s">
        <f>B581&amp;"/"&amp;A581&amp;"/"&amp;C581</f>
        <v>940</v>
      </c>
      <c r="E581">
        <v>0.33333333333333331</v>
      </c>
      <c r="F581" t="s">
        <f>I581&amp;" "&amp;J581&amp;" "&amp;K581&amp;" "&amp;L581&amp;" "&amp;M581&amp;" "&amp;N581</f>
        <v>941</v>
      </c>
      <c r="G581" t="s">
        <f>TEXT(D581,"mmm dd")</f>
        <v>942</v>
      </c>
      <c r="I581" t="s">
        <v>164</v>
      </c>
      <c r="J581" t="s">
        <v>943</v>
      </c>
      <c r="K581" t="s">
        <v>48</v>
      </c>
      <c r="L581" t="s">
        <v>944</v>
      </c>
      <c r="M581" t="s">
        <v>945</v>
      </c>
      <c r="N581" t="s">
        <v>946</v>
      </c>
    </row>
    <row r="582" spans="1:23">
      <c r="A582">
        <v>15</v>
      </c>
      <c r="B582">
        <v>10</v>
      </c>
      <c r="C582">
        <v>2008</v>
      </c>
      <c r="D582" s="3" t="s">
        <f>B582&amp;"/"&amp;A582&amp;"/"&amp;C582</f>
        <v>940</v>
      </c>
      <c r="E582">
        <v>0.33333333333333331</v>
      </c>
      <c r="F582" t="s">
        <f>I582&amp;" "&amp;J582&amp;" "&amp;K582&amp;" "&amp;L582&amp;" "&amp;M582&amp;" "&amp;N582</f>
        <v>941</v>
      </c>
      <c r="G582" t="s">
        <f>TEXT(D582,"mmm dd")</f>
        <v>942</v>
      </c>
      <c r="I582" t="s">
        <v>164</v>
      </c>
      <c r="J582" t="s">
        <v>943</v>
      </c>
      <c r="K582" t="s">
        <v>48</v>
      </c>
      <c r="L582" t="s">
        <v>944</v>
      </c>
      <c r="M582" t="s">
        <v>945</v>
      </c>
      <c r="N582" t="s">
        <v>946</v>
      </c>
    </row>
    <row r="583" spans="1:23">
      <c r="A583">
        <v>17</v>
      </c>
      <c r="B583">
        <v>10</v>
      </c>
      <c r="C583">
        <v>2008</v>
      </c>
      <c r="D583" s="3" t="s">
        <f>B583&amp;"/"&amp;A583&amp;"/"&amp;C583</f>
        <v>947</v>
      </c>
      <c r="E583">
        <v>1.0833333333333333</v>
      </c>
      <c r="F583" t="s">
        <f>I583&amp;" "&amp;J583&amp;" "&amp;K583&amp;" "&amp;L583&amp;" "&amp;M583&amp;" "&amp;N583</f>
        <v>948</v>
      </c>
      <c r="G583" t="s">
        <f>TEXT(D583,"mmm dd")</f>
        <v>949</v>
      </c>
      <c r="I583" t="s">
        <v>950</v>
      </c>
      <c r="J583" t="s">
        <v>951</v>
      </c>
      <c r="K583" t="s">
        <v>48</v>
      </c>
      <c r="L583" t="s">
        <v>756</v>
      </c>
      <c r="M583" t="s">
        <v>537</v>
      </c>
      <c r="O583" t="s">
        <v>222</v>
      </c>
    </row>
    <row r="584" spans="1:23">
      <c r="A584">
        <v>17</v>
      </c>
      <c r="B584">
        <v>10</v>
      </c>
      <c r="C584">
        <v>2008</v>
      </c>
      <c r="D584" s="3" t="s">
        <f>B584&amp;"/"&amp;A584&amp;"/"&amp;C584</f>
        <v>947</v>
      </c>
      <c r="E584">
        <v>1.0833333333333333</v>
      </c>
      <c r="F584" t="s">
        <f>I584&amp;" "&amp;J584&amp;" "&amp;K584&amp;" "&amp;L584&amp;" "&amp;M584&amp;" "&amp;N584</f>
        <v>948</v>
      </c>
      <c r="G584" t="s">
        <f>TEXT(D584,"mmm dd")</f>
        <v>949</v>
      </c>
      <c r="I584" t="s">
        <v>950</v>
      </c>
      <c r="J584" t="s">
        <v>951</v>
      </c>
      <c r="K584" t="s">
        <v>48</v>
      </c>
      <c r="L584" t="s">
        <v>756</v>
      </c>
      <c r="M584" t="s">
        <v>537</v>
      </c>
    </row>
    <row r="585" spans="1:23">
      <c r="A585">
        <v>23</v>
      </c>
      <c r="B585">
        <v>10</v>
      </c>
      <c r="C585">
        <v>2008</v>
      </c>
      <c r="D585" s="3" t="str">
        <f>B585&amp;"/"&amp;A585&amp;"/"&amp;C585</f>
        <v>10/23/2008</v>
      </c>
      <c r="E585">
        <v>0.89583333333333337</v>
      </c>
      <c r="F585" t="s">
        <f>I585&amp;" "&amp;J585&amp;" "&amp;K585&amp;" "&amp;L585&amp;" "&amp;M585&amp;" "&amp;N585</f>
        <v>952</v>
      </c>
      <c r="G585" t="s">
        <f>TEXT(D585,"mmm dd")</f>
        <v>953</v>
      </c>
      <c r="I585" t="s">
        <v>291</v>
      </c>
      <c r="J585" t="s">
        <v>55</v>
      </c>
    </row>
    <row r="586" spans="1:23">
      <c r="A586">
        <v>24</v>
      </c>
      <c r="B586">
        <v>10</v>
      </c>
      <c r="C586">
        <v>2008</v>
      </c>
      <c r="D586" s="3" t="s">
        <f>B586&amp;"/"&amp;A586&amp;"/"&amp;C586</f>
        <v>954</v>
      </c>
      <c r="E586">
        <v>0.29166666666666669</v>
      </c>
      <c r="F586" t="s">
        <f>I586&amp;" "&amp;J586&amp;" "&amp;K586&amp;" "&amp;L586&amp;" "&amp;M586&amp;" "&amp;N586</f>
        <v>955</v>
      </c>
      <c r="G586" t="s">
        <f>TEXT(D586,"mmm dd")</f>
        <v>956</v>
      </c>
      <c r="I586" t="s">
        <v>838</v>
      </c>
      <c r="J586" t="s">
        <v>48</v>
      </c>
      <c r="K586" t="s">
        <v>218</v>
      </c>
      <c r="L586" t="s">
        <v>957</v>
      </c>
      <c r="M586" t="s">
        <v>958</v>
      </c>
    </row>
    <row r="587" spans="1:23">
      <c r="A587">
        <v>24</v>
      </c>
      <c r="B587">
        <v>10</v>
      </c>
      <c r="C587">
        <v>2008</v>
      </c>
      <c r="D587" s="3" t="s">
        <f>B587&amp;"/"&amp;A587&amp;"/"&amp;C587</f>
        <v>954</v>
      </c>
      <c r="E587">
        <v>0.29166666666666669</v>
      </c>
      <c r="F587" t="s">
        <f>I587&amp;" "&amp;J587&amp;" "&amp;K587&amp;" "&amp;L587&amp;" "&amp;M587&amp;" "&amp;N587</f>
        <v>955</v>
      </c>
      <c r="G587" t="s">
        <f>TEXT(D587,"mmm dd")</f>
        <v>956</v>
      </c>
      <c r="I587" t="s">
        <v>838</v>
      </c>
      <c r="J587" t="s">
        <v>48</v>
      </c>
      <c r="K587" t="s">
        <v>218</v>
      </c>
      <c r="L587" t="s">
        <v>957</v>
      </c>
      <c r="M587" t="s">
        <v>958</v>
      </c>
    </row>
    <row r="588" spans="1:23">
      <c r="A588">
        <v>28</v>
      </c>
      <c r="B588">
        <v>10</v>
      </c>
      <c r="C588">
        <v>2008</v>
      </c>
      <c r="D588" s="3" t="str">
        <f>B588&amp;"/"&amp;A588&amp;"/"&amp;C588</f>
        <v>10/28/2008</v>
      </c>
      <c r="E588">
        <v>1</v>
      </c>
      <c r="F588" t="str">
        <f>I588&amp;" "&amp;J588&amp;" "&amp;K588&amp;" "&amp;L588&amp;" "&amp;M588&amp;" "&amp;N588</f>
        <v>Lunch with East Hon @ steak</v>
      </c>
      <c r="G588" t="s">
        <f>TEXT(D588,"mmm dd")</f>
        <v>959</v>
      </c>
      <c r="I588" t="s">
        <v>813</v>
      </c>
      <c r="J588" t="s">
        <v>755</v>
      </c>
      <c r="K588" t="s">
        <v>451</v>
      </c>
      <c r="L588" t="s">
        <v>485</v>
      </c>
      <c r="M588" t="s">
        <v>48</v>
      </c>
      <c r="N588" t="inlineStr">
        <is>
          <t>steak</t>
        </is>
      </c>
    </row>
    <row r="589" spans="1:23">
      <c r="A589">
        <v>29</v>
      </c>
      <c r="B589">
        <v>10</v>
      </c>
      <c r="C589">
        <v>2008</v>
      </c>
      <c r="D589" s="3" t="s">
        <f>B589&amp;"/"&amp;A589&amp;"/"&amp;C589</f>
        <v>960</v>
      </c>
      <c r="E589">
        <v>0.41666666666666669</v>
      </c>
      <c r="F589" t="s">
        <f>I589&amp;" "&amp;J589&amp;" "&amp;K589&amp;" "&amp;L589&amp;" "&amp;M589&amp;" "&amp;N589</f>
        <v>961</v>
      </c>
      <c r="G589" t="s">
        <f>TEXT(D589,"mmm dd")</f>
        <v>962</v>
      </c>
      <c r="I589" t="s">
        <v>963</v>
      </c>
      <c r="J589" t="s">
        <v>807</v>
      </c>
      <c r="K589" t="s">
        <v>964</v>
      </c>
    </row>
    <row r="590" spans="1:23">
      <c r="A590">
        <v>29</v>
      </c>
      <c r="B590">
        <v>10</v>
      </c>
      <c r="C590">
        <v>2008</v>
      </c>
      <c r="D590" s="3" t="s">
        <f>B590&amp;"/"&amp;A590&amp;"/"&amp;C590</f>
        <v>960</v>
      </c>
      <c r="E590">
        <v>0.41666666666666669</v>
      </c>
      <c r="F590" t="s">
        <f>I590&amp;" "&amp;J590&amp;" "&amp;K590&amp;" "&amp;L590&amp;" "&amp;M590&amp;" "&amp;N590</f>
        <v>961</v>
      </c>
      <c r="G590" t="s">
        <f>TEXT(D590,"mmm dd")</f>
        <v>962</v>
      </c>
      <c r="I590" t="s">
        <v>963</v>
      </c>
      <c r="J590" t="s">
        <v>807</v>
      </c>
      <c r="K590" t="s">
        <v>964</v>
      </c>
    </row>
    <row r="591" spans="1:23">
      <c r="A591">
        <v>30</v>
      </c>
      <c r="B591">
        <v>10</v>
      </c>
      <c r="C591">
        <v>2008</v>
      </c>
      <c r="D591" s="3" t="s">
        <f>B591&amp;"/"&amp;A591&amp;"/"&amp;C591</f>
        <v>965</v>
      </c>
      <c r="E591">
        <v>0.29166666666666669</v>
      </c>
      <c r="F591" t="s">
        <f>I591&amp;" "&amp;J591&amp;" "&amp;K591&amp;" "&amp;L591&amp;" "&amp;M591&amp;" "&amp;N591</f>
        <v>966</v>
      </c>
      <c r="G591" t="s">
        <f>TEXT(D591,"mmm dd")</f>
        <v>967</v>
      </c>
      <c r="I591" t="s">
        <v>756</v>
      </c>
      <c r="J591" t="s">
        <v>968</v>
      </c>
      <c r="K591" t="s">
        <v>591</v>
      </c>
      <c r="M591" t="s">
        <v>721</v>
      </c>
      <c r="N591" t="s">
        <v>969</v>
      </c>
    </row>
    <row r="592" spans="1:23">
      <c r="A592">
        <v>30</v>
      </c>
      <c r="B592">
        <v>10</v>
      </c>
      <c r="C592">
        <v>2008</v>
      </c>
      <c r="D592" s="3" t="s">
        <f>B592&amp;"/"&amp;A592&amp;"/"&amp;C592</f>
        <v>965</v>
      </c>
      <c r="E592">
        <v>0.29166666666666669</v>
      </c>
      <c r="F592" t="s">
        <f>I592&amp;" "&amp;J592&amp;" "&amp;K592&amp;" "&amp;L592&amp;" "&amp;M592&amp;" "&amp;N592</f>
        <v>966</v>
      </c>
      <c r="G592" t="s">
        <f>TEXT(D592,"mmm dd")</f>
        <v>967</v>
      </c>
      <c r="I592" t="s">
        <v>756</v>
      </c>
      <c r="J592" t="s">
        <v>968</v>
      </c>
      <c r="K592" t="s">
        <v>591</v>
      </c>
      <c r="M592" t="s">
        <v>721</v>
      </c>
      <c r="N592" t="s">
        <v>969</v>
      </c>
    </row>
    <row r="593" spans="1:23">
      <c r="A593">
        <v>31</v>
      </c>
      <c r="B593">
        <v>10</v>
      </c>
      <c r="C593">
        <v>2008</v>
      </c>
      <c r="D593" s="3" t="s">
        <f>B593&amp;"/"&amp;A593&amp;"/"&amp;C593</f>
        <v>970</v>
      </c>
      <c r="E593">
        <v>0.875</v>
      </c>
      <c r="F593" t="s">
        <f>I593&amp;" "&amp;J593&amp;" "&amp;K593&amp;" "&amp;L593&amp;" "&amp;M593&amp;" "&amp;N593</f>
        <v>971</v>
      </c>
      <c r="G593" t="s">
        <f>TEXT(D593,"mmm dd")</f>
        <v>30</v>
      </c>
      <c r="I593" t="s">
        <v>52</v>
      </c>
      <c r="J593" t="s">
        <v>972</v>
      </c>
      <c r="K593" t="s">
        <v>973</v>
      </c>
    </row>
    <row r="594" spans="1:23">
      <c r="A594">
        <v>31</v>
      </c>
      <c r="B594">
        <v>10</v>
      </c>
      <c r="C594">
        <v>2008</v>
      </c>
      <c r="D594" s="3" t="s">
        <f>B594&amp;"/"&amp;A594&amp;"/"&amp;C594</f>
        <v>970</v>
      </c>
      <c r="E594">
        <v>0.14583333333333334</v>
      </c>
      <c r="F594" t="s">
        <f>I594&amp;" "&amp;J594&amp;" "&amp;K594&amp;" "&amp;L594&amp;" "&amp;M594&amp;" "&amp;N594</f>
        <v>974</v>
      </c>
      <c r="G594" t="s">
        <f>TEXT(D594,"mmm dd")</f>
        <v>30</v>
      </c>
      <c r="I594" t="s">
        <v>907</v>
      </c>
      <c r="J594" t="s">
        <v>975</v>
      </c>
      <c r="K594" t="s">
        <v>497</v>
      </c>
    </row>
    <row r="595" spans="1:23">
      <c r="A595">
        <v>31</v>
      </c>
      <c r="B595">
        <v>10</v>
      </c>
      <c r="C595">
        <v>2008</v>
      </c>
      <c r="D595" s="3" t="s">
        <f>B595&amp;"/"&amp;A595&amp;"/"&amp;C595</f>
        <v>970</v>
      </c>
      <c r="E595">
        <v>0.875</v>
      </c>
      <c r="F595" t="s">
        <f>I595&amp;" "&amp;J595&amp;" "&amp;K595&amp;" "&amp;L595&amp;" "&amp;M595&amp;" "&amp;N595</f>
        <v>971</v>
      </c>
      <c r="G595" t="s">
        <f>TEXT(D595,"mmm dd")</f>
        <v>30</v>
      </c>
      <c r="I595" t="s">
        <v>52</v>
      </c>
      <c r="J595" t="s">
        <v>972</v>
      </c>
      <c r="K595" t="s">
        <v>973</v>
      </c>
    </row>
    <row r="596" spans="1:23">
      <c r="A596">
        <v>31</v>
      </c>
      <c r="B596">
        <v>10</v>
      </c>
      <c r="C596">
        <v>2008</v>
      </c>
      <c r="D596" s="3" t="s">
        <f>B596&amp;"/"&amp;A596&amp;"/"&amp;C596</f>
        <v>970</v>
      </c>
      <c r="E596">
        <v>0.14583333333333334</v>
      </c>
      <c r="F596" t="s">
        <f>I596&amp;" "&amp;J596&amp;" "&amp;K596&amp;" "&amp;L596&amp;" "&amp;M596&amp;" "&amp;N596</f>
        <v>974</v>
      </c>
      <c r="G596" t="s">
        <f>TEXT(D596,"mmm dd")</f>
        <v>30</v>
      </c>
      <c r="I596" t="s">
        <v>907</v>
      </c>
      <c r="J596" t="s">
        <v>975</v>
      </c>
      <c r="K596" t="s">
        <v>497</v>
      </c>
    </row>
    <row r="597" spans="1:23">
      <c r="A597">
        <v>1</v>
      </c>
      <c r="B597">
        <v>11</v>
      </c>
      <c r="C597">
        <v>2008</v>
      </c>
      <c r="D597" s="3" t="s">
        <f>B597&amp;"/"&amp;A597&amp;"/"&amp;C597</f>
        <v>976</v>
      </c>
      <c r="E597">
        <v>0.91666666666666663</v>
      </c>
      <c r="F597" t="s">
        <f>I597&amp;" "&amp;J597&amp;" "&amp;K597&amp;" "&amp;L597&amp;" "&amp;M597&amp;" "&amp;N597</f>
        <v>977</v>
      </c>
      <c r="G597" t="s">
        <f>TEXT(D597,"mmm dd")</f>
        <v>978</v>
      </c>
      <c r="I597" t="s">
        <v>170</v>
      </c>
      <c r="J597" t="s">
        <v>449</v>
      </c>
      <c r="K597" t="s">
        <v>979</v>
      </c>
      <c r="L597" t="s">
        <v>980</v>
      </c>
    </row>
    <row r="598" spans="1:23">
      <c r="A598">
        <v>1</v>
      </c>
      <c r="B598">
        <v>11</v>
      </c>
      <c r="C598">
        <v>2008</v>
      </c>
      <c r="D598" s="3" t="s">
        <f>B598&amp;"/"&amp;A598&amp;"/"&amp;C598</f>
        <v>976</v>
      </c>
      <c r="E598">
        <v>0.91666666666666663</v>
      </c>
      <c r="F598" t="s">
        <f>I598&amp;" "&amp;J598&amp;" "&amp;K598&amp;" "&amp;L598&amp;" "&amp;M598&amp;" "&amp;N598</f>
        <v>977</v>
      </c>
      <c r="G598" t="s">
        <f>TEXT(D598,"mmm dd")</f>
        <v>978</v>
      </c>
      <c r="I598" t="s">
        <v>170</v>
      </c>
      <c r="J598" t="s">
        <v>449</v>
      </c>
      <c r="K598" t="s">
        <v>979</v>
      </c>
      <c r="L598" t="s">
        <v>980</v>
      </c>
    </row>
    <row r="599" spans="1:23">
      <c r="A599">
        <v>8</v>
      </c>
      <c r="B599">
        <v>11</v>
      </c>
      <c r="C599">
        <v>2008</v>
      </c>
      <c r="D599" s="3" t="s">
        <f>B599&amp;"/"&amp;A599&amp;"/"&amp;C599</f>
        <v>981</v>
      </c>
      <c r="E599">
        <v>0.17708333333333334</v>
      </c>
      <c r="F599" t="s">
        <f>I599&amp;" "&amp;J599&amp;" "&amp;K599&amp;" "&amp;L599&amp;" "&amp;M599&amp;" "&amp;N599</f>
        <v>937</v>
      </c>
      <c r="G599" t="s">
        <f>TEXT(D599,"mmm dd")</f>
        <v>36</v>
      </c>
      <c r="I599" t="s">
        <v>847</v>
      </c>
      <c r="J599" t="s">
        <v>918</v>
      </c>
      <c r="O599" t="s">
        <v>139</v>
      </c>
      <c r="P599" t="s">
        <v>222</v>
      </c>
    </row>
    <row r="600" spans="1:23">
      <c r="A600">
        <v>8</v>
      </c>
      <c r="B600">
        <v>11</v>
      </c>
      <c r="C600">
        <v>2008</v>
      </c>
      <c r="D600" s="3" t="s">
        <f>B600&amp;"/"&amp;A600&amp;"/"&amp;C600</f>
        <v>981</v>
      </c>
      <c r="E600">
        <v>0.17708333333333334</v>
      </c>
      <c r="F600" t="s">
        <f>I600&amp;" "&amp;J600&amp;" "&amp;K600&amp;" "&amp;L600&amp;" "&amp;M600&amp;" "&amp;N600</f>
        <v>937</v>
      </c>
      <c r="G600" t="s">
        <f>TEXT(D600,"mmm dd")</f>
        <v>36</v>
      </c>
      <c r="I600" t="s">
        <v>847</v>
      </c>
      <c r="J600" t="s">
        <v>918</v>
      </c>
    </row>
    <row r="601" spans="1:23">
      <c r="A601">
        <v>10</v>
      </c>
      <c r="B601">
        <v>11</v>
      </c>
      <c r="C601">
        <v>2008</v>
      </c>
      <c r="D601" s="3" t="s">
        <f>B601&amp;"/"&amp;A601&amp;"/"&amp;C601</f>
        <v>982</v>
      </c>
      <c r="E601">
        <v>0.875</v>
      </c>
      <c r="F601" t="s">
        <f>I601&amp;" "&amp;J601&amp;" "&amp;K601&amp;" "&amp;L601&amp;" "&amp;M601&amp;" "&amp;N601</f>
        <v>937</v>
      </c>
      <c r="G601" t="s">
        <f>TEXT(D601,"mmm dd")</f>
        <v>983</v>
      </c>
      <c r="I601" t="s">
        <v>847</v>
      </c>
      <c r="J601" t="s">
        <v>918</v>
      </c>
    </row>
    <row r="602" spans="1:23">
      <c r="A602">
        <v>10</v>
      </c>
      <c r="B602">
        <v>11</v>
      </c>
      <c r="C602">
        <v>2008</v>
      </c>
      <c r="D602" s="3" t="s">
        <f>B602&amp;"/"&amp;A602&amp;"/"&amp;C602</f>
        <v>982</v>
      </c>
      <c r="E602">
        <v>0.875</v>
      </c>
      <c r="F602" t="s">
        <f>I602&amp;" "&amp;J602&amp;" "&amp;K602&amp;" "&amp;L602&amp;" "&amp;M602&amp;" "&amp;N602</f>
        <v>937</v>
      </c>
      <c r="G602" t="s">
        <f>TEXT(D602,"mmm dd")</f>
        <v>983</v>
      </c>
      <c r="I602" t="s">
        <v>847</v>
      </c>
      <c r="J602" t="s">
        <v>918</v>
      </c>
    </row>
    <row r="603" spans="1:23">
      <c r="A603">
        <v>11</v>
      </c>
      <c r="B603">
        <v>11</v>
      </c>
      <c r="C603">
        <v>2008</v>
      </c>
      <c r="D603" s="3" t="s">
        <f>B603&amp;"/"&amp;A603&amp;"/"&amp;C603</f>
        <v>984</v>
      </c>
      <c r="E603">
        <v>0.27083333333333331</v>
      </c>
      <c r="F603" t="s">
        <f>I603&amp;" "&amp;J603&amp;" "&amp;K603&amp;" "&amp;L603&amp;" "&amp;M603&amp;" "&amp;N603</f>
        <v>985</v>
      </c>
      <c r="G603" t="s">
        <f>TEXT(D603,"mmm dd")</f>
        <v>986</v>
      </c>
      <c r="I603" t="s">
        <v>170</v>
      </c>
      <c r="J603" t="s">
        <v>987</v>
      </c>
      <c r="O603" t="s">
        <v>222</v>
      </c>
    </row>
    <row r="604" spans="1:23">
      <c r="A604">
        <v>11</v>
      </c>
      <c r="B604">
        <v>11</v>
      </c>
      <c r="C604">
        <v>2008</v>
      </c>
      <c r="D604" s="3" t="s">
        <f>B604&amp;"/"&amp;A604&amp;"/"&amp;C604</f>
        <v>984</v>
      </c>
      <c r="E604">
        <v>0.875</v>
      </c>
      <c r="F604" t="s">
        <f>I604&amp;" "&amp;J604&amp;" "&amp;K604&amp;" "&amp;L604&amp;" "&amp;M604&amp;" "&amp;N604</f>
        <v>988</v>
      </c>
      <c r="G604" t="s">
        <f>TEXT(D604,"mmm dd")</f>
        <v>986</v>
      </c>
      <c r="I604" t="s">
        <v>989</v>
      </c>
      <c r="J604" t="s">
        <v>990</v>
      </c>
      <c r="K604" t="s">
        <v>502</v>
      </c>
    </row>
    <row r="605" spans="1:23">
      <c r="A605">
        <v>11</v>
      </c>
      <c r="B605">
        <v>11</v>
      </c>
      <c r="C605">
        <v>2008</v>
      </c>
      <c r="D605" s="3" t="s">
        <f>B605&amp;"/"&amp;A605&amp;"/"&amp;C605</f>
        <v>984</v>
      </c>
      <c r="E605">
        <v>0.27083333333333331</v>
      </c>
      <c r="F605" t="s">
        <f>I605&amp;" "&amp;J605&amp;" "&amp;K605&amp;" "&amp;L605&amp;" "&amp;M605&amp;" "&amp;N605</f>
        <v>985</v>
      </c>
      <c r="G605" t="s">
        <f>TEXT(D605,"mmm dd")</f>
        <v>986</v>
      </c>
      <c r="I605" t="s">
        <v>170</v>
      </c>
      <c r="J605" t="s">
        <v>987</v>
      </c>
    </row>
    <row r="606" spans="1:23">
      <c r="A606">
        <v>11</v>
      </c>
      <c r="B606">
        <v>11</v>
      </c>
      <c r="C606">
        <v>2008</v>
      </c>
      <c r="D606" s="3" t="s">
        <f>B606&amp;"/"&amp;A606&amp;"/"&amp;C606</f>
        <v>984</v>
      </c>
      <c r="E606">
        <v>0.875</v>
      </c>
      <c r="F606" t="s">
        <f>I606&amp;" "&amp;J606&amp;" "&amp;K606&amp;" "&amp;L606&amp;" "&amp;M606&amp;" "&amp;N606</f>
        <v>988</v>
      </c>
      <c r="G606" t="s">
        <f>TEXT(D606,"mmm dd")</f>
        <v>986</v>
      </c>
      <c r="I606" t="s">
        <v>989</v>
      </c>
      <c r="J606" t="s">
        <v>990</v>
      </c>
      <c r="K606" t="s">
        <v>502</v>
      </c>
    </row>
    <row r="607" spans="1:23">
      <c r="A607">
        <v>12</v>
      </c>
      <c r="B607">
        <v>11</v>
      </c>
      <c r="C607">
        <v>2008</v>
      </c>
      <c r="D607" s="3" t="s">
        <f>B607&amp;"/"&amp;A607&amp;"/"&amp;C607</f>
        <v>991</v>
      </c>
      <c r="E607">
        <v>1</v>
      </c>
      <c r="F607" t="s">
        <f>I607&amp;" "&amp;J607&amp;" "&amp;K607&amp;" "&amp;L607&amp;" "&amp;M607&amp;" "&amp;N607</f>
        <v>992</v>
      </c>
      <c r="G607" t="s">
        <f>TEXT(D607,"mmm dd")</f>
        <v>993</v>
      </c>
      <c r="I607" t="s">
        <v>994</v>
      </c>
      <c r="J607" t="s">
        <v>995</v>
      </c>
      <c r="K607" t="s">
        <v>996</v>
      </c>
    </row>
    <row r="608" spans="1:23">
      <c r="A608">
        <v>12</v>
      </c>
      <c r="B608">
        <v>11</v>
      </c>
      <c r="C608">
        <v>2008</v>
      </c>
      <c r="D608" s="3" t="s">
        <f>B608&amp;"/"&amp;A608&amp;"/"&amp;C608</f>
        <v>991</v>
      </c>
      <c r="E608">
        <v>1</v>
      </c>
      <c r="F608" t="s">
        <f>I608&amp;" "&amp;J608&amp;" "&amp;K608&amp;" "&amp;L608&amp;" "&amp;M608&amp;" "&amp;N608</f>
        <v>992</v>
      </c>
      <c r="G608" t="s">
        <f>TEXT(D608,"mmm dd")</f>
        <v>993</v>
      </c>
      <c r="I608" t="s">
        <v>994</v>
      </c>
      <c r="J608" t="s">
        <v>995</v>
      </c>
      <c r="K608" t="s">
        <v>996</v>
      </c>
    </row>
    <row r="609" spans="1:23">
      <c r="A609">
        <v>13</v>
      </c>
      <c r="B609">
        <v>11</v>
      </c>
      <c r="C609">
        <v>2008</v>
      </c>
      <c r="D609" s="3" t="s">
        <f>B609&amp;"/"&amp;A609&amp;"/"&amp;C609</f>
        <v>997</v>
      </c>
      <c r="E609">
        <v>0.1875</v>
      </c>
      <c r="F609" t="s">
        <f>I609&amp;" "&amp;J609&amp;" "&amp;K609&amp;" "&amp;L609&amp;" "&amp;M609&amp;" "&amp;N609</f>
        <v>998</v>
      </c>
      <c r="G609" t="s">
        <f>TEXT(D609,"mmm dd")</f>
        <v>37</v>
      </c>
      <c r="I609" t="s">
        <v>999</v>
      </c>
      <c r="J609" t="s">
        <v>1000</v>
      </c>
      <c r="K609" t="s">
        <v>1001</v>
      </c>
      <c r="L609" t="s">
        <v>170</v>
      </c>
    </row>
    <row r="610" spans="1:23">
      <c r="A610">
        <v>13</v>
      </c>
      <c r="B610">
        <v>11</v>
      </c>
      <c r="C610">
        <v>2008</v>
      </c>
      <c r="D610" s="3" t="s">
        <f>B610&amp;"/"&amp;A610&amp;"/"&amp;C610</f>
        <v>997</v>
      </c>
      <c r="E610">
        <v>0.8125</v>
      </c>
      <c r="F610" t="s">
        <f>I610&amp;" "&amp;J610&amp;" "&amp;K610&amp;" "&amp;L610&amp;" "&amp;M610&amp;" "&amp;N610</f>
        <v>1002</v>
      </c>
      <c r="G610" t="s">
        <f>TEXT(D610,"mmm dd")</f>
        <v>37</v>
      </c>
      <c r="I610" t="s">
        <v>806</v>
      </c>
      <c r="J610" t="s">
        <v>807</v>
      </c>
      <c r="K610" t="s">
        <v>1003</v>
      </c>
      <c r="L610" t="s">
        <v>439</v>
      </c>
      <c r="M610" t="s">
        <v>1004</v>
      </c>
    </row>
    <row r="611" spans="1:23">
      <c r="A611">
        <v>13</v>
      </c>
      <c r="B611">
        <v>11</v>
      </c>
      <c r="C611">
        <v>2008</v>
      </c>
      <c r="D611" s="3" t="s">
        <f>B611&amp;"/"&amp;A611&amp;"/"&amp;C611</f>
        <v>997</v>
      </c>
      <c r="E611">
        <v>0.1875</v>
      </c>
      <c r="F611" t="s">
        <f>I611&amp;" "&amp;J611&amp;" "&amp;K611&amp;" "&amp;L611&amp;" "&amp;M611&amp;" "&amp;N611</f>
        <v>998</v>
      </c>
      <c r="G611" t="s">
        <f>TEXT(D611,"mmm dd")</f>
        <v>37</v>
      </c>
      <c r="I611" t="s">
        <v>999</v>
      </c>
      <c r="J611" t="s">
        <v>1000</v>
      </c>
      <c r="K611" t="s">
        <v>1001</v>
      </c>
      <c r="L611" t="s">
        <v>170</v>
      </c>
    </row>
    <row r="612" spans="1:23">
      <c r="A612">
        <v>13</v>
      </c>
      <c r="B612">
        <v>11</v>
      </c>
      <c r="C612">
        <v>2008</v>
      </c>
      <c r="D612" s="3" t="s">
        <f>B612&amp;"/"&amp;A612&amp;"/"&amp;C612</f>
        <v>997</v>
      </c>
      <c r="E612">
        <v>0.8125</v>
      </c>
      <c r="F612" t="s">
        <f>I612&amp;" "&amp;J612&amp;" "&amp;K612&amp;" "&amp;L612&amp;" "&amp;M612&amp;" "&amp;N612</f>
        <v>1002</v>
      </c>
      <c r="G612" t="s">
        <f>TEXT(D612,"mmm dd")</f>
        <v>37</v>
      </c>
      <c r="I612" t="s">
        <v>806</v>
      </c>
      <c r="J612" t="s">
        <v>807</v>
      </c>
      <c r="K612" t="s">
        <v>1003</v>
      </c>
      <c r="L612" t="s">
        <v>439</v>
      </c>
      <c r="M612" t="s">
        <v>1004</v>
      </c>
    </row>
    <row r="613" spans="1:23">
      <c r="A613">
        <v>14</v>
      </c>
      <c r="B613">
        <v>11</v>
      </c>
      <c r="C613">
        <v>2008</v>
      </c>
      <c r="D613" s="3" t="s">
        <f>B613&amp;"/"&amp;A613&amp;"/"&amp;C613</f>
        <v>1005</v>
      </c>
      <c r="E613">
        <v>0.1875</v>
      </c>
      <c r="F613" t="s">
        <f>I613&amp;" "&amp;J613&amp;" "&amp;K613&amp;" "&amp;L613&amp;" "&amp;M613&amp;" "&amp;N613</f>
        <v>1006</v>
      </c>
      <c r="G613" t="s">
        <f>TEXT(D613,"mmm dd")</f>
        <v>1007</v>
      </c>
      <c r="I613" t="s">
        <v>1008</v>
      </c>
      <c r="J613" t="s">
        <v>439</v>
      </c>
      <c r="K613" t="s">
        <v>1009</v>
      </c>
    </row>
    <row r="614" spans="1:23">
      <c r="A614">
        <v>14</v>
      </c>
      <c r="B614">
        <v>11</v>
      </c>
      <c r="C614">
        <v>2008</v>
      </c>
      <c r="D614" s="3" t="s">
        <f>B614&amp;"/"&amp;A614&amp;"/"&amp;C614</f>
        <v>1005</v>
      </c>
      <c r="E614">
        <v>0.1875</v>
      </c>
      <c r="F614" t="s">
        <f>I614&amp;" "&amp;J614&amp;" "&amp;K614&amp;" "&amp;L614&amp;" "&amp;M614&amp;" "&amp;N614</f>
        <v>1006</v>
      </c>
      <c r="G614" t="s">
        <f>TEXT(D614,"mmm dd")</f>
        <v>1007</v>
      </c>
      <c r="I614" t="s">
        <v>1008</v>
      </c>
      <c r="J614" t="s">
        <v>439</v>
      </c>
      <c r="K614" t="s">
        <v>1009</v>
      </c>
    </row>
    <row r="615" spans="1:23">
      <c r="A615">
        <v>15</v>
      </c>
      <c r="B615">
        <v>11</v>
      </c>
      <c r="C615">
        <v>2008</v>
      </c>
      <c r="D615" s="3" t="s">
        <f>B615&amp;"/"&amp;A615&amp;"/"&amp;C615</f>
        <v>1010</v>
      </c>
      <c r="E615">
        <v>0.875</v>
      </c>
      <c r="F615" t="s">
        <f>I615&amp;" "&amp;J615&amp;" "&amp;K615&amp;" "&amp;L615&amp;" "&amp;M615&amp;" "&amp;N615</f>
        <v>1011</v>
      </c>
      <c r="G615" t="s">
        <f>TEXT(D615,"mmm dd")</f>
        <v>1012</v>
      </c>
      <c r="I615" t="s">
        <v>1013</v>
      </c>
      <c r="J615" t="s">
        <v>1003</v>
      </c>
    </row>
    <row r="616" spans="1:23">
      <c r="A616">
        <v>15</v>
      </c>
      <c r="B616">
        <v>11</v>
      </c>
      <c r="C616">
        <v>2008</v>
      </c>
      <c r="D616" s="3" t="s">
        <f>B616&amp;"/"&amp;A616&amp;"/"&amp;C616</f>
        <v>1010</v>
      </c>
      <c r="E616">
        <v>1.0416666666666667</v>
      </c>
      <c r="F616" t="str">
        <f>I616&amp;" "&amp;J616&amp;" "&amp;K616&amp;" "&amp;L616&amp;" "&amp;M616&amp;" "&amp;N616</f>
        <v>Stewardship luncheon &amp; Shoebox ministry </v>
      </c>
      <c r="G616" t="s">
        <f>TEXT(D616,"mmm dd")</f>
        <v>1012</v>
      </c>
      <c r="I616" t="s">
        <v>907</v>
      </c>
      <c r="J616" t="s">
        <v>1014</v>
      </c>
      <c r="K616" t="s">
        <v>73</v>
      </c>
      <c r="L616" t="s">
        <v>1015</v>
      </c>
      <c r="M616" t="s">
        <v>1016</v>
      </c>
    </row>
    <row r="617" spans="1:23">
      <c r="A617">
        <v>15</v>
      </c>
      <c r="B617">
        <v>11</v>
      </c>
      <c r="C617">
        <v>2008</v>
      </c>
      <c r="D617" s="3" t="s">
        <f>B617&amp;"/"&amp;A617&amp;"/"&amp;C617</f>
        <v>1010</v>
      </c>
      <c r="E617">
        <v>0.875</v>
      </c>
      <c r="F617" t="s">
        <f>I617&amp;" "&amp;J617&amp;" "&amp;K617&amp;" "&amp;L617&amp;" "&amp;M617&amp;" "&amp;N617</f>
        <v>1011</v>
      </c>
      <c r="G617" t="s">
        <f>TEXT(D617,"mmm dd")</f>
        <v>1012</v>
      </c>
      <c r="I617" t="s">
        <v>1013</v>
      </c>
      <c r="J617" t="s">
        <v>1003</v>
      </c>
    </row>
    <row r="618" spans="1:23">
      <c r="A618">
        <v>17</v>
      </c>
      <c r="B618">
        <v>11</v>
      </c>
      <c r="C618">
        <v>2008</v>
      </c>
      <c r="D618" s="3" t="s">
        <f>B618&amp;"/"&amp;A618&amp;"/"&amp;C618</f>
        <v>1017</v>
      </c>
      <c r="E618">
        <v>0.91666666666666663</v>
      </c>
      <c r="F618" t="s">
        <f>I618&amp;" "&amp;J618&amp;" "&amp;K618&amp;" "&amp;L618&amp;" "&amp;M618&amp;" "&amp;N618</f>
        <v>1018</v>
      </c>
      <c r="G618" t="s">
        <f>TEXT(D618,"mmm dd")</f>
        <v>1019</v>
      </c>
      <c r="I618" t="s">
        <v>847</v>
      </c>
      <c r="J618" t="s">
        <v>770</v>
      </c>
      <c r="K618" t="s">
        <v>767</v>
      </c>
      <c r="L618" t="s">
        <v>768</v>
      </c>
    </row>
    <row r="619" spans="1:23">
      <c r="A619">
        <v>17</v>
      </c>
      <c r="B619">
        <v>11</v>
      </c>
      <c r="C619">
        <v>2008</v>
      </c>
      <c r="D619" s="3" t="s">
        <f>B619&amp;"/"&amp;A619&amp;"/"&amp;C619</f>
        <v>1017</v>
      </c>
      <c r="E619">
        <v>1</v>
      </c>
      <c r="F619" t="s">
        <f>I619&amp;" "&amp;J619&amp;" "&amp;K619&amp;" "&amp;L619&amp;" "&amp;M619&amp;" "&amp;N619</f>
        <v>1020</v>
      </c>
      <c r="G619" t="s">
        <f>TEXT(D619,"mmm dd")</f>
        <v>1019</v>
      </c>
      <c r="I619" t="s">
        <v>1021</v>
      </c>
      <c r="J619" t="s">
        <v>755</v>
      </c>
      <c r="K619" t="s">
        <v>1003</v>
      </c>
    </row>
    <row r="620" spans="1:23">
      <c r="A620">
        <v>17</v>
      </c>
      <c r="B620">
        <v>11</v>
      </c>
      <c r="C620">
        <v>2008</v>
      </c>
      <c r="D620" s="3" t="s">
        <f>B620&amp;"/"&amp;A620&amp;"/"&amp;C620</f>
        <v>1017</v>
      </c>
      <c r="E620">
        <v>0.91666666666666663</v>
      </c>
      <c r="F620" t="s">
        <f>I620&amp;" "&amp;J620&amp;" "&amp;K620&amp;" "&amp;L620&amp;" "&amp;M620&amp;" "&amp;N620</f>
        <v>1018</v>
      </c>
      <c r="G620" t="s">
        <f>TEXT(D620,"mmm dd")</f>
        <v>1019</v>
      </c>
      <c r="I620" t="s">
        <v>847</v>
      </c>
      <c r="J620" t="s">
        <v>770</v>
      </c>
      <c r="K620" t="s">
        <v>767</v>
      </c>
      <c r="L620" t="s">
        <v>768</v>
      </c>
    </row>
    <row r="621" spans="1:23">
      <c r="A621">
        <v>17</v>
      </c>
      <c r="B621">
        <v>11</v>
      </c>
      <c r="C621">
        <v>2008</v>
      </c>
      <c r="D621" s="3" t="s">
        <f>B621&amp;"/"&amp;A621&amp;"/"&amp;C621</f>
        <v>1017</v>
      </c>
      <c r="E621">
        <v>1</v>
      </c>
      <c r="F621" t="s">
        <f>I621&amp;" "&amp;J621&amp;" "&amp;K621&amp;" "&amp;L621&amp;" "&amp;M621&amp;" "&amp;N621</f>
        <v>1020</v>
      </c>
      <c r="G621" t="s">
        <f>TEXT(D621,"mmm dd")</f>
        <v>1019</v>
      </c>
      <c r="I621" t="s">
        <v>1021</v>
      </c>
      <c r="J621" t="s">
        <v>755</v>
      </c>
      <c r="K621" t="s">
        <v>1003</v>
      </c>
    </row>
    <row r="622" spans="1:23">
      <c r="A622">
        <v>18</v>
      </c>
      <c r="B622">
        <v>11</v>
      </c>
      <c r="C622">
        <v>2008</v>
      </c>
      <c r="D622" s="3" t="s">
        <f>B622&amp;"/"&amp;A622&amp;"/"&amp;C622</f>
        <v>1022</v>
      </c>
      <c r="E622">
        <v>1</v>
      </c>
      <c r="F622" t="s">
        <f>I622&amp;" "&amp;J622&amp;" "&amp;K622&amp;" "&amp;L622&amp;" "&amp;M622&amp;" "&amp;N622</f>
        <v>1023</v>
      </c>
      <c r="G622" t="s">
        <f>TEXT(D622,"mmm dd")</f>
        <v>1024</v>
      </c>
      <c r="I622" t="s">
        <v>300</v>
      </c>
      <c r="J622" t="s">
        <v>451</v>
      </c>
      <c r="K622" t="s">
        <v>609</v>
      </c>
      <c r="L622" t="s">
        <v>48</v>
      </c>
      <c r="M622" t="s">
        <v>1025</v>
      </c>
      <c r="N622" t="s">
        <v>1026</v>
      </c>
    </row>
    <row r="623" spans="1:23">
      <c r="A623">
        <v>18</v>
      </c>
      <c r="B623">
        <v>11</v>
      </c>
      <c r="C623">
        <v>2008</v>
      </c>
      <c r="D623" s="3" t="s">
        <f>B623&amp;"/"&amp;A623&amp;"/"&amp;C623</f>
        <v>1022</v>
      </c>
      <c r="E623">
        <v>0.16666666666666666</v>
      </c>
      <c r="F623" t="s">
        <f>I623&amp;" "&amp;J623&amp;" "&amp;K623&amp;" "&amp;L623&amp;" "&amp;M623&amp;" "&amp;N623</f>
        <v>1027</v>
      </c>
      <c r="G623" t="s">
        <f>TEXT(D623,"mmm dd")</f>
        <v>1024</v>
      </c>
      <c r="I623" t="s">
        <v>1028</v>
      </c>
      <c r="J623" t="s">
        <v>814</v>
      </c>
    </row>
    <row r="624" spans="1:23">
      <c r="A624">
        <v>18</v>
      </c>
      <c r="B624">
        <v>11</v>
      </c>
      <c r="C624">
        <v>2008</v>
      </c>
      <c r="D624" s="3" t="s">
        <f>B624&amp;"/"&amp;A624&amp;"/"&amp;C624</f>
        <v>1022</v>
      </c>
      <c r="E624">
        <v>1</v>
      </c>
      <c r="F624" t="s">
        <f>I624&amp;" "&amp;J624&amp;" "&amp;K624&amp;" "&amp;L624&amp;" "&amp;M624&amp;" "&amp;N624</f>
        <v>1023</v>
      </c>
      <c r="G624" t="s">
        <f>TEXT(D624,"mmm dd")</f>
        <v>1024</v>
      </c>
      <c r="I624" t="s">
        <v>300</v>
      </c>
      <c r="J624" t="s">
        <v>451</v>
      </c>
      <c r="K624" t="s">
        <v>609</v>
      </c>
      <c r="L624" t="s">
        <v>48</v>
      </c>
      <c r="M624" t="s">
        <v>1025</v>
      </c>
      <c r="N624" t="s">
        <v>1026</v>
      </c>
    </row>
    <row r="625" spans="1:23">
      <c r="A625">
        <v>18</v>
      </c>
      <c r="B625">
        <v>11</v>
      </c>
      <c r="C625">
        <v>2008</v>
      </c>
      <c r="D625" s="3" t="s">
        <f>B625&amp;"/"&amp;A625&amp;"/"&amp;C625</f>
        <v>1022</v>
      </c>
      <c r="E625">
        <v>0.16666666666666666</v>
      </c>
      <c r="F625" t="s">
        <f>I625&amp;" "&amp;J625&amp;" "&amp;K625&amp;" "&amp;L625&amp;" "&amp;M625&amp;" "&amp;N625</f>
        <v>1027</v>
      </c>
      <c r="G625" t="s">
        <f>TEXT(D625,"mmm dd")</f>
        <v>1024</v>
      </c>
      <c r="I625" t="s">
        <v>1028</v>
      </c>
      <c r="J625" t="s">
        <v>814</v>
      </c>
    </row>
    <row r="626" spans="1:23">
      <c r="A626">
        <v>20</v>
      </c>
      <c r="B626">
        <v>11</v>
      </c>
      <c r="C626">
        <v>2008</v>
      </c>
      <c r="D626" s="3" t="s">
        <f>B626&amp;"/"&amp;A626&amp;"/"&amp;C626</f>
        <v>1029</v>
      </c>
      <c r="E626">
        <v>0.875</v>
      </c>
      <c r="F626" t="s">
        <f>I626&amp;" "&amp;J626&amp;" "&amp;K626&amp;" "&amp;L626&amp;" "&amp;M626&amp;" "&amp;N626</f>
        <v>939</v>
      </c>
      <c r="G626" t="s">
        <f>TEXT(D626,"mmm dd")</f>
        <v>1030</v>
      </c>
      <c r="I626" t="s">
        <v>52</v>
      </c>
      <c r="J626" t="s">
        <v>55</v>
      </c>
    </row>
    <row r="627" spans="1:23">
      <c r="A627">
        <v>20</v>
      </c>
      <c r="B627">
        <v>11</v>
      </c>
      <c r="C627">
        <v>2008</v>
      </c>
      <c r="D627" s="3" t="s">
        <f>B627&amp;"/"&amp;A627&amp;"/"&amp;C627</f>
        <v>1029</v>
      </c>
      <c r="E627" t="s">
        <v>42</v>
      </c>
      <c r="F627" t="s">
        <f>I627&amp;" "&amp;J627&amp;" "&amp;K627&amp;" "&amp;L627&amp;" "&amp;M627&amp;" "&amp;N627</f>
        <v>1031</v>
      </c>
      <c r="G627" t="s">
        <f>TEXT(D627,"mmm dd")</f>
        <v>1030</v>
      </c>
      <c r="I627" t="s">
        <v>821</v>
      </c>
      <c r="J627" t="s">
        <v>822</v>
      </c>
      <c r="K627" t="s">
        <v>372</v>
      </c>
    </row>
    <row r="628" spans="1:23">
      <c r="A628">
        <v>20</v>
      </c>
      <c r="B628">
        <v>11</v>
      </c>
      <c r="C628">
        <v>2008</v>
      </c>
      <c r="D628" s="3" t="s">
        <f>B628&amp;"/"&amp;A628&amp;"/"&amp;C628</f>
        <v>1029</v>
      </c>
      <c r="E628">
        <v>0.20833333333333334</v>
      </c>
      <c r="F628" t="s">
        <f>I628&amp;" "&amp;J628&amp;" "&amp;K628&amp;" "&amp;L628&amp;" "&amp;M628&amp;" "&amp;N628</f>
        <v>1032</v>
      </c>
      <c r="G628" t="s">
        <f>TEXT(D628,"mmm dd")</f>
        <v>1030</v>
      </c>
      <c r="I628" t="s">
        <v>170</v>
      </c>
      <c r="J628" t="s">
        <v>553</v>
      </c>
    </row>
    <row r="629" spans="1:23">
      <c r="A629">
        <v>20</v>
      </c>
      <c r="B629">
        <v>11</v>
      </c>
      <c r="C629">
        <v>2008</v>
      </c>
      <c r="D629" s="3" t="s">
        <f>B629&amp;"/"&amp;A629&amp;"/"&amp;C629</f>
        <v>1029</v>
      </c>
      <c r="E629">
        <v>0.20833333333333334</v>
      </c>
      <c r="F629" t="s">
        <f>I629&amp;" "&amp;J629&amp;" "&amp;K629&amp;" "&amp;L629&amp;" "&amp;M629&amp;" "&amp;N629</f>
        <v>1032</v>
      </c>
      <c r="G629" t="s">
        <f>TEXT(D629,"mmm dd")</f>
        <v>1030</v>
      </c>
      <c r="I629" t="s">
        <v>170</v>
      </c>
      <c r="J629" t="s">
        <v>553</v>
      </c>
    </row>
    <row r="630" spans="1:23">
      <c r="A630">
        <v>20</v>
      </c>
      <c r="B630">
        <v>11</v>
      </c>
      <c r="C630">
        <v>2008</v>
      </c>
      <c r="D630" s="3" t="s">
        <f>B630&amp;"/"&amp;A630&amp;"/"&amp;C630</f>
        <v>1029</v>
      </c>
      <c r="E630">
        <v>0.89583333333333337</v>
      </c>
      <c r="F630" t="s">
        <f>I630&amp;" "&amp;J630&amp;" "&amp;K630&amp;" "&amp;L630&amp;" "&amp;M630&amp;" "&amp;N630</f>
        <v>952</v>
      </c>
      <c r="G630" t="s">
        <f>TEXT(D630,"mmm dd")</f>
        <v>1030</v>
      </c>
      <c r="I630" t="s">
        <v>291</v>
      </c>
      <c r="J630" t="s">
        <v>55</v>
      </c>
    </row>
    <row r="631" spans="1:23">
      <c r="A631">
        <v>20</v>
      </c>
      <c r="B631">
        <v>11</v>
      </c>
      <c r="C631">
        <v>2008</v>
      </c>
      <c r="D631" s="3" t="s">
        <f>B631&amp;"/"&amp;A631&amp;"/"&amp;C631</f>
        <v>1029</v>
      </c>
      <c r="E631">
        <v>0.875</v>
      </c>
      <c r="F631" t="s">
        <f>I631&amp;" "&amp;J631&amp;" "&amp;K631&amp;" "&amp;L631&amp;" "&amp;M631&amp;" "&amp;N631</f>
        <v>939</v>
      </c>
      <c r="G631" t="s">
        <f>TEXT(D631,"mmm dd")</f>
        <v>1030</v>
      </c>
      <c r="I631" t="s">
        <v>52</v>
      </c>
      <c r="J631" t="s">
        <v>55</v>
      </c>
      <c r="O631" t="s">
        <v>636</v>
      </c>
    </row>
    <row r="632" spans="1:23">
      <c r="A632">
        <v>20</v>
      </c>
      <c r="B632">
        <v>11</v>
      </c>
      <c r="C632">
        <v>2008</v>
      </c>
      <c r="D632" s="3" t="s">
        <f>B632&amp;"/"&amp;A632&amp;"/"&amp;C632</f>
        <v>1029</v>
      </c>
      <c r="E632" t="s">
        <v>42</v>
      </c>
      <c r="F632" t="s">
        <f>I632&amp;" "&amp;J632&amp;" "&amp;K632&amp;" "&amp;L632&amp;" "&amp;M632&amp;" "&amp;N632</f>
        <v>1031</v>
      </c>
      <c r="G632" t="s">
        <f>TEXT(D632,"mmm dd")</f>
        <v>1030</v>
      </c>
      <c r="I632" t="s">
        <v>821</v>
      </c>
      <c r="J632" t="s">
        <v>822</v>
      </c>
      <c r="K632" t="s">
        <v>372</v>
      </c>
      <c r="O632" t="s">
        <v>460</v>
      </c>
    </row>
    <row r="633" spans="1:23">
      <c r="A633">
        <v>23</v>
      </c>
      <c r="B633">
        <v>11</v>
      </c>
      <c r="C633">
        <v>2008</v>
      </c>
      <c r="D633" s="3" t="s">
        <f>B633&amp;"/"&amp;A633&amp;"/"&amp;C633</f>
        <v>1033</v>
      </c>
      <c r="E633">
        <v>0.25</v>
      </c>
      <c r="F633" t="s">
        <f>I633&amp;" "&amp;J633&amp;" "&amp;K633&amp;" "&amp;L633&amp;" "&amp;M633&amp;" "&amp;N633</f>
        <v>1034</v>
      </c>
      <c r="G633" t="s">
        <f>TEXT(D633,"mmm dd")</f>
        <v>1035</v>
      </c>
      <c r="I633" t="s">
        <v>674</v>
      </c>
      <c r="J633" t="s">
        <v>1036</v>
      </c>
      <c r="K633" t="s">
        <v>48</v>
      </c>
      <c r="L633" t="s">
        <v>218</v>
      </c>
      <c r="M633" t="s">
        <v>1037</v>
      </c>
    </row>
    <row r="634" spans="1:23">
      <c r="A634">
        <v>23</v>
      </c>
      <c r="B634">
        <v>11</v>
      </c>
      <c r="C634">
        <v>2008</v>
      </c>
      <c r="D634" s="3" t="s">
        <f>B634&amp;"/"&amp;A634&amp;"/"&amp;C634</f>
        <v>1033</v>
      </c>
      <c r="E634">
        <v>0.25</v>
      </c>
      <c r="F634" t="s">
        <f>I634&amp;" "&amp;J634&amp;" "&amp;K634&amp;" "&amp;L634&amp;" "&amp;M634&amp;" "&amp;N634</f>
        <v>1034</v>
      </c>
      <c r="G634" t="s">
        <f>TEXT(D634,"mmm dd")</f>
        <v>1035</v>
      </c>
      <c r="I634" t="s">
        <v>674</v>
      </c>
      <c r="J634" t="s">
        <v>1036</v>
      </c>
      <c r="K634" t="s">
        <v>48</v>
      </c>
      <c r="L634" t="s">
        <v>218</v>
      </c>
      <c r="M634" t="s">
        <v>1037</v>
      </c>
    </row>
    <row r="635" spans="1:23">
      <c r="A635">
        <v>24</v>
      </c>
      <c r="B635">
        <v>11</v>
      </c>
      <c r="C635">
        <v>2008</v>
      </c>
      <c r="D635" s="3" t="s">
        <f>B635&amp;"/"&amp;A635&amp;"/"&amp;C635</f>
        <v>1038</v>
      </c>
      <c r="E635">
        <v>0.875</v>
      </c>
      <c r="F635" t="s">
        <f>I635&amp;" "&amp;J635&amp;" "&amp;K635&amp;" "&amp;L635&amp;" "&amp;M635&amp;" "&amp;N635</f>
        <v>937</v>
      </c>
      <c r="G635" t="s">
        <f>TEXT(D635,"mmm dd")</f>
        <v>1039</v>
      </c>
      <c r="I635" t="s">
        <v>847</v>
      </c>
      <c r="J635" t="s">
        <v>918</v>
      </c>
      <c r="O635" t="s">
        <v>491</v>
      </c>
    </row>
    <row r="636" spans="1:23">
      <c r="A636">
        <v>24</v>
      </c>
      <c r="B636">
        <v>11</v>
      </c>
      <c r="C636">
        <v>2008</v>
      </c>
      <c r="D636" s="3" t="s">
        <f>B636&amp;"/"&amp;A636&amp;"/"&amp;C636</f>
        <v>1038</v>
      </c>
      <c r="E636">
        <v>0.25</v>
      </c>
      <c r="F636" t="s">
        <f>I636&amp;" "&amp;J636&amp;" "&amp;K636&amp;" "&amp;L636&amp;" "&amp;M636&amp;" "&amp;N636</f>
        <v>1040</v>
      </c>
      <c r="G636" t="s">
        <f>TEXT(D636,"mmm dd")</f>
        <v>1039</v>
      </c>
      <c r="I636" t="s">
        <v>300</v>
      </c>
      <c r="J636" t="s">
        <v>591</v>
      </c>
      <c r="L636" t="s">
        <v>1041</v>
      </c>
      <c r="M636" t="s">
        <v>449</v>
      </c>
      <c r="N636" t="s">
        <v>1042</v>
      </c>
    </row>
    <row r="637" spans="1:23">
      <c r="A637">
        <v>24</v>
      </c>
      <c r="B637">
        <v>11</v>
      </c>
      <c r="C637">
        <v>2008</v>
      </c>
      <c r="D637" s="3" t="s">
        <f>B637&amp;"/"&amp;A637&amp;"/"&amp;C637</f>
        <v>1038</v>
      </c>
      <c r="E637">
        <v>0.875</v>
      </c>
      <c r="F637" t="s">
        <f>I637&amp;" "&amp;J637&amp;" "&amp;K637&amp;" "&amp;L637&amp;" "&amp;M637&amp;" "&amp;N637</f>
        <v>937</v>
      </c>
      <c r="G637" t="s">
        <f>TEXT(D637,"mmm dd")</f>
        <v>1039</v>
      </c>
      <c r="I637" t="s">
        <v>847</v>
      </c>
      <c r="J637" t="s">
        <v>918</v>
      </c>
    </row>
    <row r="638" spans="1:23">
      <c r="A638">
        <v>24</v>
      </c>
      <c r="B638">
        <v>11</v>
      </c>
      <c r="C638">
        <v>2008</v>
      </c>
      <c r="D638" s="3" t="s">
        <f>B638&amp;"/"&amp;A638&amp;"/"&amp;C638</f>
        <v>1038</v>
      </c>
      <c r="E638">
        <v>0.25</v>
      </c>
      <c r="F638" t="s">
        <f>I638&amp;" "&amp;J638&amp;" "&amp;K638&amp;" "&amp;L638&amp;" "&amp;M638&amp;" "&amp;N638</f>
        <v>1040</v>
      </c>
      <c r="G638" t="s">
        <f>TEXT(D638,"mmm dd")</f>
        <v>1039</v>
      </c>
      <c r="I638" t="s">
        <v>300</v>
      </c>
      <c r="J638" t="s">
        <v>591</v>
      </c>
      <c r="L638" t="s">
        <v>1041</v>
      </c>
      <c r="M638" t="s">
        <v>449</v>
      </c>
      <c r="N638" t="s">
        <v>1042</v>
      </c>
    </row>
    <row r="639" spans="1:23">
      <c r="A639">
        <v>27</v>
      </c>
      <c r="B639">
        <v>11</v>
      </c>
      <c r="C639">
        <v>2008</v>
      </c>
      <c r="D639" s="3" t="s">
        <f>B639&amp;"/"&amp;A639&amp;"/"&amp;C639</f>
        <v>1043</v>
      </c>
      <c r="E639" t="s">
        <v>42</v>
      </c>
      <c r="F639" t="s">
        <f>I639&amp;" "&amp;J639&amp;" "&amp;K639&amp;" "&amp;L639&amp;" "&amp;M639&amp;" "&amp;N639</f>
        <v>1044</v>
      </c>
      <c r="G639" t="s">
        <f>TEXT(D639,"mmm dd")</f>
        <v>1045</v>
      </c>
      <c r="I639" t="s">
        <v>1046</v>
      </c>
      <c r="J639" t="s">
        <v>1047</v>
      </c>
      <c r="K639" t="s">
        <v>1048</v>
      </c>
    </row>
    <row r="640" spans="1:23">
      <c r="A640">
        <v>27</v>
      </c>
      <c r="B640">
        <v>11</v>
      </c>
      <c r="C640">
        <v>2008</v>
      </c>
      <c r="D640" s="3" t="s">
        <f>B640&amp;"/"&amp;A640&amp;"/"&amp;C640</f>
        <v>1043</v>
      </c>
      <c r="E640" t="s">
        <v>42</v>
      </c>
      <c r="F640" t="s">
        <f>I640&amp;" "&amp;J640&amp;" "&amp;K640&amp;" "&amp;L640&amp;" "&amp;M640&amp;" "&amp;N640</f>
        <v>1044</v>
      </c>
      <c r="G640" t="s">
        <f>TEXT(D640,"mmm dd")</f>
        <v>1045</v>
      </c>
      <c r="I640" t="s">
        <v>1046</v>
      </c>
      <c r="J640" t="s">
        <v>1047</v>
      </c>
      <c r="K640" t="s">
        <v>1048</v>
      </c>
    </row>
    <row r="641" spans="1:23">
      <c r="A641">
        <v>30</v>
      </c>
      <c r="B641">
        <v>11</v>
      </c>
      <c r="C641">
        <v>2008</v>
      </c>
      <c r="D641" s="3" t="s">
        <f>B641&amp;"/"&amp;A641&amp;"/"&amp;C641</f>
        <v>1049</v>
      </c>
      <c r="E641">
        <v>0.27083333333333331</v>
      </c>
      <c r="F641" t="s">
        <f>I641&amp;" "&amp;J641&amp;" "&amp;K641&amp;" "&amp;L641&amp;" "&amp;M641&amp;" "&amp;N641</f>
        <v>1050</v>
      </c>
      <c r="G641" t="s">
        <f>TEXT(D641,"mmm dd")</f>
        <v>1051</v>
      </c>
      <c r="I641" t="s">
        <v>1052</v>
      </c>
      <c r="J641" t="s">
        <v>1053</v>
      </c>
      <c r="K641" t="s">
        <v>1054</v>
      </c>
      <c r="O641" t="s">
        <v>537</v>
      </c>
    </row>
    <row r="642" spans="1:23">
      <c r="A642">
        <v>30</v>
      </c>
      <c r="B642">
        <v>11</v>
      </c>
      <c r="C642">
        <v>2008</v>
      </c>
      <c r="D642" s="3" t="s">
        <f>B642&amp;"/"&amp;A642&amp;"/"&amp;C642</f>
        <v>1049</v>
      </c>
      <c r="E642">
        <v>0.27083333333333331</v>
      </c>
      <c r="F642" t="s">
        <f>I642&amp;" "&amp;J642&amp;" "&amp;K642&amp;" "&amp;L642&amp;" "&amp;M642&amp;" "&amp;N642</f>
        <v>1050</v>
      </c>
      <c r="G642" t="s">
        <f>TEXT(D642,"mmm dd")</f>
        <v>1051</v>
      </c>
      <c r="I642" t="s">
        <v>1052</v>
      </c>
      <c r="J642" t="s">
        <v>1053</v>
      </c>
      <c r="K642" t="s">
        <v>1054</v>
      </c>
    </row>
    <row r="643" spans="1:23">
      <c r="A643">
        <v>4</v>
      </c>
      <c r="B643">
        <v>12</v>
      </c>
      <c r="C643">
        <v>2008</v>
      </c>
      <c r="D643" s="3" t="s">
        <f>B643&amp;"/"&amp;A643&amp;"/"&amp;C643</f>
        <v>1055</v>
      </c>
      <c r="E643">
        <v>0.20833333333333334</v>
      </c>
      <c r="F643" t="s">
        <f>I643&amp;" "&amp;J643&amp;" "&amp;K643&amp;" "&amp;L643&amp;" "&amp;M643&amp;" "&amp;N643</f>
        <v>1056</v>
      </c>
      <c r="G643" t="s">
        <f>TEXT(D643,"mmm dd")</f>
        <v>1057</v>
      </c>
      <c r="I643" t="s">
        <v>300</v>
      </c>
      <c r="J643" t="s">
        <v>1008</v>
      </c>
    </row>
    <row r="644" spans="1:23">
      <c r="A644">
        <v>4</v>
      </c>
      <c r="B644">
        <v>12</v>
      </c>
      <c r="C644">
        <v>2008</v>
      </c>
      <c r="D644" s="3" t="s">
        <f>B644&amp;"/"&amp;A644&amp;"/"&amp;C644</f>
        <v>1055</v>
      </c>
      <c r="E644">
        <v>0.20833333333333334</v>
      </c>
      <c r="F644" t="s">
        <f>I644&amp;" "&amp;J644&amp;" "&amp;K644&amp;" "&amp;L644&amp;" "&amp;M644&amp;" "&amp;N644</f>
        <v>1056</v>
      </c>
      <c r="G644" t="s">
        <f>TEXT(D644,"mmm dd")</f>
        <v>1057</v>
      </c>
      <c r="I644" t="s">
        <v>300</v>
      </c>
      <c r="J644" t="s">
        <v>1008</v>
      </c>
    </row>
    <row r="645" spans="1:23">
      <c r="A645">
        <v>5</v>
      </c>
      <c r="B645">
        <v>12</v>
      </c>
      <c r="C645">
        <v>2008</v>
      </c>
      <c r="D645" s="3" t="s">
        <f>B645&amp;"/"&amp;A645&amp;"/"&amp;C645</f>
        <v>1058</v>
      </c>
      <c r="E645">
        <v>0.14583333333333334</v>
      </c>
      <c r="F645" t="s">
        <f>I645&amp;" "&amp;J645&amp;" "&amp;K645&amp;" "&amp;L645&amp;" "&amp;M645&amp;" "&amp;N645</f>
        <v>1059</v>
      </c>
      <c r="G645" t="s">
        <f>TEXT(D645,"mmm dd")</f>
        <v>1060</v>
      </c>
      <c r="I645" t="s">
        <v>907</v>
      </c>
      <c r="J645" t="s">
        <v>1061</v>
      </c>
    </row>
    <row r="646" spans="1:23">
      <c r="A646">
        <v>5</v>
      </c>
      <c r="B646">
        <v>12</v>
      </c>
      <c r="C646">
        <v>2008</v>
      </c>
      <c r="D646" s="3" t="s">
        <f>B646&amp;"/"&amp;A646&amp;"/"&amp;C646</f>
        <v>1058</v>
      </c>
      <c r="E646">
        <v>0.14583333333333334</v>
      </c>
      <c r="F646" t="s">
        <f>I646&amp;" "&amp;J646&amp;" "&amp;K646&amp;" "&amp;L646&amp;" "&amp;M646&amp;" "&amp;N646</f>
        <v>1059</v>
      </c>
      <c r="G646" t="s">
        <f>TEXT(D646,"mmm dd")</f>
        <v>1060</v>
      </c>
      <c r="I646" t="s">
        <v>907</v>
      </c>
      <c r="J646" t="s">
        <v>1061</v>
      </c>
    </row>
    <row r="647" spans="1:23">
      <c r="A647">
        <v>9</v>
      </c>
      <c r="B647">
        <v>12</v>
      </c>
      <c r="C647">
        <v>2008</v>
      </c>
      <c r="D647" s="3" t="s">
        <f>B647&amp;"/"&amp;A647&amp;"/"&amp;C647</f>
        <v>1062</v>
      </c>
      <c r="E647">
        <v>0.25</v>
      </c>
      <c r="F647" t="s">
        <f>I647&amp;" "&amp;J647&amp;" "&amp;K647&amp;" "&amp;L647&amp;" "&amp;M647&amp;" "&amp;N647</f>
        <v>1063</v>
      </c>
      <c r="G647" t="s">
        <f>TEXT(D647,"mmm dd")</f>
        <v>1064</v>
      </c>
      <c r="I647" t="s">
        <v>674</v>
      </c>
      <c r="J647" t="s">
        <v>675</v>
      </c>
      <c r="K647" t="s">
        <v>517</v>
      </c>
      <c r="O647" t="s">
        <v>394</v>
      </c>
    </row>
    <row r="648" spans="1:23">
      <c r="A648">
        <v>9</v>
      </c>
      <c r="B648">
        <v>12</v>
      </c>
      <c r="C648">
        <v>2008</v>
      </c>
      <c r="D648" s="3" t="s">
        <f>B648&amp;"/"&amp;A648&amp;"/"&amp;C648</f>
        <v>1062</v>
      </c>
      <c r="E648">
        <v>0.25</v>
      </c>
      <c r="F648" t="s">
        <f>I648&amp;" "&amp;J648&amp;" "&amp;K648&amp;" "&amp;L648&amp;" "&amp;M648&amp;" "&amp;N648</f>
        <v>1063</v>
      </c>
      <c r="G648" t="s">
        <f>TEXT(D648,"mmm dd")</f>
        <v>1064</v>
      </c>
      <c r="I648" t="s">
        <v>674</v>
      </c>
      <c r="J648" t="s">
        <v>675</v>
      </c>
      <c r="K648" t="s">
        <v>517</v>
      </c>
    </row>
    <row r="649" spans="1:23">
      <c r="A649">
        <v>12</v>
      </c>
      <c r="B649">
        <v>12</v>
      </c>
      <c r="C649">
        <v>2008</v>
      </c>
      <c r="D649" s="3" t="s">
        <f>B649&amp;"/"&amp;A649&amp;"/"&amp;C649</f>
        <v>1065</v>
      </c>
      <c r="E649">
        <v>0.875</v>
      </c>
      <c r="F649" t="s">
        <f>I649&amp;" "&amp;J649&amp;" "&amp;K649&amp;" "&amp;L649&amp;" "&amp;M649&amp;" "&amp;N649</f>
        <v>1066</v>
      </c>
      <c r="G649" t="s">
        <f>TEXT(D649,"mmm dd")</f>
        <v>1067</v>
      </c>
      <c r="I649" t="s">
        <v>52</v>
      </c>
      <c r="J649" t="s">
        <v>1068</v>
      </c>
      <c r="K649" t="s">
        <v>1069</v>
      </c>
    </row>
    <row r="650" spans="1:23">
      <c r="A650">
        <v>12</v>
      </c>
      <c r="B650">
        <v>12</v>
      </c>
      <c r="C650">
        <v>2008</v>
      </c>
      <c r="D650" s="3" t="s">
        <f>B650&amp;"/"&amp;A650&amp;"/"&amp;C650</f>
        <v>1065</v>
      </c>
      <c r="E650">
        <v>0.875</v>
      </c>
      <c r="F650" t="s">
        <f>I650&amp;" "&amp;J650&amp;" "&amp;K650&amp;" "&amp;L650&amp;" "&amp;M650&amp;" "&amp;N650</f>
        <v>1066</v>
      </c>
      <c r="G650" t="s">
        <f>TEXT(D650,"mmm dd")</f>
        <v>1067</v>
      </c>
      <c r="I650" t="s">
        <v>52</v>
      </c>
      <c r="J650" t="s">
        <v>1068</v>
      </c>
      <c r="K650" t="s">
        <v>1069</v>
      </c>
    </row>
    <row r="651" spans="1:23">
      <c r="A651">
        <v>13</v>
      </c>
      <c r="B651">
        <v>12</v>
      </c>
      <c r="C651">
        <v>2008</v>
      </c>
      <c r="D651" s="3" t="s">
        <f>B651&amp;"/"&amp;A651&amp;"/"&amp;C651</f>
        <v>1070</v>
      </c>
      <c r="E651">
        <v>0.17708333333333334</v>
      </c>
      <c r="F651" t="s">
        <f>I651&amp;" "&amp;J651&amp;" "&amp;K651&amp;" "&amp;L651&amp;" "&amp;M651&amp;" "&amp;N651</f>
        <v>937</v>
      </c>
      <c r="G651" t="s">
        <f>TEXT(D651,"mmm dd")</f>
        <v>1071</v>
      </c>
      <c r="I651" t="s">
        <v>847</v>
      </c>
      <c r="J651" t="s">
        <v>918</v>
      </c>
    </row>
    <row r="652" spans="1:23">
      <c r="A652">
        <v>13</v>
      </c>
      <c r="B652">
        <v>12</v>
      </c>
      <c r="C652">
        <v>2008</v>
      </c>
      <c r="D652" s="3" t="s">
        <f>B652&amp;"/"&amp;A652&amp;"/"&amp;C652</f>
        <v>1070</v>
      </c>
      <c r="E652">
        <v>1</v>
      </c>
      <c r="F652" t="s">
        <f>I652&amp;" "&amp;J652&amp;" "&amp;K652&amp;" "&amp;L652&amp;" "&amp;M652&amp;" "&amp;N652</f>
        <v>1072</v>
      </c>
      <c r="G652" t="s">
        <f>TEXT(D652,"mmm dd")</f>
        <v>1071</v>
      </c>
      <c r="I652" t="s">
        <v>269</v>
      </c>
    </row>
    <row r="653" spans="1:23">
      <c r="A653">
        <v>13</v>
      </c>
      <c r="B653">
        <v>12</v>
      </c>
      <c r="C653">
        <v>2008</v>
      </c>
      <c r="D653" s="3" t="s">
        <f>B653&amp;"/"&amp;A653&amp;"/"&amp;C653</f>
        <v>1070</v>
      </c>
      <c r="E653">
        <v>0.3125</v>
      </c>
      <c r="F653" t="s">
        <f>I653&amp;" "&amp;J653&amp;" "&amp;K653&amp;" "&amp;L653&amp;" "&amp;M653&amp;" "&amp;N653</f>
        <v>1073</v>
      </c>
      <c r="G653" t="s">
        <f>TEXT(D653,"mmm dd")</f>
        <v>1071</v>
      </c>
      <c r="I653" t="s">
        <v>1074</v>
      </c>
      <c r="J653" t="s">
        <v>517</v>
      </c>
      <c r="K653" t="s">
        <v>48</v>
      </c>
      <c r="L653" t="s">
        <v>1075</v>
      </c>
      <c r="M653" t="s">
        <v>1076</v>
      </c>
    </row>
    <row r="654" spans="1:23">
      <c r="A654">
        <v>13</v>
      </c>
      <c r="B654">
        <v>12</v>
      </c>
      <c r="C654">
        <v>2008</v>
      </c>
      <c r="D654" s="3" t="s">
        <f>B654&amp;"/"&amp;A654&amp;"/"&amp;C654</f>
        <v>1070</v>
      </c>
      <c r="E654">
        <v>1</v>
      </c>
      <c r="F654" t="s">
        <f>I654&amp;" "&amp;J654&amp;" "&amp;K654&amp;" "&amp;L654&amp;" "&amp;M654&amp;" "&amp;N654</f>
        <v>1072</v>
      </c>
      <c r="G654" t="s">
        <f>TEXT(D654,"mmm dd")</f>
        <v>1071</v>
      </c>
      <c r="I654" t="s">
        <v>269</v>
      </c>
    </row>
    <row r="655" spans="1:23">
      <c r="A655">
        <v>13</v>
      </c>
      <c r="B655">
        <v>12</v>
      </c>
      <c r="C655">
        <v>2008</v>
      </c>
      <c r="D655" s="3" t="s">
        <f>B655&amp;"/"&amp;A655&amp;"/"&amp;C655</f>
        <v>1070</v>
      </c>
      <c r="E655">
        <v>0.3125</v>
      </c>
      <c r="F655" t="s">
        <f>I655&amp;" "&amp;J655&amp;" "&amp;K655&amp;" "&amp;L655&amp;" "&amp;M655&amp;" "&amp;N655</f>
        <v>1073</v>
      </c>
      <c r="G655" t="s">
        <f>TEXT(D655,"mmm dd")</f>
        <v>1071</v>
      </c>
      <c r="I655" t="s">
        <v>1074</v>
      </c>
      <c r="J655" t="s">
        <v>517</v>
      </c>
      <c r="K655" t="s">
        <v>48</v>
      </c>
      <c r="L655" t="s">
        <v>1075</v>
      </c>
      <c r="M655" t="s">
        <v>1076</v>
      </c>
    </row>
    <row r="656" spans="1:23">
      <c r="A656">
        <v>13</v>
      </c>
      <c r="B656">
        <v>12</v>
      </c>
      <c r="C656">
        <v>2008</v>
      </c>
      <c r="D656" s="3" t="s">
        <f>B656&amp;"/"&amp;A656&amp;"/"&amp;C656</f>
        <v>1070</v>
      </c>
      <c r="E656">
        <v>0.17708333333333334</v>
      </c>
      <c r="F656" t="s">
        <f>I656&amp;" "&amp;J656&amp;" "&amp;K656&amp;" "&amp;L656&amp;" "&amp;M656&amp;" "&amp;N656</f>
        <v>937</v>
      </c>
      <c r="G656" t="s">
        <f>TEXT(D656,"mmm dd")</f>
        <v>1071</v>
      </c>
      <c r="I656" t="s">
        <v>847</v>
      </c>
      <c r="J656" t="s">
        <v>918</v>
      </c>
    </row>
    <row r="657" spans="1:23">
      <c r="A657">
        <v>14</v>
      </c>
      <c r="B657">
        <v>12</v>
      </c>
      <c r="C657">
        <v>2008</v>
      </c>
      <c r="D657" s="3" t="s">
        <f>B657&amp;"/"&amp;A657&amp;"/"&amp;C657</f>
        <v>1077</v>
      </c>
      <c r="E657">
        <v>1</v>
      </c>
      <c r="F657" t="s">
        <f>I657&amp;" "&amp;J657&amp;" "&amp;K657&amp;" "&amp;L657&amp;" "&amp;M657&amp;" "&amp;N657</f>
        <v>1078</v>
      </c>
      <c r="G657" t="s">
        <f>TEXT(D657,"mmm dd")</f>
        <v>1079</v>
      </c>
      <c r="I657" t="s">
        <v>1080</v>
      </c>
      <c r="J657" t="s">
        <v>1081</v>
      </c>
    </row>
    <row r="658" spans="1:23">
      <c r="A658">
        <v>14</v>
      </c>
      <c r="B658">
        <v>12</v>
      </c>
      <c r="C658">
        <v>2008</v>
      </c>
      <c r="D658" s="3" t="s">
        <f>B658&amp;"/"&amp;A658&amp;"/"&amp;C658</f>
        <v>1077</v>
      </c>
      <c r="E658">
        <v>0.16666666666666666</v>
      </c>
      <c r="F658" t="s">
        <f>I658&amp;" "&amp;J658&amp;" "&amp;K658&amp;" "&amp;L658&amp;" "&amp;M658&amp;" "&amp;N658</f>
        <v>1082</v>
      </c>
      <c r="G658" t="s">
        <f>TEXT(D658,"mmm dd")</f>
        <v>1079</v>
      </c>
      <c r="I658" t="s">
        <v>1083</v>
      </c>
      <c r="J658" t="s">
        <v>1084</v>
      </c>
      <c r="K658" t="s">
        <v>48</v>
      </c>
      <c r="L658" t="s">
        <v>1075</v>
      </c>
      <c r="M658" t="s">
        <v>1076</v>
      </c>
      <c r="N658" t="s">
        <v>1085</v>
      </c>
    </row>
    <row r="659" spans="1:23">
      <c r="A659">
        <v>14</v>
      </c>
      <c r="B659">
        <v>12</v>
      </c>
      <c r="C659">
        <v>2008</v>
      </c>
      <c r="D659" s="3" t="s">
        <f>B659&amp;"/"&amp;A659&amp;"/"&amp;C659</f>
        <v>1077</v>
      </c>
      <c r="E659">
        <v>1</v>
      </c>
      <c r="F659" t="s">
        <f>I659&amp;" "&amp;J659&amp;" "&amp;K659&amp;" "&amp;L659&amp;" "&amp;M659&amp;" "&amp;N659</f>
        <v>1078</v>
      </c>
      <c r="G659" t="s">
        <f>TEXT(D659,"mmm dd")</f>
        <v>1079</v>
      </c>
      <c r="I659" t="s">
        <v>1080</v>
      </c>
      <c r="J659" t="s">
        <v>1081</v>
      </c>
    </row>
    <row r="660" spans="1:23">
      <c r="A660">
        <v>14</v>
      </c>
      <c r="B660">
        <v>12</v>
      </c>
      <c r="C660">
        <v>2008</v>
      </c>
      <c r="D660" s="3" t="s">
        <f>B660&amp;"/"&amp;A660&amp;"/"&amp;C660</f>
        <v>1077</v>
      </c>
      <c r="E660">
        <v>0.16666666666666666</v>
      </c>
      <c r="F660" t="s">
        <f>I660&amp;" "&amp;J660&amp;" "&amp;K660&amp;" "&amp;L660&amp;" "&amp;M660&amp;" "&amp;N660</f>
        <v>1082</v>
      </c>
      <c r="G660" t="s">
        <f>TEXT(D660,"mmm dd")</f>
        <v>1079</v>
      </c>
      <c r="I660" t="s">
        <v>1083</v>
      </c>
      <c r="J660" t="s">
        <v>1084</v>
      </c>
      <c r="K660" t="s">
        <v>48</v>
      </c>
      <c r="L660" t="s">
        <v>1075</v>
      </c>
      <c r="M660" t="s">
        <v>1076</v>
      </c>
      <c r="N660" t="s">
        <v>1085</v>
      </c>
    </row>
    <row r="661" spans="1:23">
      <c r="A661">
        <v>15</v>
      </c>
      <c r="B661">
        <v>12</v>
      </c>
      <c r="C661">
        <v>2008</v>
      </c>
      <c r="D661" s="3" t="s">
        <f>B661&amp;"/"&amp;A661&amp;"/"&amp;C661</f>
        <v>1086</v>
      </c>
      <c r="E661">
        <v>0.16666666666666666</v>
      </c>
      <c r="F661" t="s">
        <f>I661&amp;" "&amp;J661&amp;" "&amp;K661&amp;" "&amp;L661&amp;" "&amp;M661&amp;" "&amp;N661</f>
        <v>1087</v>
      </c>
      <c r="G661" t="s">
        <f>TEXT(D661,"mmm dd")</f>
        <v>1088</v>
      </c>
      <c r="I661" t="s">
        <v>1089</v>
      </c>
      <c r="J661" t="s">
        <v>1090</v>
      </c>
      <c r="K661" t="s">
        <v>48</v>
      </c>
      <c r="L661" t="s">
        <v>218</v>
      </c>
      <c r="M661" t="s">
        <v>265</v>
      </c>
      <c r="O661" t="s">
        <v>48</v>
      </c>
      <c r="P661" t="s">
        <v>218</v>
      </c>
      <c r="Q661" t="s">
        <v>265</v>
      </c>
    </row>
    <row r="662" spans="1:23">
      <c r="A662">
        <v>15</v>
      </c>
      <c r="B662">
        <v>12</v>
      </c>
      <c r="C662">
        <v>2008</v>
      </c>
      <c r="D662" s="3" t="s">
        <f>B662&amp;"/"&amp;A662&amp;"/"&amp;C662</f>
        <v>1086</v>
      </c>
      <c r="E662">
        <v>0.16666666666666666</v>
      </c>
      <c r="F662" t="s">
        <f>I662&amp;" "&amp;J662&amp;" "&amp;K662&amp;" "&amp;L662&amp;" "&amp;M662&amp;" "&amp;N662</f>
        <v>1087</v>
      </c>
      <c r="G662" t="s">
        <f>TEXT(D662,"mmm dd")</f>
        <v>1088</v>
      </c>
      <c r="I662" t="s">
        <v>1089</v>
      </c>
      <c r="J662" t="s">
        <v>1090</v>
      </c>
      <c r="K662" t="s">
        <v>48</v>
      </c>
      <c r="L662" t="s">
        <v>218</v>
      </c>
      <c r="M662" t="s">
        <v>265</v>
      </c>
    </row>
    <row r="663" spans="1:23">
      <c r="A663">
        <v>16</v>
      </c>
      <c r="B663">
        <v>12</v>
      </c>
      <c r="C663">
        <v>2008</v>
      </c>
      <c r="D663" s="3" t="s">
        <f>B663&amp;"/"&amp;A663&amp;"/"&amp;C663</f>
        <v>1091</v>
      </c>
      <c r="E663">
        <v>1</v>
      </c>
      <c r="F663" t="s">
        <f>I663&amp;" "&amp;J663&amp;" "&amp;K663&amp;" "&amp;L663&amp;" "&amp;M663&amp;" "&amp;N663</f>
        <v>1092</v>
      </c>
      <c r="G663" t="s">
        <f>TEXT(D663,"mmm dd")</f>
        <v>1093</v>
      </c>
      <c r="I663" t="s">
        <v>451</v>
      </c>
      <c r="J663" t="s">
        <v>609</v>
      </c>
      <c r="K663" t="s">
        <v>48</v>
      </c>
      <c r="L663" t="s">
        <v>1094</v>
      </c>
    </row>
    <row r="664" spans="1:23">
      <c r="A664">
        <v>16</v>
      </c>
      <c r="B664">
        <v>12</v>
      </c>
      <c r="C664">
        <v>2008</v>
      </c>
      <c r="D664" s="3" t="s">
        <f>B664&amp;"/"&amp;A664&amp;"/"&amp;C664</f>
        <v>1091</v>
      </c>
      <c r="E664">
        <v>1</v>
      </c>
      <c r="F664" t="s">
        <f>I664&amp;" "&amp;J664&amp;" "&amp;K664&amp;" "&amp;L664&amp;" "&amp;M664&amp;" "&amp;N664</f>
        <v>1092</v>
      </c>
      <c r="G664" t="s">
        <f>TEXT(D664,"mmm dd")</f>
        <v>1093</v>
      </c>
      <c r="I664" t="s">
        <v>451</v>
      </c>
      <c r="J664" t="s">
        <v>609</v>
      </c>
      <c r="K664" t="s">
        <v>48</v>
      </c>
      <c r="L664" t="s">
        <v>1094</v>
      </c>
    </row>
    <row r="665" spans="1:23">
      <c r="A665">
        <v>17</v>
      </c>
      <c r="B665">
        <v>12</v>
      </c>
      <c r="C665">
        <v>2008</v>
      </c>
      <c r="D665" s="3" t="s">
        <f>B665&amp;"/"&amp;A665&amp;"/"&amp;C665</f>
        <v>1095</v>
      </c>
      <c r="E665">
        <v>0.29166666666666669</v>
      </c>
      <c r="F665" t="s">
        <f>I665&amp;" "&amp;J665&amp;" "&amp;K665&amp;" "&amp;L665&amp;" "&amp;M665&amp;" "&amp;N665</f>
        <v>1096</v>
      </c>
      <c r="G665" t="s">
        <f>TEXT(D665,"mmm dd")</f>
        <v>1097</v>
      </c>
      <c r="I665" t="s">
        <v>52</v>
      </c>
      <c r="J665" t="s">
        <v>1068</v>
      </c>
      <c r="K665" t="s">
        <v>1098</v>
      </c>
      <c r="L665" t="s">
        <v>537</v>
      </c>
    </row>
    <row r="666" spans="1:23">
      <c r="A666">
        <v>17</v>
      </c>
      <c r="B666">
        <v>12</v>
      </c>
      <c r="C666">
        <v>2008</v>
      </c>
      <c r="D666" s="3" t="s">
        <f>B666&amp;"/"&amp;A666&amp;"/"&amp;C666</f>
        <v>1095</v>
      </c>
      <c r="E666">
        <v>1.0833333333333333</v>
      </c>
      <c r="F666" t="s">
        <f>I666&amp;" "&amp;J666&amp;" "&amp;K666&amp;" "&amp;L666&amp;" "&amp;M666&amp;" "&amp;N666</f>
        <v>1099</v>
      </c>
      <c r="G666" t="s">
        <f>TEXT(D666,"mmm dd")</f>
        <v>1097</v>
      </c>
      <c r="I666" t="s">
        <v>772</v>
      </c>
      <c r="J666" t="s">
        <v>449</v>
      </c>
      <c r="K666" t="s">
        <v>1100</v>
      </c>
      <c r="L666" t="s">
        <v>439</v>
      </c>
      <c r="M666" t="s">
        <v>1101</v>
      </c>
    </row>
    <row r="667" spans="1:23">
      <c r="A667">
        <v>17</v>
      </c>
      <c r="B667">
        <v>12</v>
      </c>
      <c r="C667">
        <v>2008</v>
      </c>
      <c r="D667" s="3" t="s">
        <f>B667&amp;"/"&amp;A667&amp;"/"&amp;C667</f>
        <v>1095</v>
      </c>
      <c r="E667">
        <v>0.29166666666666669</v>
      </c>
      <c r="F667" t="s">
        <f>I667&amp;" "&amp;J667&amp;" "&amp;K667&amp;" "&amp;L667&amp;" "&amp;M667&amp;" "&amp;N667</f>
        <v>1096</v>
      </c>
      <c r="G667" t="s">
        <f>TEXT(D667,"mmm dd")</f>
        <v>1097</v>
      </c>
      <c r="I667" t="s">
        <v>52</v>
      </c>
      <c r="J667" t="s">
        <v>1068</v>
      </c>
      <c r="K667" t="s">
        <v>1098</v>
      </c>
      <c r="L667" t="s">
        <v>537</v>
      </c>
    </row>
    <row r="668" spans="1:23">
      <c r="A668">
        <v>17</v>
      </c>
      <c r="B668">
        <v>12</v>
      </c>
      <c r="C668">
        <v>2008</v>
      </c>
      <c r="D668" s="3" t="s">
        <f>B668&amp;"/"&amp;A668&amp;"/"&amp;C668</f>
        <v>1095</v>
      </c>
      <c r="E668">
        <v>1.0833333333333333</v>
      </c>
      <c r="F668" t="s">
        <f>I668&amp;" "&amp;J668&amp;" "&amp;K668&amp;" "&amp;L668&amp;" "&amp;M668&amp;" "&amp;N668</f>
        <v>1099</v>
      </c>
      <c r="G668" t="s">
        <f>TEXT(D668,"mmm dd")</f>
        <v>1097</v>
      </c>
      <c r="I668" t="s">
        <v>772</v>
      </c>
      <c r="J668" t="s">
        <v>449</v>
      </c>
      <c r="K668" t="s">
        <v>1100</v>
      </c>
      <c r="L668" t="s">
        <v>439</v>
      </c>
      <c r="M668" t="s">
        <v>1101</v>
      </c>
    </row>
    <row r="669" spans="1:23">
      <c r="A669">
        <v>18</v>
      </c>
      <c r="B669">
        <v>12</v>
      </c>
      <c r="C669">
        <v>2008</v>
      </c>
      <c r="D669" s="3" t="s">
        <f>B669&amp;"/"&amp;A669&amp;"/"&amp;C669</f>
        <v>1102</v>
      </c>
      <c r="E669">
        <v>0.125</v>
      </c>
      <c r="F669" t="s">
        <f>I669&amp;" "&amp;J669&amp;" "&amp;K669&amp;" "&amp;L669&amp;" "&amp;M669&amp;" "&amp;N669</f>
        <v>1103</v>
      </c>
      <c r="G669" t="s">
        <f>TEXT(D669,"mmm dd")</f>
        <v>1104</v>
      </c>
      <c r="I669" t="s">
        <v>1105</v>
      </c>
      <c r="J669" t="s">
        <v>439</v>
      </c>
      <c r="K669" t="s">
        <v>1106</v>
      </c>
      <c r="L669" t="s">
        <v>1107</v>
      </c>
      <c r="M669" t="s">
        <v>1108</v>
      </c>
    </row>
    <row r="670" spans="1:23">
      <c r="A670">
        <v>18</v>
      </c>
      <c r="B670">
        <v>12</v>
      </c>
      <c r="C670">
        <v>2008</v>
      </c>
      <c r="D670" s="3" t="s">
        <f>B670&amp;"/"&amp;A670&amp;"/"&amp;C670</f>
        <v>1102</v>
      </c>
      <c r="E670">
        <v>0.9375</v>
      </c>
      <c r="F670" t="s">
        <f>I670&amp;" "&amp;J670&amp;" "&amp;K670&amp;" "&amp;L670&amp;" "&amp;M670&amp;" "&amp;N670</f>
        <v>1109</v>
      </c>
      <c r="G670" t="s">
        <f>TEXT(D670,"mmm dd")</f>
        <v>1104</v>
      </c>
      <c r="I670" t="s">
        <v>410</v>
      </c>
      <c r="J670" t="s">
        <v>449</v>
      </c>
      <c r="K670" t="s">
        <v>1110</v>
      </c>
      <c r="L670" t="s">
        <v>1111</v>
      </c>
    </row>
    <row r="671" spans="1:23">
      <c r="A671">
        <v>18</v>
      </c>
      <c r="B671">
        <v>12</v>
      </c>
      <c r="C671">
        <v>2008</v>
      </c>
      <c r="D671" s="3" t="s">
        <f>B671&amp;"/"&amp;A671&amp;"/"&amp;C671</f>
        <v>1102</v>
      </c>
      <c r="E671">
        <v>0.9375</v>
      </c>
      <c r="F671" t="s">
        <f>I671&amp;" "&amp;J671&amp;" "&amp;K671&amp;" "&amp;L671&amp;" "&amp;M671&amp;" "&amp;N671</f>
        <v>1109</v>
      </c>
      <c r="G671" t="s">
        <f>TEXT(D671,"mmm dd")</f>
        <v>1104</v>
      </c>
      <c r="I671" t="s">
        <v>410</v>
      </c>
      <c r="J671" t="s">
        <v>449</v>
      </c>
      <c r="K671" t="s">
        <v>1110</v>
      </c>
      <c r="L671" t="s">
        <v>1111</v>
      </c>
    </row>
    <row r="672" spans="1:23">
      <c r="A672">
        <v>18</v>
      </c>
      <c r="B672">
        <v>12</v>
      </c>
      <c r="C672">
        <v>2008</v>
      </c>
      <c r="D672" s="3" t="s">
        <f>B672&amp;"/"&amp;A672&amp;"/"&amp;C672</f>
        <v>1102</v>
      </c>
      <c r="E672">
        <v>0.125</v>
      </c>
      <c r="F672" t="s">
        <f>I672&amp;" "&amp;J672&amp;" "&amp;K672&amp;" "&amp;L672&amp;" "&amp;M672&amp;" "&amp;N672</f>
        <v>1103</v>
      </c>
      <c r="G672" t="s">
        <f>TEXT(D672,"mmm dd")</f>
        <v>1104</v>
      </c>
      <c r="I672" t="s">
        <v>1105</v>
      </c>
      <c r="J672" t="s">
        <v>439</v>
      </c>
      <c r="K672" t="s">
        <v>1106</v>
      </c>
      <c r="L672" t="s">
        <v>1107</v>
      </c>
      <c r="M672" t="s">
        <v>1108</v>
      </c>
    </row>
    <row r="673" spans="1:23">
      <c r="A673">
        <v>19</v>
      </c>
      <c r="B673">
        <v>12</v>
      </c>
      <c r="C673">
        <v>2008</v>
      </c>
      <c r="D673" s="3" t="s">
        <f>B673&amp;"/"&amp;A673&amp;"/"&amp;C673</f>
        <v>1112</v>
      </c>
      <c r="E673">
        <v>0.29166666666666669</v>
      </c>
      <c r="F673" t="s">
        <f>I673&amp;" "&amp;J673&amp;" "&amp;K673&amp;" "&amp;L673&amp;" "&amp;M673&amp;" "&amp;N673</f>
        <v>1113</v>
      </c>
      <c r="G673" t="s">
        <f>TEXT(D673,"mmm dd")</f>
        <v>1114</v>
      </c>
      <c r="I673" t="s">
        <v>1115</v>
      </c>
      <c r="J673" t="s">
        <v>1116</v>
      </c>
      <c r="K673" t="s">
        <v>48</v>
      </c>
      <c r="L673" t="s">
        <v>1117</v>
      </c>
    </row>
    <row r="674" spans="1:23">
      <c r="A674">
        <v>19</v>
      </c>
      <c r="B674">
        <v>12</v>
      </c>
      <c r="C674">
        <v>2008</v>
      </c>
      <c r="D674" s="3" t="s">
        <f>B674&amp;"/"&amp;A674&amp;"/"&amp;C674</f>
        <v>1112</v>
      </c>
      <c r="E674">
        <v>0.29166666666666669</v>
      </c>
      <c r="F674" t="s">
        <f>I674&amp;" "&amp;J674&amp;" "&amp;K674&amp;" "&amp;L674&amp;" "&amp;M674&amp;" "&amp;N674</f>
        <v>1113</v>
      </c>
      <c r="G674" t="s">
        <f>TEXT(D674,"mmm dd")</f>
        <v>1114</v>
      </c>
      <c r="I674" t="s">
        <v>1115</v>
      </c>
      <c r="J674" t="s">
        <v>1116</v>
      </c>
      <c r="K674" t="s">
        <v>48</v>
      </c>
      <c r="L674" t="s">
        <v>1117</v>
      </c>
    </row>
    <row r="675" spans="1:23">
      <c r="A675">
        <v>20</v>
      </c>
      <c r="B675">
        <v>12</v>
      </c>
      <c r="C675">
        <v>2008</v>
      </c>
      <c r="D675" s="3" t="s">
        <f>B675&amp;"/"&amp;A675&amp;"/"&amp;C675</f>
        <v>1118</v>
      </c>
      <c r="E675">
        <v>0.45833333333333331</v>
      </c>
      <c r="F675" t="s">
        <f>I675&amp;" "&amp;J675&amp;" "&amp;K675&amp;" "&amp;L675&amp;" "&amp;M675&amp;" "&amp;N675</f>
        <v>1119</v>
      </c>
      <c r="G675" t="s">
        <f>TEXT(D675,"mmm dd")</f>
        <v>1120</v>
      </c>
      <c r="I675" t="s">
        <v>1121</v>
      </c>
      <c r="J675" t="s">
        <v>1122</v>
      </c>
    </row>
    <row r="676" spans="1:23">
      <c r="A676">
        <v>20</v>
      </c>
      <c r="B676">
        <v>12</v>
      </c>
      <c r="C676">
        <v>2008</v>
      </c>
      <c r="D676" s="3" t="s">
        <f>B676&amp;"/"&amp;A676&amp;"/"&amp;C676</f>
        <v>1118</v>
      </c>
      <c r="E676">
        <v>0.20833333333333334</v>
      </c>
      <c r="F676" t="s">
        <f>I676&amp;" "&amp;J676&amp;" "&amp;K676&amp;" "&amp;L676&amp;" "&amp;M676&amp;" "&amp;N676</f>
        <v>1123</v>
      </c>
      <c r="G676" t="s">
        <f>TEXT(D676,"mmm dd")</f>
        <v>1120</v>
      </c>
      <c r="I676" t="s">
        <v>1124</v>
      </c>
      <c r="J676" t="s">
        <v>963</v>
      </c>
      <c r="K676" t="s">
        <v>964</v>
      </c>
    </row>
    <row r="677" spans="1:23">
      <c r="A677">
        <v>20</v>
      </c>
      <c r="B677">
        <v>12</v>
      </c>
      <c r="C677">
        <v>2008</v>
      </c>
      <c r="D677" s="3" t="s">
        <f>B677&amp;"/"&amp;A677&amp;"/"&amp;C677</f>
        <v>1118</v>
      </c>
      <c r="E677">
        <v>0.20833333333333334</v>
      </c>
      <c r="F677" t="s">
        <f>I677&amp;" "&amp;J677&amp;" "&amp;K677&amp;" "&amp;L677&amp;" "&amp;M677&amp;" "&amp;N677</f>
        <v>1123</v>
      </c>
      <c r="G677" t="s">
        <f>TEXT(D677,"mmm dd")</f>
        <v>1120</v>
      </c>
      <c r="I677" t="s">
        <v>1124</v>
      </c>
      <c r="J677" t="s">
        <v>963</v>
      </c>
      <c r="K677" t="s">
        <v>964</v>
      </c>
    </row>
    <row r="678" spans="1:23">
      <c r="A678">
        <v>21</v>
      </c>
      <c r="B678">
        <v>12</v>
      </c>
      <c r="C678">
        <v>2008</v>
      </c>
      <c r="D678" s="3" t="s">
        <f>B678&amp;"/"&amp;A678&amp;"/"&amp;C678</f>
        <v>1125</v>
      </c>
      <c r="E678">
        <v>0.25</v>
      </c>
      <c r="F678" t="s">
        <f>I678&amp;" "&amp;J678&amp;" "&amp;K678&amp;" "&amp;L678&amp;" "&amp;M678&amp;" "&amp;N678</f>
        <v>1126</v>
      </c>
      <c r="G678" t="s">
        <f>TEXT(D678,"mmm dd")</f>
        <v>1127</v>
      </c>
      <c r="I678" t="s">
        <v>1068</v>
      </c>
      <c r="J678" t="s">
        <v>674</v>
      </c>
      <c r="K678" t="s">
        <v>751</v>
      </c>
    </row>
    <row r="679" spans="1:23">
      <c r="A679">
        <v>21</v>
      </c>
      <c r="B679">
        <v>12</v>
      </c>
      <c r="C679">
        <v>2008</v>
      </c>
      <c r="D679" s="3" t="s">
        <f>B679&amp;"/"&amp;A679&amp;"/"&amp;C679</f>
        <v>1125</v>
      </c>
      <c r="E679">
        <v>0.25</v>
      </c>
      <c r="F679" t="s">
        <f>I679&amp;" "&amp;J679&amp;" "&amp;K679&amp;" "&amp;L679&amp;" "&amp;M679&amp;" "&amp;N679</f>
        <v>1126</v>
      </c>
      <c r="G679" t="s">
        <f>TEXT(D679,"mmm dd")</f>
        <v>1127</v>
      </c>
      <c r="I679" t="s">
        <v>1068</v>
      </c>
      <c r="J679" t="s">
        <v>674</v>
      </c>
      <c r="K679" t="s">
        <v>751</v>
      </c>
    </row>
    <row r="680" spans="1:23">
      <c r="A680">
        <v>23</v>
      </c>
      <c r="B680">
        <v>12</v>
      </c>
      <c r="C680">
        <v>2008</v>
      </c>
      <c r="D680" s="3" t="s">
        <f>B680&amp;"/"&amp;A680&amp;"/"&amp;C680</f>
        <v>1128</v>
      </c>
      <c r="E680">
        <v>1.0833333333333333</v>
      </c>
      <c r="F680" t="s">
        <f>I680&amp;" "&amp;J680&amp;" "&amp;K680&amp;" "&amp;L680&amp;" "&amp;M680&amp;" "&amp;N680</f>
        <v>1103</v>
      </c>
      <c r="G680" t="s">
        <f>TEXT(D680,"mmm dd")</f>
        <v>1129</v>
      </c>
      <c r="I680" t="s">
        <v>1105</v>
      </c>
      <c r="J680" t="s">
        <v>439</v>
      </c>
      <c r="K680" t="s">
        <v>1106</v>
      </c>
      <c r="L680" t="s">
        <v>1107</v>
      </c>
      <c r="M680" t="s">
        <v>1108</v>
      </c>
    </row>
    <row r="681" spans="1:23">
      <c r="A681">
        <v>23</v>
      </c>
      <c r="B681">
        <v>12</v>
      </c>
      <c r="C681">
        <v>2008</v>
      </c>
      <c r="D681" s="3" t="s">
        <f>B681&amp;"/"&amp;A681&amp;"/"&amp;C681</f>
        <v>1128</v>
      </c>
      <c r="E681">
        <v>1.0833333333333333</v>
      </c>
      <c r="F681" t="s">
        <f>I681&amp;" "&amp;J681&amp;" "&amp;K681&amp;" "&amp;L681&amp;" "&amp;M681&amp;" "&amp;N681</f>
        <v>1103</v>
      </c>
      <c r="G681" t="s">
        <f>TEXT(D681,"mmm dd")</f>
        <v>1129</v>
      </c>
      <c r="I681" t="s">
        <v>1105</v>
      </c>
      <c r="J681" t="s">
        <v>439</v>
      </c>
      <c r="K681" t="s">
        <v>1106</v>
      </c>
      <c r="L681" t="s">
        <v>1107</v>
      </c>
      <c r="M681" t="s">
        <v>1108</v>
      </c>
    </row>
    <row r="682" spans="1:23">
      <c r="A682">
        <v>27</v>
      </c>
      <c r="B682">
        <v>12</v>
      </c>
      <c r="C682">
        <v>2008</v>
      </c>
      <c r="D682" s="3" t="s">
        <f>B682&amp;"/"&amp;A682&amp;"/"&amp;C682</f>
        <v>1130</v>
      </c>
      <c r="E682">
        <v>0.20833333333333334</v>
      </c>
      <c r="F682" t="s">
        <f>I682&amp;" "&amp;J682&amp;" "&amp;K682&amp;" "&amp;L682&amp;" "&amp;M682&amp;" "&amp;N682</f>
        <v>1123</v>
      </c>
      <c r="G682" t="s">
        <f>TEXT(D682,"mmm dd")</f>
        <v>1131</v>
      </c>
      <c r="I682" t="s">
        <v>1124</v>
      </c>
      <c r="J682" t="s">
        <v>963</v>
      </c>
      <c r="K682" t="s">
        <v>964</v>
      </c>
    </row>
    <row r="683" spans="1:23">
      <c r="A683">
        <v>27</v>
      </c>
      <c r="B683">
        <v>12</v>
      </c>
      <c r="C683">
        <v>2008</v>
      </c>
      <c r="D683" s="3" t="s">
        <f>B683&amp;"/"&amp;A683&amp;"/"&amp;C683</f>
        <v>1130</v>
      </c>
      <c r="E683">
        <v>0.20833333333333334</v>
      </c>
      <c r="F683" t="s">
        <f>I683&amp;" "&amp;J683&amp;" "&amp;K683&amp;" "&amp;L683&amp;" "&amp;M683&amp;" "&amp;N683</f>
        <v>1123</v>
      </c>
      <c r="G683" t="s">
        <f>TEXT(D683,"mmm dd")</f>
        <v>1131</v>
      </c>
      <c r="I683" t="s">
        <v>1124</v>
      </c>
      <c r="J683" t="s">
        <v>963</v>
      </c>
      <c r="K683" t="s">
        <v>964</v>
      </c>
    </row>
    <row r="684" spans="1:23">
      <c r="A684">
        <v>31</v>
      </c>
      <c r="B684">
        <v>12</v>
      </c>
      <c r="C684">
        <v>2008</v>
      </c>
      <c r="D684" s="3" t="s">
        <f>B684&amp;"/"&amp;A684&amp;"/"&amp;C684</f>
        <v>1132</v>
      </c>
      <c r="E684">
        <v>0.20833333333333334</v>
      </c>
      <c r="F684" t="s">
        <f>I684&amp;" "&amp;J684&amp;" "&amp;K684&amp;" "&amp;L684&amp;" "&amp;M684&amp;" "&amp;N684</f>
        <v>1133</v>
      </c>
      <c r="G684" t="s">
        <f>TEXT(D684,"mmm dd")</f>
        <v>1134</v>
      </c>
      <c r="I684" t="s">
        <v>1135</v>
      </c>
      <c r="J684" t="s">
        <v>439</v>
      </c>
      <c r="K684" t="s">
        <v>1136</v>
      </c>
      <c r="L684" t="s">
        <v>1137</v>
      </c>
    </row>
    <row r="685" spans="1:23">
      <c r="A685">
        <v>31</v>
      </c>
      <c r="B685">
        <v>12</v>
      </c>
      <c r="C685">
        <v>2008</v>
      </c>
      <c r="D685" s="3" t="s">
        <f>B685&amp;"/"&amp;A685&amp;"/"&amp;C685</f>
        <v>1132</v>
      </c>
      <c r="E685">
        <v>0.20833333333333334</v>
      </c>
      <c r="F685" t="s">
        <f>I685&amp;" "&amp;J685&amp;" "&amp;K685&amp;" "&amp;L685&amp;" "&amp;M685&amp;" "&amp;N685</f>
        <v>1133</v>
      </c>
      <c r="G685" t="s">
        <f>TEXT(D685,"mmm dd")</f>
        <v>1134</v>
      </c>
      <c r="I685" t="s">
        <v>1135</v>
      </c>
      <c r="J685" t="s">
        <v>439</v>
      </c>
      <c r="K685" t="s">
        <v>1136</v>
      </c>
      <c r="L685" t="s">
        <v>1137</v>
      </c>
    </row>
    <row r="686" spans="1:23">
      <c r="A686">
        <v>3</v>
      </c>
      <c r="B686">
        <v>1</v>
      </c>
      <c r="C686">
        <v>2009</v>
      </c>
      <c r="D686" s="3" t="s">
        <f>B686&amp;"/"&amp;A686&amp;"/"&amp;C686</f>
        <v>1138</v>
      </c>
      <c r="E686">
        <v>0.20833333333333334</v>
      </c>
      <c r="F686" t="s">
        <f>I686&amp;" "&amp;J686&amp;" "&amp;K686&amp;" "&amp;L686&amp;" "&amp;M686&amp;" "&amp;N686</f>
        <v>1123</v>
      </c>
      <c r="G686" t="s">
        <f>TEXT(D686,"mmm dd")</f>
        <v>1139</v>
      </c>
      <c r="I686" t="s">
        <v>1124</v>
      </c>
      <c r="J686" t="s">
        <v>963</v>
      </c>
      <c r="K686" t="s">
        <v>964</v>
      </c>
    </row>
    <row r="687" spans="1:23">
      <c r="A687">
        <v>3</v>
      </c>
      <c r="B687">
        <v>1</v>
      </c>
      <c r="C687">
        <v>2009</v>
      </c>
      <c r="D687" s="3" t="s">
        <f>B687&amp;"/"&amp;A687&amp;"/"&amp;C687</f>
        <v>1138</v>
      </c>
      <c r="E687">
        <v>0.20833333333333334</v>
      </c>
      <c r="F687" t="s">
        <f>I687&amp;" "&amp;J687&amp;" "&amp;K687&amp;" "&amp;L687&amp;" "&amp;M687&amp;" "&amp;N687</f>
        <v>1123</v>
      </c>
      <c r="G687" t="s">
        <f>TEXT(D687,"mmm dd")</f>
        <v>1139</v>
      </c>
      <c r="I687" t="s">
        <v>1124</v>
      </c>
      <c r="J687" t="s">
        <v>963</v>
      </c>
      <c r="K687" t="s">
        <v>964</v>
      </c>
    </row>
    <row r="688" spans="1:23">
      <c r="A688">
        <v>6</v>
      </c>
      <c r="B688">
        <v>1</v>
      </c>
      <c r="C688">
        <v>2009</v>
      </c>
      <c r="D688" s="3" t="s">
        <f>B688&amp;"/"&amp;A688&amp;"/"&amp;C688</f>
        <v>1140</v>
      </c>
      <c r="E688">
        <v>0.92708333333333337</v>
      </c>
      <c r="F688" t="s">
        <f>I688&amp;" "&amp;J688&amp;" "&amp;K688&amp;" "&amp;L688&amp;" "&amp;M688&amp;" "&amp;N688</f>
        <v>1141</v>
      </c>
      <c r="G688" t="s">
        <f>TEXT(D688,"mmm dd")</f>
        <v>1142</v>
      </c>
      <c r="I688" t="s">
        <v>1143</v>
      </c>
      <c r="J688" t="s">
        <v>647</v>
      </c>
    </row>
    <row r="689" spans="1:23">
      <c r="A689">
        <v>6</v>
      </c>
      <c r="B689">
        <v>1</v>
      </c>
      <c r="C689">
        <v>2009</v>
      </c>
      <c r="D689" s="3" t="s">
        <f>B689&amp;"/"&amp;A689&amp;"/"&amp;C689</f>
        <v>1140</v>
      </c>
      <c r="E689">
        <v>0.92708333333333337</v>
      </c>
      <c r="F689" t="s">
        <f>I689&amp;" "&amp;J689&amp;" "&amp;K689&amp;" "&amp;L689&amp;" "&amp;M689&amp;" "&amp;N689</f>
        <v>1141</v>
      </c>
      <c r="G689" t="s">
        <f>TEXT(D689,"mmm dd")</f>
        <v>1142</v>
      </c>
      <c r="I689" t="s">
        <v>1143</v>
      </c>
      <c r="J689" t="s">
        <v>647</v>
      </c>
    </row>
    <row r="690" spans="1:23">
      <c r="A690">
        <v>10</v>
      </c>
      <c r="B690">
        <v>1</v>
      </c>
      <c r="C690">
        <v>2009</v>
      </c>
      <c r="D690" s="3" t="s">
        <f>B690&amp;"/"&amp;A690&amp;"/"&amp;C690</f>
        <v>1144</v>
      </c>
      <c r="E690">
        <v>0.875</v>
      </c>
      <c r="F690" t="s">
        <f>I690&amp;" "&amp;J690&amp;" "&amp;K690&amp;" "&amp;L690&amp;" "&amp;M690&amp;" "&amp;N690</f>
        <v>1145</v>
      </c>
      <c r="G690" t="s">
        <f>TEXT(D690,"mmm dd")</f>
        <v>1146</v>
      </c>
      <c r="I690" t="s">
        <v>1147</v>
      </c>
      <c r="J690" t="s">
        <v>439</v>
      </c>
      <c r="K690" t="s">
        <v>1046</v>
      </c>
      <c r="L690" t="s">
        <v>1148</v>
      </c>
    </row>
    <row r="691" spans="1:23">
      <c r="A691">
        <v>10</v>
      </c>
      <c r="B691">
        <v>1</v>
      </c>
      <c r="C691">
        <v>2009</v>
      </c>
      <c r="D691" s="3" t="s">
        <f>B691&amp;"/"&amp;A691&amp;"/"&amp;C691</f>
        <v>1144</v>
      </c>
      <c r="E691">
        <v>0.29166666666666669</v>
      </c>
      <c r="F691" t="s">
        <f>I691&amp;" "&amp;J691&amp;" "&amp;K691&amp;" "&amp;L691&amp;" "&amp;M691&amp;" "&amp;N691</f>
        <v>1149</v>
      </c>
      <c r="G691" t="s">
        <f>TEXT(D691,"mmm dd")</f>
        <v>1146</v>
      </c>
      <c r="I691" t="s">
        <v>300</v>
      </c>
      <c r="J691" t="s">
        <v>1150</v>
      </c>
    </row>
    <row r="692" spans="1:23">
      <c r="A692">
        <v>10</v>
      </c>
      <c r="B692">
        <v>1</v>
      </c>
      <c r="C692">
        <v>2009</v>
      </c>
      <c r="D692" s="3" t="s">
        <f>B692&amp;"/"&amp;A692&amp;"/"&amp;C692</f>
        <v>1144</v>
      </c>
      <c r="E692">
        <v>0.875</v>
      </c>
      <c r="F692" t="s">
        <f>I692&amp;" "&amp;J692&amp;" "&amp;K692&amp;" "&amp;L692&amp;" "&amp;M692&amp;" "&amp;N692</f>
        <v>1145</v>
      </c>
      <c r="G692" t="s">
        <f>TEXT(D692,"mmm dd")</f>
        <v>1146</v>
      </c>
      <c r="I692" t="s">
        <v>1147</v>
      </c>
      <c r="J692" t="s">
        <v>439</v>
      </c>
      <c r="K692" t="s">
        <v>1046</v>
      </c>
      <c r="L692" t="s">
        <v>1148</v>
      </c>
    </row>
    <row r="693" spans="1:23">
      <c r="A693">
        <v>10</v>
      </c>
      <c r="B693">
        <v>1</v>
      </c>
      <c r="C693">
        <v>2009</v>
      </c>
      <c r="D693" s="3" t="s">
        <f>B693&amp;"/"&amp;A693&amp;"/"&amp;C693</f>
        <v>1144</v>
      </c>
      <c r="E693">
        <v>0.29166666666666669</v>
      </c>
      <c r="F693" t="s">
        <f>I693&amp;" "&amp;J693&amp;" "&amp;K693&amp;" "&amp;L693&amp;" "&amp;M693&amp;" "&amp;N693</f>
        <v>1149</v>
      </c>
      <c r="G693" t="s">
        <f>TEXT(D693,"mmm dd")</f>
        <v>1146</v>
      </c>
      <c r="I693" t="s">
        <v>300</v>
      </c>
      <c r="J693" t="s">
        <v>1150</v>
      </c>
    </row>
    <row r="694" spans="1:23">
      <c r="A694">
        <v>11</v>
      </c>
      <c r="B694">
        <v>1</v>
      </c>
      <c r="C694">
        <v>2009</v>
      </c>
      <c r="D694" s="3" t="s">
        <f>B694&amp;"/"&amp;A694&amp;"/"&amp;C694</f>
        <v>1151</v>
      </c>
      <c r="E694">
        <v>0.20833333333333334</v>
      </c>
      <c r="F694" t="s">
        <f>I694&amp;" "&amp;J694&amp;" "&amp;K694&amp;" "&amp;L694&amp;" "&amp;M694&amp;" "&amp;N694</f>
        <v>1123</v>
      </c>
      <c r="G694" t="s">
        <f>TEXT(D694,"mmm dd")</f>
        <v>1152</v>
      </c>
      <c r="I694" t="s">
        <v>1124</v>
      </c>
      <c r="J694" t="s">
        <v>963</v>
      </c>
      <c r="K694" t="s">
        <v>964</v>
      </c>
    </row>
    <row r="695" spans="1:23">
      <c r="A695">
        <v>11</v>
      </c>
      <c r="B695">
        <v>1</v>
      </c>
      <c r="C695">
        <v>2009</v>
      </c>
      <c r="D695" s="3" t="s">
        <f>B695&amp;"/"&amp;A695&amp;"/"&amp;C695</f>
        <v>1151</v>
      </c>
      <c r="E695">
        <v>1.0208333333333333</v>
      </c>
      <c r="F695" t="s">
        <f>I695&amp;" "&amp;J695&amp;" "&amp;K695&amp;" "&amp;L695&amp;" "&amp;M695&amp;" "&amp;N695</f>
        <v>1153</v>
      </c>
      <c r="G695" t="s">
        <f>TEXT(D695,"mmm dd")</f>
        <v>1152</v>
      </c>
      <c r="I695" t="s">
        <v>300</v>
      </c>
      <c r="J695" t="s">
        <v>1154</v>
      </c>
    </row>
    <row r="696" spans="1:23">
      <c r="A696">
        <v>11</v>
      </c>
      <c r="B696">
        <v>1</v>
      </c>
      <c r="C696">
        <v>2009</v>
      </c>
      <c r="D696" s="3" t="s">
        <f>B696&amp;"/"&amp;A696&amp;"/"&amp;C696</f>
        <v>1151</v>
      </c>
      <c r="E696">
        <v>0.33333333333333331</v>
      </c>
      <c r="F696" t="s">
        <f>I696&amp;" "&amp;J696&amp;" "&amp;K696&amp;" "&amp;L696&amp;" "&amp;M696&amp;" "&amp;N696</f>
        <v>1155</v>
      </c>
      <c r="G696" t="s">
        <f>TEXT(D696,"mmm dd")</f>
        <v>1152</v>
      </c>
      <c r="I696" t="s">
        <v>1150</v>
      </c>
      <c r="J696" t="s">
        <v>372</v>
      </c>
      <c r="K696" t="s">
        <v>1156</v>
      </c>
    </row>
    <row r="697" spans="1:23">
      <c r="A697">
        <v>11</v>
      </c>
      <c r="B697">
        <v>1</v>
      </c>
      <c r="C697">
        <v>2009</v>
      </c>
      <c r="D697" s="3" t="s">
        <f>B697&amp;"/"&amp;A697&amp;"/"&amp;C697</f>
        <v>1151</v>
      </c>
      <c r="E697">
        <v>0.125</v>
      </c>
      <c r="F697" t="s">
        <f>I697&amp;" "&amp;J697&amp;" "&amp;K697&amp;" "&amp;L697&amp;" "&amp;M697&amp;" "&amp;N697</f>
        <v>1157</v>
      </c>
      <c r="G697" t="s">
        <f>TEXT(D697,"mmm dd")</f>
        <v>1152</v>
      </c>
      <c r="I697" t="s">
        <v>1158</v>
      </c>
      <c r="J697" t="s">
        <v>1159</v>
      </c>
      <c r="K697" t="s">
        <v>633</v>
      </c>
      <c r="L697" t="s">
        <v>1160</v>
      </c>
      <c r="M697" t="s">
        <v>1161</v>
      </c>
    </row>
    <row r="698" spans="1:23">
      <c r="A698">
        <v>11</v>
      </c>
      <c r="B698">
        <v>1</v>
      </c>
      <c r="C698">
        <v>2009</v>
      </c>
      <c r="D698" s="3" t="s">
        <f>B698&amp;"/"&amp;A698&amp;"/"&amp;C698</f>
        <v>1151</v>
      </c>
      <c r="E698">
        <v>0.20833333333333334</v>
      </c>
      <c r="F698" t="s">
        <f>I698&amp;" "&amp;J698&amp;" "&amp;K698&amp;" "&amp;L698&amp;" "&amp;M698&amp;" "&amp;N698</f>
        <v>1123</v>
      </c>
      <c r="G698" t="s">
        <f>TEXT(D698,"mmm dd")</f>
        <v>1152</v>
      </c>
      <c r="I698" t="s">
        <v>1124</v>
      </c>
      <c r="J698" t="s">
        <v>963</v>
      </c>
      <c r="K698" t="s">
        <v>964</v>
      </c>
    </row>
    <row r="699" spans="1:23">
      <c r="A699">
        <v>11</v>
      </c>
      <c r="B699">
        <v>1</v>
      </c>
      <c r="C699">
        <v>2009</v>
      </c>
      <c r="D699" s="3" t="s">
        <f>B699&amp;"/"&amp;A699&amp;"/"&amp;C699</f>
        <v>1151</v>
      </c>
      <c r="E699">
        <v>0.125</v>
      </c>
      <c r="F699" t="s">
        <f>I699&amp;" "&amp;J699&amp;" "&amp;K699&amp;" "&amp;L699&amp;" "&amp;M699&amp;" "&amp;N699</f>
        <v>1157</v>
      </c>
      <c r="G699" t="s">
        <f>TEXT(D699,"mmm dd")</f>
        <v>1152</v>
      </c>
      <c r="I699" t="s">
        <v>1158</v>
      </c>
      <c r="J699" t="s">
        <v>1159</v>
      </c>
      <c r="K699" t="s">
        <v>633</v>
      </c>
      <c r="L699" t="s">
        <v>1160</v>
      </c>
      <c r="M699" t="s">
        <v>1161</v>
      </c>
    </row>
    <row r="700" spans="1:23">
      <c r="A700">
        <v>11</v>
      </c>
      <c r="B700">
        <v>1</v>
      </c>
      <c r="C700">
        <v>2009</v>
      </c>
      <c r="D700" s="3" t="s">
        <f>B700&amp;"/"&amp;A700&amp;"/"&amp;C700</f>
        <v>1151</v>
      </c>
      <c r="E700">
        <v>1.0208333333333333</v>
      </c>
      <c r="F700" t="s">
        <f>I700&amp;" "&amp;J700&amp;" "&amp;K700&amp;" "&amp;L700&amp;" "&amp;M700&amp;" "&amp;N700</f>
        <v>1153</v>
      </c>
      <c r="G700" t="s">
        <f>TEXT(D700,"mmm dd")</f>
        <v>1152</v>
      </c>
      <c r="I700" t="s">
        <v>300</v>
      </c>
      <c r="J700" t="s">
        <v>1154</v>
      </c>
    </row>
    <row r="701" spans="1:23">
      <c r="A701">
        <v>11</v>
      </c>
      <c r="B701">
        <v>1</v>
      </c>
      <c r="C701">
        <v>2009</v>
      </c>
      <c r="D701" s="3" t="s">
        <f>B701&amp;"/"&amp;A701&amp;"/"&amp;C701</f>
        <v>1151</v>
      </c>
      <c r="E701">
        <v>0.33333333333333331</v>
      </c>
      <c r="F701" t="s">
        <f>I701&amp;" "&amp;J701&amp;" "&amp;K701&amp;" "&amp;L701&amp;" "&amp;M701&amp;" "&amp;N701</f>
        <v>1155</v>
      </c>
      <c r="G701" t="s">
        <f>TEXT(D701,"mmm dd")</f>
        <v>1152</v>
      </c>
      <c r="I701" t="s">
        <v>1150</v>
      </c>
      <c r="J701" t="s">
        <v>372</v>
      </c>
      <c r="K701" t="s">
        <v>1156</v>
      </c>
    </row>
    <row r="702" spans="1:23">
      <c r="A702">
        <v>13</v>
      </c>
      <c r="B702">
        <v>1</v>
      </c>
      <c r="C702">
        <v>2009</v>
      </c>
      <c r="D702" s="3" t="s">
        <f>B702&amp;"/"&amp;A702&amp;"/"&amp;C702</f>
        <v>1162</v>
      </c>
      <c r="E702">
        <v>1</v>
      </c>
      <c r="F702" t="s">
        <f>I702&amp;" "&amp;J702&amp;" "&amp;K702&amp;" "&amp;L702&amp;" "&amp;M702&amp;" "&amp;N702</f>
        <v>1163</v>
      </c>
      <c r="G702" t="s">
        <f>TEXT(D702,"mmm dd")</f>
        <v>1164</v>
      </c>
      <c r="I702" t="s">
        <v>300</v>
      </c>
      <c r="J702" t="s">
        <v>451</v>
      </c>
      <c r="K702" t="s">
        <v>609</v>
      </c>
      <c r="L702" t="s">
        <v>48</v>
      </c>
      <c r="M702" t="s">
        <v>218</v>
      </c>
      <c r="N702" t="s">
        <v>265</v>
      </c>
    </row>
    <row r="703" spans="1:23">
      <c r="A703">
        <v>13</v>
      </c>
      <c r="B703">
        <v>1</v>
      </c>
      <c r="C703">
        <v>2009</v>
      </c>
      <c r="D703" s="3" t="s">
        <f>B703&amp;"/"&amp;A703&amp;"/"&amp;C703</f>
        <v>1162</v>
      </c>
      <c r="E703">
        <v>0.20833333333333334</v>
      </c>
      <c r="F703" t="s">
        <f>I703&amp;" "&amp;J703&amp;" "&amp;K703&amp;" "&amp;L703&amp;" "&amp;M703&amp;" "&amp;N703</f>
        <v>1123</v>
      </c>
      <c r="G703" t="s">
        <f>TEXT(D703,"mmm dd")</f>
        <v>1164</v>
      </c>
      <c r="I703" t="s">
        <v>1124</v>
      </c>
      <c r="J703" t="s">
        <v>963</v>
      </c>
      <c r="K703" t="s">
        <v>964</v>
      </c>
      <c r="O703" t="s">
        <v>242</v>
      </c>
      <c r="P703" t="s">
        <v>243</v>
      </c>
      <c r="Q703" t="s">
        <v>244</v>
      </c>
    </row>
    <row r="704" spans="1:23">
      <c r="A704">
        <v>13</v>
      </c>
      <c r="B704">
        <v>1</v>
      </c>
      <c r="C704">
        <v>2009</v>
      </c>
      <c r="D704" s="3" t="s">
        <f>B704&amp;"/"&amp;A704&amp;"/"&amp;C704</f>
        <v>1162</v>
      </c>
      <c r="E704">
        <v>1</v>
      </c>
      <c r="F704" t="s">
        <f>I704&amp;" "&amp;J704&amp;" "&amp;K704&amp;" "&amp;L704&amp;" "&amp;M704&amp;" "&amp;N704</f>
        <v>1163</v>
      </c>
      <c r="G704" t="s">
        <f>TEXT(D704,"mmm dd")</f>
        <v>1164</v>
      </c>
      <c r="I704" t="s">
        <v>300</v>
      </c>
      <c r="J704" t="s">
        <v>451</v>
      </c>
      <c r="K704" t="s">
        <v>609</v>
      </c>
      <c r="L704" t="s">
        <v>48</v>
      </c>
      <c r="M704" t="s">
        <v>218</v>
      </c>
      <c r="N704" t="s">
        <v>265</v>
      </c>
    </row>
    <row r="705" spans="1:23">
      <c r="A705">
        <v>13</v>
      </c>
      <c r="B705">
        <v>1</v>
      </c>
      <c r="C705">
        <v>2009</v>
      </c>
      <c r="D705" s="3" t="s">
        <f>B705&amp;"/"&amp;A705&amp;"/"&amp;C705</f>
        <v>1162</v>
      </c>
      <c r="E705">
        <v>0.20833333333333334</v>
      </c>
      <c r="F705" t="s">
        <f>I705&amp;" "&amp;J705&amp;" "&amp;K705&amp;" "&amp;L705&amp;" "&amp;M705&amp;" "&amp;N705</f>
        <v>1123</v>
      </c>
      <c r="G705" t="s">
        <f>TEXT(D705,"mmm dd")</f>
        <v>1164</v>
      </c>
      <c r="I705" t="s">
        <v>1124</v>
      </c>
      <c r="J705" t="s">
        <v>963</v>
      </c>
      <c r="K705" t="s">
        <v>964</v>
      </c>
    </row>
    <row r="706" spans="1:23">
      <c r="A706">
        <v>14</v>
      </c>
      <c r="B706">
        <v>1</v>
      </c>
      <c r="C706">
        <v>2009</v>
      </c>
      <c r="D706" s="3" t="s">
        <f>B706&amp;"/"&amp;A706&amp;"/"&amp;C706</f>
        <v>1165</v>
      </c>
      <c r="E706">
        <v>0.1875</v>
      </c>
      <c r="F706" t="s">
        <f>I706&amp;" "&amp;J706&amp;" "&amp;K706&amp;" "&amp;L706&amp;" "&amp;M706&amp;" "&amp;N706</f>
        <v>645</v>
      </c>
      <c r="G706" t="s">
        <f>TEXT(D706,"mmm dd")</f>
        <v>1166</v>
      </c>
      <c r="I706" t="s">
        <v>647</v>
      </c>
      <c r="J706" t="s">
        <v>648</v>
      </c>
      <c r="K706" t="s">
        <v>439</v>
      </c>
      <c r="L706">
        <v>3</v>
      </c>
    </row>
    <row r="707" spans="1:23">
      <c r="A707">
        <v>14</v>
      </c>
      <c r="B707">
        <v>1</v>
      </c>
      <c r="C707">
        <v>2009</v>
      </c>
      <c r="D707" s="3" t="s">
        <f>B707&amp;"/"&amp;A707&amp;"/"&amp;C707</f>
        <v>1165</v>
      </c>
      <c r="E707">
        <v>0.29166666666666669</v>
      </c>
      <c r="F707" t="s">
        <f>I707&amp;" "&amp;J707&amp;" "&amp;K707&amp;" "&amp;L707&amp;" "&amp;M707&amp;" "&amp;N707</f>
        <v>1167</v>
      </c>
      <c r="G707" t="s">
        <f>TEXT(D707,"mmm dd")</f>
        <v>1166</v>
      </c>
      <c r="I707" t="s">
        <v>587</v>
      </c>
      <c r="J707" t="s">
        <v>1122</v>
      </c>
    </row>
    <row r="708" spans="1:23">
      <c r="A708">
        <v>14</v>
      </c>
      <c r="B708">
        <v>1</v>
      </c>
      <c r="C708">
        <v>2009</v>
      </c>
      <c r="D708" s="3" t="s">
        <f>B708&amp;"/"&amp;A708&amp;"/"&amp;C708</f>
        <v>1165</v>
      </c>
      <c r="E708">
        <v>0.29166666666666669</v>
      </c>
      <c r="F708" t="s">
        <f>I708&amp;" "&amp;J708&amp;" "&amp;K708&amp;" "&amp;L708&amp;" "&amp;M708&amp;" "&amp;N708</f>
        <v>1167</v>
      </c>
      <c r="G708" t="s">
        <f>TEXT(D708,"mmm dd")</f>
        <v>1166</v>
      </c>
      <c r="I708" t="s">
        <v>587</v>
      </c>
      <c r="J708" t="s">
        <v>1122</v>
      </c>
    </row>
    <row r="709" spans="1:23">
      <c r="A709">
        <v>14</v>
      </c>
      <c r="B709">
        <v>1</v>
      </c>
      <c r="C709">
        <v>2009</v>
      </c>
      <c r="D709" s="3" t="s">
        <f>B709&amp;"/"&amp;A709&amp;"/"&amp;C709</f>
        <v>1165</v>
      </c>
      <c r="E709">
        <v>0.1875</v>
      </c>
      <c r="F709" t="s">
        <f>I709&amp;" "&amp;J709&amp;" "&amp;K709&amp;" "&amp;L709&amp;" "&amp;M709&amp;" "&amp;N709</f>
        <v>645</v>
      </c>
      <c r="G709" t="s">
        <f>TEXT(D709,"mmm dd")</f>
        <v>1166</v>
      </c>
      <c r="I709" t="s">
        <v>647</v>
      </c>
      <c r="J709" t="s">
        <v>648</v>
      </c>
      <c r="K709" t="s">
        <v>439</v>
      </c>
      <c r="L709">
        <v>3</v>
      </c>
    </row>
    <row r="710" spans="1:23">
      <c r="A710">
        <v>16</v>
      </c>
      <c r="B710">
        <v>1</v>
      </c>
      <c r="C710">
        <v>2009</v>
      </c>
      <c r="D710" s="3" t="s">
        <f>B710&amp;"/"&amp;A710&amp;"/"&amp;C710</f>
        <v>1168</v>
      </c>
      <c r="E710">
        <v>1.0416666666666667</v>
      </c>
      <c r="F710" t="s">
        <f>I710&amp;" "&amp;J710&amp;" "&amp;K710&amp;" "&amp;L710&amp;" "&amp;M710&amp;" "&amp;N710</f>
        <v>1169</v>
      </c>
      <c r="G710" t="s">
        <f>TEXT(D710,"mmm dd")</f>
        <v>1170</v>
      </c>
      <c r="I710" t="s">
        <v>1171</v>
      </c>
      <c r="J710" t="s">
        <v>1116</v>
      </c>
    </row>
    <row r="711" spans="1:23">
      <c r="A711">
        <v>16</v>
      </c>
      <c r="B711">
        <v>1</v>
      </c>
      <c r="C711">
        <v>2009</v>
      </c>
      <c r="D711" s="3" t="s">
        <f>B711&amp;"/"&amp;A711&amp;"/"&amp;C711</f>
        <v>1168</v>
      </c>
      <c r="E711">
        <v>1.0416666666666667</v>
      </c>
      <c r="F711" t="s">
        <f>I711&amp;" "&amp;J711&amp;" "&amp;K711&amp;" "&amp;L711&amp;" "&amp;M711&amp;" "&amp;N711</f>
        <v>1169</v>
      </c>
      <c r="G711" t="s">
        <f>TEXT(D711,"mmm dd")</f>
        <v>1170</v>
      </c>
      <c r="I711" t="s">
        <v>1171</v>
      </c>
      <c r="J711" t="s">
        <v>1116</v>
      </c>
      <c r="O711">
        <v>304</v>
      </c>
    </row>
    <row r="712" spans="1:23">
      <c r="A712">
        <v>17</v>
      </c>
      <c r="B712">
        <v>1</v>
      </c>
      <c r="C712">
        <v>2009</v>
      </c>
      <c r="D712" s="3" t="s">
        <f>B712&amp;"/"&amp;A712&amp;"/"&amp;C712</f>
        <v>1172</v>
      </c>
      <c r="E712" t="s">
        <v>42</v>
      </c>
      <c r="F712" t="s">
        <f>I712&amp;" "&amp;J712&amp;" "&amp;K712&amp;" "&amp;L712&amp;" "&amp;M712&amp;" "&amp;N712</f>
        <v>1173</v>
      </c>
      <c r="G712" t="s">
        <f>TEXT(D712,"mmm dd")</f>
        <v>1174</v>
      </c>
      <c r="I712" t="s">
        <v>1175</v>
      </c>
      <c r="J712" t="s">
        <v>1176</v>
      </c>
      <c r="K712" t="s">
        <v>1177</v>
      </c>
    </row>
    <row r="713" spans="1:23">
      <c r="A713">
        <v>17</v>
      </c>
      <c r="B713">
        <v>1</v>
      </c>
      <c r="C713">
        <v>2009</v>
      </c>
      <c r="D713" s="3" t="s">
        <f>B713&amp;"/"&amp;A713&amp;"/"&amp;C713</f>
        <v>1172</v>
      </c>
      <c r="E713" t="s">
        <v>42</v>
      </c>
      <c r="F713" t="s">
        <f>I713&amp;" "&amp;J713&amp;" "&amp;K713&amp;" "&amp;L713&amp;" "&amp;M713&amp;" "&amp;N713</f>
        <v>1173</v>
      </c>
      <c r="G713" t="s">
        <f>TEXT(D713,"mmm dd")</f>
        <v>1174</v>
      </c>
      <c r="I713" t="s">
        <v>1175</v>
      </c>
      <c r="J713" t="s">
        <v>1176</v>
      </c>
      <c r="K713" t="s">
        <v>1177</v>
      </c>
    </row>
    <row r="714" spans="1:23">
      <c r="A714">
        <v>23</v>
      </c>
      <c r="B714">
        <v>1</v>
      </c>
      <c r="C714">
        <v>2009</v>
      </c>
      <c r="D714" s="3" t="s">
        <f>B714&amp;"/"&amp;A714&amp;"/"&amp;C714</f>
        <v>1178</v>
      </c>
      <c r="E714">
        <v>0.875</v>
      </c>
      <c r="F714" t="s">
        <f>I714&amp;" "&amp;J714&amp;" "&amp;K714&amp;" "&amp;L714&amp;" "&amp;M714&amp;" "&amp;N714</f>
        <v>937</v>
      </c>
      <c r="G714" t="s">
        <f>TEXT(D714,"mmm dd")</f>
        <v>1179</v>
      </c>
      <c r="I714" t="s">
        <v>847</v>
      </c>
      <c r="J714" t="s">
        <v>918</v>
      </c>
    </row>
    <row r="715" spans="1:23">
      <c r="A715">
        <v>23</v>
      </c>
      <c r="B715">
        <v>1</v>
      </c>
      <c r="C715">
        <v>2009</v>
      </c>
      <c r="D715" s="3" t="s">
        <f>B715&amp;"/"&amp;A715&amp;"/"&amp;C715</f>
        <v>1178</v>
      </c>
      <c r="E715">
        <v>0.875</v>
      </c>
      <c r="F715" t="s">
        <f>I715&amp;" "&amp;J715&amp;" "&amp;K715&amp;" "&amp;L715&amp;" "&amp;M715&amp;" "&amp;N715</f>
        <v>937</v>
      </c>
      <c r="G715" t="s">
        <f>TEXT(D715,"mmm dd")</f>
        <v>1179</v>
      </c>
      <c r="I715" t="s">
        <v>847</v>
      </c>
      <c r="J715" t="s">
        <v>918</v>
      </c>
    </row>
    <row r="716" spans="1:23">
      <c r="A716">
        <v>5</v>
      </c>
      <c r="B716">
        <v>2</v>
      </c>
      <c r="C716">
        <v>2009</v>
      </c>
      <c r="D716" s="3" t="s">
        <f>B716&amp;"/"&amp;A716&amp;"/"&amp;C716</f>
        <v>1180</v>
      </c>
      <c r="E716">
        <v>1.0833333333333333</v>
      </c>
      <c r="F716" t="s">
        <f>I716&amp;" "&amp;J716&amp;" "&amp;K716&amp;" "&amp;L716&amp;" "&amp;M716&amp;" "&amp;N716</f>
        <v>1181</v>
      </c>
      <c r="G716" t="s">
        <f>TEXT(D716,"mmm dd")</f>
        <v>1182</v>
      </c>
      <c r="I716" t="s">
        <v>300</v>
      </c>
      <c r="J716" t="s">
        <v>410</v>
      </c>
      <c r="K716" t="s">
        <v>702</v>
      </c>
      <c r="L716">
        <v>4</v>
      </c>
      <c r="M716" t="s">
        <v>440</v>
      </c>
    </row>
    <row r="717" spans="1:23">
      <c r="A717">
        <v>5</v>
      </c>
      <c r="B717">
        <v>2</v>
      </c>
      <c r="C717">
        <v>2009</v>
      </c>
      <c r="D717" s="3" t="s">
        <f>B717&amp;"/"&amp;A717&amp;"/"&amp;C717</f>
        <v>1180</v>
      </c>
      <c r="E717">
        <v>1.0833333333333333</v>
      </c>
      <c r="F717" t="s">
        <f>I717&amp;" "&amp;J717&amp;" "&amp;K717&amp;" "&amp;L717&amp;" "&amp;M717&amp;" "&amp;N717</f>
        <v>1181</v>
      </c>
      <c r="G717" t="s">
        <f>TEXT(D717,"mmm dd")</f>
        <v>1182</v>
      </c>
      <c r="I717" t="s">
        <v>300</v>
      </c>
      <c r="J717" t="s">
        <v>410</v>
      </c>
      <c r="K717" t="s">
        <v>702</v>
      </c>
      <c r="L717">
        <v>4</v>
      </c>
      <c r="M717" t="s">
        <v>440</v>
      </c>
    </row>
    <row r="718" spans="1:23">
      <c r="A718">
        <v>6</v>
      </c>
      <c r="B718">
        <v>2</v>
      </c>
      <c r="C718">
        <v>2009</v>
      </c>
      <c r="D718" s="3" t="s">
        <f>B718&amp;"/"&amp;A718&amp;"/"&amp;C718</f>
        <v>1183</v>
      </c>
      <c r="E718" t="s">
        <v>42</v>
      </c>
      <c r="F718" t="s">
        <f>I718&amp;" "&amp;J718&amp;" "&amp;K718&amp;" "&amp;L718&amp;" "&amp;M718&amp;" "&amp;N718</f>
        <v>1184</v>
      </c>
      <c r="G718" t="s">
        <f>TEXT(D718,"mmm dd")</f>
        <v>1185</v>
      </c>
      <c r="I718" t="s">
        <v>1186</v>
      </c>
      <c r="J718" t="s">
        <v>1047</v>
      </c>
    </row>
    <row r="719" spans="1:23">
      <c r="A719">
        <v>6</v>
      </c>
      <c r="B719">
        <v>2</v>
      </c>
      <c r="C719">
        <v>2009</v>
      </c>
      <c r="D719" s="3" t="s">
        <f>B719&amp;"/"&amp;A719&amp;"/"&amp;C719</f>
        <v>1183</v>
      </c>
      <c r="E719">
        <v>0.3125</v>
      </c>
      <c r="F719" t="s">
        <f>I719&amp;" "&amp;J719&amp;" "&amp;K719&amp;" "&amp;L719&amp;" "&amp;M719&amp;" "&amp;N719</f>
        <v>1187</v>
      </c>
      <c r="G719" t="s">
        <f>TEXT(D719,"mmm dd")</f>
        <v>1185</v>
      </c>
      <c r="I719" t="s">
        <v>907</v>
      </c>
      <c r="J719" t="s">
        <v>898</v>
      </c>
    </row>
    <row r="720" spans="1:23">
      <c r="A720">
        <v>6</v>
      </c>
      <c r="B720">
        <v>2</v>
      </c>
      <c r="C720">
        <v>2009</v>
      </c>
      <c r="D720" s="3" t="s">
        <f>B720&amp;"/"&amp;A720&amp;"/"&amp;C720</f>
        <v>1183</v>
      </c>
      <c r="E720" t="s">
        <v>42</v>
      </c>
      <c r="F720" t="s">
        <f>I720&amp;" "&amp;J720&amp;" "&amp;K720&amp;" "&amp;L720&amp;" "&amp;M720&amp;" "&amp;N720</f>
        <v>1184</v>
      </c>
      <c r="G720" t="s">
        <f>TEXT(D720,"mmm dd")</f>
        <v>1185</v>
      </c>
      <c r="I720" t="s">
        <v>1186</v>
      </c>
      <c r="J720" t="s">
        <v>1047</v>
      </c>
    </row>
    <row r="721" spans="1:23">
      <c r="A721">
        <v>6</v>
      </c>
      <c r="B721">
        <v>2</v>
      </c>
      <c r="C721">
        <v>2009</v>
      </c>
      <c r="D721" s="3" t="s">
        <f>B721&amp;"/"&amp;A721&amp;"/"&amp;C721</f>
        <v>1183</v>
      </c>
      <c r="E721">
        <v>0.3125</v>
      </c>
      <c r="F721" t="s">
        <f>I721&amp;" "&amp;J721&amp;" "&amp;K721&amp;" "&amp;L721&amp;" "&amp;M721&amp;" "&amp;N721</f>
        <v>1187</v>
      </c>
      <c r="G721" t="s">
        <f>TEXT(D721,"mmm dd")</f>
        <v>1185</v>
      </c>
      <c r="I721" t="s">
        <v>907</v>
      </c>
      <c r="J721" t="s">
        <v>898</v>
      </c>
      <c r="O721" t="s">
        <v>137</v>
      </c>
    </row>
    <row r="722" spans="1:23">
      <c r="A722">
        <v>10</v>
      </c>
      <c r="B722">
        <v>2</v>
      </c>
      <c r="C722">
        <v>2009</v>
      </c>
      <c r="D722" s="3" t="s">
        <f>B722&amp;"/"&amp;A722&amp;"/"&amp;C722</f>
        <v>1188</v>
      </c>
      <c r="E722">
        <v>1.0416666666666667</v>
      </c>
      <c r="F722" t="s">
        <f>I722&amp;" "&amp;J722&amp;" "&amp;K722&amp;" "&amp;L722&amp;" "&amp;M722&amp;" "&amp;N722</f>
        <v>1189</v>
      </c>
      <c r="G722" t="s">
        <f>TEXT(D722,"mmm dd")</f>
        <v>1190</v>
      </c>
      <c r="I722" t="s">
        <v>103</v>
      </c>
      <c r="J722" t="s">
        <v>497</v>
      </c>
      <c r="K722" t="s">
        <v>48</v>
      </c>
      <c r="L722" t="s">
        <v>218</v>
      </c>
      <c r="M722" t="s">
        <v>1191</v>
      </c>
      <c r="N722" t="s">
        <v>439</v>
      </c>
    </row>
    <row r="723" spans="1:23">
      <c r="A723">
        <v>10</v>
      </c>
      <c r="B723">
        <v>2</v>
      </c>
      <c r="C723">
        <v>2009</v>
      </c>
      <c r="D723" s="3" t="s">
        <f>B723&amp;"/"&amp;A723&amp;"/"&amp;C723</f>
        <v>1188</v>
      </c>
      <c r="E723">
        <v>1.0416666666666667</v>
      </c>
      <c r="F723" t="s">
        <f>I723&amp;" "&amp;J723&amp;" "&amp;K723&amp;" "&amp;L723&amp;" "&amp;M723&amp;" "&amp;N723</f>
        <v>1189</v>
      </c>
      <c r="G723" t="s">
        <f>TEXT(D723,"mmm dd")</f>
        <v>1190</v>
      </c>
      <c r="I723" t="s">
        <v>103</v>
      </c>
      <c r="J723" t="s">
        <v>497</v>
      </c>
      <c r="K723" t="s">
        <v>48</v>
      </c>
      <c r="L723" t="s">
        <v>218</v>
      </c>
      <c r="M723" t="s">
        <v>1191</v>
      </c>
      <c r="N723" t="s">
        <v>439</v>
      </c>
    </row>
    <row r="724" spans="1:23">
      <c r="A724">
        <v>12</v>
      </c>
      <c r="B724">
        <v>2</v>
      </c>
      <c r="C724">
        <v>2009</v>
      </c>
      <c r="D724" s="3" t="s">
        <f>B724&amp;"/"&amp;A724&amp;"/"&amp;C724</f>
        <v>1192</v>
      </c>
      <c r="E724">
        <v>0.875</v>
      </c>
      <c r="F724" t="s">
        <f>I724&amp;" "&amp;J724&amp;" "&amp;K724&amp;" "&amp;L724&amp;" "&amp;M724&amp;" "&amp;N724</f>
        <v>1193</v>
      </c>
      <c r="G724" t="s">
        <f>TEXT(D724,"mmm dd")</f>
        <v>1194</v>
      </c>
      <c r="I724" t="s">
        <v>291</v>
      </c>
      <c r="J724" t="s">
        <v>48</v>
      </c>
      <c r="K724" t="s">
        <v>292</v>
      </c>
      <c r="L724" t="s">
        <v>1195</v>
      </c>
    </row>
    <row r="725" spans="1:23">
      <c r="A725">
        <v>12</v>
      </c>
      <c r="B725">
        <v>2</v>
      </c>
      <c r="C725">
        <v>2009</v>
      </c>
      <c r="D725" s="3" t="s">
        <f>B725&amp;"/"&amp;A725&amp;"/"&amp;C725</f>
        <v>1192</v>
      </c>
      <c r="E725">
        <v>0.875</v>
      </c>
      <c r="F725" t="s">
        <f>I725&amp;" "&amp;J725&amp;" "&amp;K725&amp;" "&amp;L725&amp;" "&amp;M725&amp;" "&amp;N725</f>
        <v>1193</v>
      </c>
      <c r="G725" t="s">
        <f>TEXT(D725,"mmm dd")</f>
        <v>1194</v>
      </c>
      <c r="I725" t="s">
        <v>291</v>
      </c>
      <c r="J725" t="s">
        <v>48</v>
      </c>
      <c r="K725" t="s">
        <v>292</v>
      </c>
      <c r="L725" t="s">
        <v>1195</v>
      </c>
    </row>
    <row r="726" spans="1:23">
      <c r="A726">
        <v>13</v>
      </c>
      <c r="B726">
        <v>2</v>
      </c>
      <c r="C726">
        <v>2009</v>
      </c>
      <c r="D726" s="3" t="s">
        <f>B726&amp;"/"&amp;A726&amp;"/"&amp;C726</f>
        <v>1196</v>
      </c>
      <c r="E726" t="s">
        <v>42</v>
      </c>
      <c r="F726" t="s">
        <f>I726&amp;" "&amp;J726&amp;" "&amp;K726&amp;" "&amp;L726&amp;" "&amp;M726&amp;" "&amp;N726</f>
        <v>1197</v>
      </c>
      <c r="G726" t="s">
        <f>TEXT(D726,"mmm dd")</f>
        <v>1198</v>
      </c>
      <c r="I726" t="s">
        <v>1046</v>
      </c>
    </row>
    <row r="727" spans="1:23">
      <c r="A727">
        <v>13</v>
      </c>
      <c r="B727">
        <v>2</v>
      </c>
      <c r="C727">
        <v>2009</v>
      </c>
      <c r="D727" s="3" t="s">
        <f>B727&amp;"/"&amp;A727&amp;"/"&amp;C727</f>
        <v>1196</v>
      </c>
      <c r="E727" t="s">
        <v>42</v>
      </c>
      <c r="F727" t="s">
        <f>I727&amp;" "&amp;J727&amp;" "&amp;K727&amp;" "&amp;L727&amp;" "&amp;M727&amp;" "&amp;N727</f>
        <v>1197</v>
      </c>
      <c r="G727" t="s">
        <f>TEXT(D727,"mmm dd")</f>
        <v>1198</v>
      </c>
      <c r="I727" t="s">
        <v>1046</v>
      </c>
    </row>
    <row r="728" spans="1:23">
      <c r="A728">
        <v>16</v>
      </c>
      <c r="B728">
        <v>2</v>
      </c>
      <c r="C728">
        <v>2009</v>
      </c>
      <c r="D728" s="3" t="s">
        <f>B728&amp;"/"&amp;A728&amp;"/"&amp;C728</f>
        <v>1199</v>
      </c>
      <c r="E728" t="s">
        <v>42</v>
      </c>
      <c r="F728" t="s">
        <f>I728&amp;" "&amp;J728&amp;" "&amp;K728&amp;" "&amp;L728&amp;" "&amp;M728&amp;" "&amp;N728</f>
        <v>1200</v>
      </c>
      <c r="G728" t="s">
        <f>TEXT(D728,"mmm dd")</f>
        <v>1201</v>
      </c>
      <c r="I728" t="s">
        <v>1202</v>
      </c>
      <c r="J728" t="s">
        <v>801</v>
      </c>
      <c r="K728" t="s">
        <v>1203</v>
      </c>
    </row>
    <row r="729" spans="1:23">
      <c r="A729">
        <v>16</v>
      </c>
      <c r="B729">
        <v>2</v>
      </c>
      <c r="C729">
        <v>2009</v>
      </c>
      <c r="D729" s="3" t="s">
        <f>B729&amp;"/"&amp;A729&amp;"/"&amp;C729</f>
        <v>1199</v>
      </c>
      <c r="E729" t="s">
        <v>42</v>
      </c>
      <c r="F729" t="s">
        <f>I729&amp;" "&amp;J729&amp;" "&amp;K729&amp;" "&amp;L729&amp;" "&amp;M729&amp;" "&amp;N729</f>
        <v>1200</v>
      </c>
      <c r="G729" t="s">
        <f>TEXT(D729,"mmm dd")</f>
        <v>1201</v>
      </c>
      <c r="I729" t="s">
        <v>1202</v>
      </c>
      <c r="J729" t="s">
        <v>801</v>
      </c>
      <c r="K729" t="s">
        <v>1203</v>
      </c>
    </row>
    <row r="730" spans="1:23">
      <c r="A730">
        <v>18</v>
      </c>
      <c r="B730">
        <v>2</v>
      </c>
      <c r="C730">
        <v>2009</v>
      </c>
      <c r="D730" s="3" t="s">
        <f>B730&amp;"/"&amp;A730&amp;"/"&amp;C730</f>
        <v>1204</v>
      </c>
      <c r="E730">
        <v>0.29166666666666669</v>
      </c>
      <c r="F730" t="s">
        <f>I730&amp;" "&amp;J730&amp;" "&amp;K730&amp;" "&amp;L730&amp;" "&amp;M730&amp;" "&amp;N730</f>
        <v>1205</v>
      </c>
      <c r="G730" t="s">
        <f>TEXT(D730,"mmm dd")</f>
        <v>1206</v>
      </c>
      <c r="I730" t="s">
        <v>587</v>
      </c>
      <c r="J730" t="s">
        <v>1081</v>
      </c>
    </row>
    <row r="731" spans="1:23">
      <c r="A731">
        <v>18</v>
      </c>
      <c r="B731">
        <v>2</v>
      </c>
      <c r="C731">
        <v>2009</v>
      </c>
      <c r="D731" s="3" t="s">
        <f>B731&amp;"/"&amp;A731&amp;"/"&amp;C731</f>
        <v>1204</v>
      </c>
      <c r="E731">
        <v>0.29166666666666669</v>
      </c>
      <c r="F731" t="s">
        <f>I731&amp;" "&amp;J731&amp;" "&amp;K731&amp;" "&amp;L731&amp;" "&amp;M731&amp;" "&amp;N731</f>
        <v>1205</v>
      </c>
      <c r="G731" t="s">
        <f>TEXT(D731,"mmm dd")</f>
        <v>1206</v>
      </c>
      <c r="I731" t="s">
        <v>587</v>
      </c>
      <c r="J731" t="s">
        <v>1081</v>
      </c>
    </row>
    <row r="732" spans="1:23">
      <c r="A732">
        <v>19</v>
      </c>
      <c r="B732">
        <v>2</v>
      </c>
      <c r="C732">
        <v>2009</v>
      </c>
      <c r="D732" s="3" t="s">
        <f>B732&amp;"/"&amp;A732&amp;"/"&amp;C732</f>
        <v>1207</v>
      </c>
      <c r="E732">
        <v>0.91666666666666663</v>
      </c>
      <c r="F732" t="s">
        <f>I732&amp;" "&amp;J732&amp;" "&amp;K732&amp;" "&amp;L732&amp;" "&amp;M732&amp;" "&amp;N732</f>
        <v>1208</v>
      </c>
      <c r="G732" t="s">
        <f>TEXT(D732,"mmm dd")</f>
        <v>1209</v>
      </c>
      <c r="I732" t="s">
        <v>46</v>
      </c>
      <c r="J732" t="s">
        <v>1210</v>
      </c>
      <c r="K732" t="s">
        <v>591</v>
      </c>
      <c r="M732" t="s">
        <v>85</v>
      </c>
    </row>
    <row r="733" spans="1:23">
      <c r="A733">
        <v>19</v>
      </c>
      <c r="B733">
        <v>2</v>
      </c>
      <c r="C733">
        <v>2009</v>
      </c>
      <c r="D733" s="3" t="s">
        <f>B733&amp;"/"&amp;A733&amp;"/"&amp;C733</f>
        <v>1207</v>
      </c>
      <c r="E733">
        <v>0.91666666666666663</v>
      </c>
      <c r="F733" t="s">
        <f>I733&amp;" "&amp;J733&amp;" "&amp;K733&amp;" "&amp;L733&amp;" "&amp;M733&amp;" "&amp;N733</f>
        <v>1208</v>
      </c>
      <c r="G733" t="s">
        <f>TEXT(D733,"mmm dd")</f>
        <v>1209</v>
      </c>
      <c r="I733" t="s">
        <v>46</v>
      </c>
      <c r="J733" t="s">
        <v>1210</v>
      </c>
      <c r="K733" t="s">
        <v>591</v>
      </c>
      <c r="M733" t="s">
        <v>85</v>
      </c>
    </row>
    <row r="734" spans="1:23">
      <c r="A734">
        <v>22</v>
      </c>
      <c r="B734">
        <v>2</v>
      </c>
      <c r="C734">
        <v>2009</v>
      </c>
      <c r="D734" s="3" t="s">
        <f>B734&amp;"/"&amp;A734&amp;"/"&amp;C734</f>
        <v>1211</v>
      </c>
      <c r="E734">
        <v>0.27083333333333331</v>
      </c>
      <c r="F734" t="s">
        <f>I734&amp;" "&amp;J734&amp;" "&amp;K734&amp;" "&amp;L734&amp;" "&amp;M734&amp;" "&amp;N734</f>
        <v>1212</v>
      </c>
      <c r="G734" t="s">
        <f>TEXT(D734,"mmm dd")</f>
        <v>1213</v>
      </c>
      <c r="I734" t="s">
        <v>674</v>
      </c>
      <c r="J734" t="s">
        <v>1036</v>
      </c>
    </row>
    <row r="735" spans="1:23">
      <c r="A735">
        <v>22</v>
      </c>
      <c r="B735">
        <v>2</v>
      </c>
      <c r="C735">
        <v>2009</v>
      </c>
      <c r="D735" s="3" t="s">
        <f>B735&amp;"/"&amp;A735&amp;"/"&amp;C735</f>
        <v>1211</v>
      </c>
      <c r="E735">
        <v>0.27083333333333331</v>
      </c>
      <c r="F735" t="s">
        <f>I735&amp;" "&amp;J735&amp;" "&amp;K735&amp;" "&amp;L735&amp;" "&amp;M735&amp;" "&amp;N735</f>
        <v>1212</v>
      </c>
      <c r="G735" t="s">
        <f>TEXT(D735,"mmm dd")</f>
        <v>1213</v>
      </c>
      <c r="I735" t="s">
        <v>674</v>
      </c>
      <c r="J735" t="s">
        <v>1036</v>
      </c>
    </row>
    <row r="736" spans="1:23">
      <c r="A736">
        <v>25</v>
      </c>
      <c r="B736">
        <v>2</v>
      </c>
      <c r="C736">
        <v>2009</v>
      </c>
      <c r="D736" s="3" t="s">
        <f>B736&amp;"/"&amp;A736&amp;"/"&amp;C736</f>
        <v>1214</v>
      </c>
      <c r="E736" t="s">
        <v>42</v>
      </c>
      <c r="F736" t="s">
        <f>I736&amp;" "&amp;J736&amp;" "&amp;K736&amp;" "&amp;L736&amp;" "&amp;M736&amp;" "&amp;N736</f>
        <v>1215</v>
      </c>
      <c r="G736" t="s">
        <f>TEXT(D736,"mmm dd")</f>
        <v>1216</v>
      </c>
      <c r="I736" t="s">
        <v>1217</v>
      </c>
      <c r="J736" t="s">
        <v>1218</v>
      </c>
    </row>
    <row r="737" spans="1:23">
      <c r="A737">
        <v>25</v>
      </c>
      <c r="B737">
        <v>2</v>
      </c>
      <c r="C737">
        <v>2009</v>
      </c>
      <c r="D737" s="3" t="s">
        <f>B737&amp;"/"&amp;A737&amp;"/"&amp;C737</f>
        <v>1214</v>
      </c>
      <c r="E737" t="s">
        <v>42</v>
      </c>
      <c r="F737" t="s">
        <f>I737&amp;" "&amp;J737&amp;" "&amp;K737&amp;" "&amp;L737&amp;" "&amp;M737&amp;" "&amp;N737</f>
        <v>1215</v>
      </c>
      <c r="G737" t="s">
        <f>TEXT(D737,"mmm dd")</f>
        <v>1216</v>
      </c>
      <c r="I737" t="s">
        <v>1217</v>
      </c>
      <c r="J737" t="s">
        <v>1218</v>
      </c>
    </row>
    <row r="738" spans="1:23">
      <c r="A738">
        <v>26</v>
      </c>
      <c r="B738">
        <v>2</v>
      </c>
      <c r="C738">
        <v>2009</v>
      </c>
      <c r="D738" s="3" t="str">
        <f>B738&amp;"/"&amp;A738&amp;"/"&amp;C738</f>
        <v>2/26/2009</v>
      </c>
      <c r="E738">
        <v>0.95833333333333337</v>
      </c>
      <c r="F738" t="str">
        <f>I738&amp;" "&amp;J738&amp;" "&amp;K738&amp;" "&amp;L738&amp;" "&amp;M738&amp;" "&amp;N738</f>
        <v>Meet Corinne Wong   </v>
      </c>
      <c r="G738" t="s">
        <f>TEXT(D738,"mmm dd")</f>
        <v>1219</v>
      </c>
      <c r="I738" t="s">
        <v>300</v>
      </c>
      <c r="J738" t="inlineStr">
        <is>
          <t>Corinne</t>
        </is>
      </c>
      <c r="K738" t="s">
        <v>1220</v>
      </c>
    </row>
    <row r="739" spans="1:23">
      <c r="A739">
        <v>27</v>
      </c>
      <c r="B739">
        <v>2</v>
      </c>
      <c r="C739">
        <v>2009</v>
      </c>
      <c r="D739" s="3" t="s">
        <f>B739&amp;"/"&amp;A739&amp;"/"&amp;C739</f>
        <v>1221</v>
      </c>
      <c r="E739">
        <v>0.3125</v>
      </c>
      <c r="F739" t="s">
        <f>I739&amp;" "&amp;J739&amp;" "&amp;K739&amp;" "&amp;L739&amp;" "&amp;M739&amp;" "&amp;N739</f>
        <v>1222</v>
      </c>
      <c r="G739" t="s">
        <f>TEXT(D739,"mmm dd")</f>
        <v>1223</v>
      </c>
      <c r="I739" t="s">
        <v>907</v>
      </c>
      <c r="J739" t="s">
        <v>1224</v>
      </c>
    </row>
    <row r="740" spans="1:23">
      <c r="A740">
        <v>27</v>
      </c>
      <c r="B740">
        <v>2</v>
      </c>
      <c r="C740">
        <v>2009</v>
      </c>
      <c r="D740" s="3" t="s">
        <f>B740&amp;"/"&amp;A740&amp;"/"&amp;C740</f>
        <v>1221</v>
      </c>
      <c r="E740">
        <v>0.875</v>
      </c>
      <c r="F740" t="s">
        <f>I740&amp;" "&amp;J740&amp;" "&amp;K740&amp;" "&amp;L740&amp;" "&amp;M740&amp;" "&amp;N740</f>
        <v>1225</v>
      </c>
      <c r="G740" t="s">
        <f>TEXT(D740,"mmm dd")</f>
        <v>1223</v>
      </c>
      <c r="I740" t="s">
        <v>847</v>
      </c>
      <c r="J740" t="s">
        <v>770</v>
      </c>
    </row>
    <row r="741" spans="1:23">
      <c r="A741">
        <v>27</v>
      </c>
      <c r="B741">
        <v>2</v>
      </c>
      <c r="C741">
        <v>2009</v>
      </c>
      <c r="D741" s="3" t="s">
        <f>B741&amp;"/"&amp;A741&amp;"/"&amp;C741</f>
        <v>1221</v>
      </c>
      <c r="E741">
        <v>0.3125</v>
      </c>
      <c r="F741" t="s">
        <f>I741&amp;" "&amp;J741&amp;" "&amp;K741&amp;" "&amp;L741&amp;" "&amp;M741&amp;" "&amp;N741</f>
        <v>1222</v>
      </c>
      <c r="G741" t="s">
        <f>TEXT(D741,"mmm dd")</f>
        <v>1223</v>
      </c>
      <c r="I741" t="s">
        <v>907</v>
      </c>
      <c r="J741" t="s">
        <v>1224</v>
      </c>
    </row>
    <row r="742" spans="1:23">
      <c r="A742">
        <v>28</v>
      </c>
      <c r="B742">
        <v>2</v>
      </c>
      <c r="C742">
        <v>2009</v>
      </c>
      <c r="D742" s="3" t="s">
        <f>B742&amp;"/"&amp;A742&amp;"/"&amp;C742</f>
        <v>1226</v>
      </c>
      <c r="E742">
        <v>0.91666666666666663</v>
      </c>
      <c r="F742" t="str">
        <f>I742&amp;" "&amp;J742&amp;" "&amp;K742&amp;" "&amp;L742&amp;" "&amp;M742&amp;" "&amp;N742</f>
        <v>Camps &amp; Conf @ MacCray </v>
      </c>
      <c r="G742" t="s">
        <f>TEXT(D742,"mmm dd")</f>
        <v>1227</v>
      </c>
      <c r="I742" t="s">
        <v>730</v>
      </c>
      <c r="J742" t="s">
        <v>73</v>
      </c>
      <c r="K742" t="s">
        <v>880</v>
      </c>
      <c r="L742" t="s">
        <v>48</v>
      </c>
      <c r="M742" t="inlineStr">
        <is>
          <t>MacCray</t>
        </is>
      </c>
    </row>
    <row r="743" spans="1:23">
      <c r="A743">
        <v>28</v>
      </c>
      <c r="B743">
        <v>2</v>
      </c>
      <c r="C743">
        <v>2009</v>
      </c>
      <c r="D743" s="3" t="s">
        <f>B743&amp;"/"&amp;A743&amp;"/"&amp;C743</f>
        <v>1226</v>
      </c>
      <c r="E743">
        <v>0.25</v>
      </c>
      <c r="F743" t="str">
        <f>I743&amp;" "&amp;J743&amp;" "&amp;K743&amp;" "&amp;L743&amp;" "&amp;M743&amp;" "&amp;N743</f>
        <v>Meet Sinon re. Parents Night out</v>
      </c>
      <c r="G743" t="s">
        <f>TEXT(D743,"mmm dd")</f>
        <v>1227</v>
      </c>
      <c r="I743" t="s">
        <v>300</v>
      </c>
      <c r="J743" t="s">
        <v>1228</v>
      </c>
      <c r="K743" t="s">
        <v>633</v>
      </c>
      <c r="L743" t="s">
        <v>695</v>
      </c>
      <c r="M743" t="s">
        <v>1036</v>
      </c>
      <c r="N743" t="s">
        <v>1229</v>
      </c>
    </row>
    <row r="744" spans="1:23">
      <c r="A744">
        <v>28</v>
      </c>
      <c r="B744">
        <v>2</v>
      </c>
      <c r="C744">
        <v>2009</v>
      </c>
      <c r="D744" s="3" t="s">
        <f>B744&amp;"/"&amp;A744&amp;"/"&amp;C744</f>
        <v>1226</v>
      </c>
      <c r="E744">
        <v>1.0416666666666667</v>
      </c>
      <c r="F744" t="str">
        <f>I744&amp;" "&amp;J744&amp;" "&amp;K744&amp;" "&amp;L744&amp;" "&amp;M744&amp;" "&amp;N744</f>
        <v>Meet Mary for visit Char @</v>
      </c>
      <c r="G744" t="s">
        <f>TEXT(D744,"mmm dd")</f>
        <v>1227</v>
      </c>
      <c r="I744" t="s">
        <v>300</v>
      </c>
      <c r="J744" t="s">
        <v>410</v>
      </c>
      <c r="K744" t="s">
        <v>439</v>
      </c>
      <c r="L744" t="s">
        <v>1230</v>
      </c>
      <c r="M744" t="s">
        <v>1231</v>
      </c>
      <c r="N744" t="s">
        <v>48</v>
      </c>
    </row>
    <row r="745" spans="1:23">
      <c r="A745">
        <v>3</v>
      </c>
      <c r="B745">
        <v>3</v>
      </c>
      <c r="C745">
        <v>2009</v>
      </c>
      <c r="D745" s="3" t="s">
        <f>B745&amp;"/"&amp;A745&amp;"/"&amp;C745</f>
        <v>1232</v>
      </c>
      <c r="E745">
        <v>1</v>
      </c>
      <c r="F745" t="s">
        <f>I745&amp;" "&amp;J745&amp;" "&amp;K745&amp;" "&amp;L745&amp;" "&amp;M745&amp;" "&amp;N745</f>
        <v>1233</v>
      </c>
      <c r="G745" t="s">
        <f>TEXT(D745,"mmm dd")</f>
        <v>1234</v>
      </c>
      <c r="I745" t="s">
        <v>451</v>
      </c>
      <c r="J745" t="s">
        <v>609</v>
      </c>
      <c r="K745" t="s">
        <v>48</v>
      </c>
      <c r="L745" t="s">
        <v>412</v>
      </c>
      <c r="M745" t="s">
        <v>454</v>
      </c>
    </row>
    <row r="746" spans="1:23">
      <c r="A746">
        <v>3</v>
      </c>
      <c r="B746">
        <v>3</v>
      </c>
      <c r="C746">
        <v>2009</v>
      </c>
      <c r="D746" s="3" t="s">
        <f>B746&amp;"/"&amp;A746&amp;"/"&amp;C746</f>
        <v>1232</v>
      </c>
      <c r="E746">
        <v>1</v>
      </c>
      <c r="F746" t="s">
        <f>I746&amp;" "&amp;J746&amp;" "&amp;K746&amp;" "&amp;L746&amp;" "&amp;M746&amp;" "&amp;N746</f>
        <v>1233</v>
      </c>
      <c r="G746" t="s">
        <f>TEXT(D746,"mmm dd")</f>
        <v>1234</v>
      </c>
      <c r="I746" t="s">
        <v>451</v>
      </c>
      <c r="J746" t="s">
        <v>609</v>
      </c>
      <c r="K746" t="s">
        <v>48</v>
      </c>
      <c r="L746" t="s">
        <v>412</v>
      </c>
      <c r="M746" t="s">
        <v>454</v>
      </c>
    </row>
    <row r="747" spans="1:23">
      <c r="A747">
        <v>5</v>
      </c>
      <c r="B747">
        <v>3</v>
      </c>
      <c r="C747">
        <v>2009</v>
      </c>
      <c r="D747" s="3" t="str">
        <f>B747&amp;"/"&amp;A747&amp;"/"&amp;C747</f>
        <v>3/5/2009</v>
      </c>
      <c r="E747">
        <v>0.91666666666666663</v>
      </c>
      <c r="F747" t="str">
        <f>I747&amp;" "&amp;J747&amp;" "&amp;K747&amp;" "&amp;L747&amp;" "&amp;M747&amp;" "&amp;N747</f>
        <v>Celeste @ Kahala school  </v>
      </c>
      <c r="G747" t="s">
        <f>TEXT(D747,"mmm dd")</f>
        <v>1235</v>
      </c>
      <c r="I747" t="inlineStr">
        <is>
          <t>Celeste</t>
        </is>
      </c>
      <c r="J747" t="s">
        <v>48</v>
      </c>
      <c r="K747" t="inlineStr">
        <is>
          <t>Kahala</t>
        </is>
      </c>
      <c r="L747" t="s">
        <v>778</v>
      </c>
    </row>
    <row r="748" spans="1:23">
      <c r="A748">
        <v>6</v>
      </c>
      <c r="B748">
        <v>3</v>
      </c>
      <c r="C748">
        <v>2009</v>
      </c>
      <c r="D748" s="3" t="s">
        <f>B748&amp;"/"&amp;A748&amp;"/"&amp;C748</f>
        <v>1236</v>
      </c>
      <c r="E748">
        <v>0.16666666666666666</v>
      </c>
      <c r="F748" t="str">
        <f>I748&amp;" "&amp;J748&amp;" "&amp;K748&amp;" "&amp;L748&amp;" "&amp;M748&amp;" "&amp;N748</f>
        <v>P U girls 4 phone </v>
      </c>
      <c r="G748" t="s">
        <f>TEXT(D748,"mmm dd")</f>
        <v>1237</v>
      </c>
      <c r="I748" t="s">
        <v>615</v>
      </c>
      <c r="J748" t="s">
        <v>616</v>
      </c>
      <c r="K748" t="s">
        <v>822</v>
      </c>
      <c r="L748">
        <v>4</v>
      </c>
      <c r="M748" t="s">
        <v>417</v>
      </c>
    </row>
    <row r="749" spans="1:23">
      <c r="A749">
        <v>6</v>
      </c>
      <c r="B749">
        <v>3</v>
      </c>
      <c r="C749">
        <v>2009</v>
      </c>
      <c r="D749" s="3" t="s">
        <f>B749&amp;"/"&amp;A749&amp;"/"&amp;C749</f>
        <v>1236</v>
      </c>
      <c r="E749">
        <v>0.29166666666666669</v>
      </c>
      <c r="F749" t="str">
        <f>I749&amp;" "&amp;J749&amp;" "&amp;K749&amp;" "&amp;L749&amp;" "&amp;M749&amp;" "&amp;N749</f>
        <v>Leen to Angels   </v>
      </c>
      <c r="G749" t="s">
        <f>TEXT(D749,"mmm dd")</f>
        <v>1237</v>
      </c>
      <c r="I749" t="s">
        <v>721</v>
      </c>
      <c r="J749" t="s">
        <v>449</v>
      </c>
      <c r="K749" t="s">
        <v>52</v>
      </c>
    </row>
    <row r="750" spans="1:23">
      <c r="A750">
        <v>7</v>
      </c>
      <c r="B750">
        <v>3</v>
      </c>
      <c r="C750">
        <v>2009</v>
      </c>
      <c r="D750" s="3" t="s">
        <f>B750&amp;"/"&amp;A750&amp;"/"&amp;C750</f>
        <v>1238</v>
      </c>
      <c r="E750">
        <v>0.17708333333333334</v>
      </c>
      <c r="F750" t="s">
        <f>I750&amp;" "&amp;J750&amp;" "&amp;K750&amp;" "&amp;L750&amp;" "&amp;M750&amp;" "&amp;N750</f>
        <v>937</v>
      </c>
      <c r="G750" t="s">
        <f>TEXT(D750,"mmm dd")</f>
        <v>1239</v>
      </c>
      <c r="I750" t="s">
        <v>847</v>
      </c>
      <c r="J750" t="s">
        <v>918</v>
      </c>
    </row>
    <row r="751" spans="1:23">
      <c r="A751">
        <v>7</v>
      </c>
      <c r="B751">
        <v>3</v>
      </c>
      <c r="C751">
        <v>2009</v>
      </c>
      <c r="D751" s="3" t="s">
        <f>B751&amp;"/"&amp;A751&amp;"/"&amp;C751</f>
        <v>1238</v>
      </c>
      <c r="E751">
        <v>0.17708333333333334</v>
      </c>
      <c r="F751" t="s">
        <f>I751&amp;" "&amp;J751&amp;" "&amp;K751&amp;" "&amp;L751&amp;" "&amp;M751&amp;" "&amp;N751</f>
        <v>937</v>
      </c>
      <c r="G751" t="s">
        <f>TEXT(D751,"mmm dd")</f>
        <v>1239</v>
      </c>
      <c r="I751" t="s">
        <v>847</v>
      </c>
      <c r="J751" t="s">
        <v>918</v>
      </c>
    </row>
    <row r="752" spans="1:23">
      <c r="A752">
        <v>10</v>
      </c>
      <c r="B752">
        <v>3</v>
      </c>
      <c r="C752">
        <v>2009</v>
      </c>
      <c r="D752" s="3" t="s">
        <f>B752&amp;"/"&amp;A752&amp;"/"&amp;C752</f>
        <v>1240</v>
      </c>
      <c r="E752">
        <v>0.29166666666666669</v>
      </c>
      <c r="F752" t="str">
        <f>I752&amp;" "&amp;J752&amp;" "&amp;K752&amp;" "&amp;L752&amp;" "&amp;M752&amp;" "&amp;N752</f>
        <v>Dinner for Family Promise time? </v>
      </c>
      <c r="G752" t="s">
        <f>TEXT(D752,"mmm dd")</f>
        <v>1241</v>
      </c>
      <c r="I752" t="s">
        <v>838</v>
      </c>
      <c r="J752" t="s">
        <v>439</v>
      </c>
      <c r="K752" t="s">
        <v>674</v>
      </c>
      <c r="L752" t="s">
        <v>675</v>
      </c>
      <c r="M752" t="s">
        <v>537</v>
      </c>
    </row>
    <row r="753" spans="1:23">
      <c r="A753">
        <v>10</v>
      </c>
      <c r="B753">
        <v>3</v>
      </c>
      <c r="C753">
        <v>2009</v>
      </c>
      <c r="D753" s="3" t="s">
        <f>B753&amp;"/"&amp;A753&amp;"/"&amp;C753</f>
        <v>1240</v>
      </c>
      <c r="E753">
        <v>0.875</v>
      </c>
      <c r="F753" t="s">
        <f>I753&amp;" "&amp;J753&amp;" "&amp;K753&amp;" "&amp;L753&amp;" "&amp;M753&amp;" "&amp;N753</f>
        <v>1205</v>
      </c>
      <c r="G753" t="s">
        <f>TEXT(D753,"mmm dd")</f>
        <v>1241</v>
      </c>
      <c r="I753" t="s">
        <v>587</v>
      </c>
      <c r="J753" t="s">
        <v>1081</v>
      </c>
    </row>
    <row r="754" spans="1:23">
      <c r="A754">
        <v>12</v>
      </c>
      <c r="B754">
        <v>3</v>
      </c>
      <c r="C754">
        <v>2009</v>
      </c>
      <c r="D754" s="3" t="s">
        <f>B754&amp;"/"&amp;A754&amp;"/"&amp;C754</f>
        <v>1242</v>
      </c>
      <c r="E754" t="s">
        <v>42</v>
      </c>
      <c r="F754" t="s">
        <f>I754&amp;" "&amp;J754&amp;" "&amp;K754&amp;" "&amp;L754&amp;" "&amp;M754&amp;" "&amp;N754</f>
        <v>1243</v>
      </c>
      <c r="G754" t="s">
        <f>TEXT(D754,"mmm dd")</f>
        <v>1244</v>
      </c>
      <c r="I754" t="s">
        <v>1245</v>
      </c>
      <c r="J754" t="s">
        <v>731</v>
      </c>
    </row>
    <row r="755" spans="1:23">
      <c r="A755">
        <v>12</v>
      </c>
      <c r="B755">
        <v>3</v>
      </c>
      <c r="C755">
        <v>2009</v>
      </c>
      <c r="D755" s="3" t="s">
        <f>B755&amp;"/"&amp;A755&amp;"/"&amp;C755</f>
        <v>1242</v>
      </c>
      <c r="E755" t="s">
        <v>42</v>
      </c>
      <c r="F755" t="str">
        <f>I755&amp;" "&amp;J755&amp;" "&amp;K755&amp;" "&amp;L755&amp;" "&amp;M755&amp;" "&amp;N755</f>
        <v>B payday    </v>
      </c>
      <c r="G755" t="s">
        <f>TEXT(D755,"mmm dd")</f>
        <v>1244</v>
      </c>
      <c r="I755" t="s">
        <v>1246</v>
      </c>
      <c r="J755" t="inlineStr">
        <is>
          <t>payday</t>
        </is>
      </c>
    </row>
    <row r="756" spans="1:23">
      <c r="A756">
        <v>12</v>
      </c>
      <c r="B756">
        <v>3</v>
      </c>
      <c r="C756">
        <v>2009</v>
      </c>
      <c r="D756" s="3" t="s">
        <f>B756&amp;"/"&amp;A756&amp;"/"&amp;C756</f>
        <v>1242</v>
      </c>
      <c r="E756" t="s">
        <v>42</v>
      </c>
      <c r="F756" t="s">
        <f>I756&amp;" "&amp;J756&amp;" "&amp;K756&amp;" "&amp;L756&amp;" "&amp;M756&amp;" "&amp;N756</f>
        <v>1243</v>
      </c>
      <c r="G756" t="s">
        <f>TEXT(D756,"mmm dd")</f>
        <v>1244</v>
      </c>
      <c r="I756" t="s">
        <v>1245</v>
      </c>
      <c r="J756" t="s">
        <v>731</v>
      </c>
    </row>
    <row r="757" spans="1:23">
      <c r="A757">
        <v>17</v>
      </c>
      <c r="B757">
        <v>3</v>
      </c>
      <c r="C757">
        <v>2009</v>
      </c>
      <c r="D757" s="3" t="s">
        <f>B757&amp;"/"&amp;A757&amp;"/"&amp;C757</f>
        <v>1247</v>
      </c>
      <c r="E757">
        <v>0.17708333333333334</v>
      </c>
      <c r="F757" t="s">
        <f>I757&amp;" "&amp;J757&amp;" "&amp;K757&amp;" "&amp;L757&amp;" "&amp;M757&amp;" "&amp;N757</f>
        <v>1248</v>
      </c>
      <c r="G757" t="s">
        <f>TEXT(D757,"mmm dd")</f>
        <v>1249</v>
      </c>
      <c r="I757" t="s">
        <v>847</v>
      </c>
      <c r="J757" t="s">
        <v>647</v>
      </c>
      <c r="O757" t="s">
        <v>610</v>
      </c>
    </row>
    <row r="758" spans="1:23">
      <c r="A758">
        <v>17</v>
      </c>
      <c r="B758">
        <v>3</v>
      </c>
      <c r="C758">
        <v>2009</v>
      </c>
      <c r="D758" s="3" t="s">
        <f>B758&amp;"/"&amp;A758&amp;"/"&amp;C758</f>
        <v>1247</v>
      </c>
      <c r="E758">
        <v>0.17708333333333334</v>
      </c>
      <c r="F758" t="s">
        <f>I758&amp;" "&amp;J758&amp;" "&amp;K758&amp;" "&amp;L758&amp;" "&amp;M758&amp;" "&amp;N758</f>
        <v>1248</v>
      </c>
      <c r="G758" t="s">
        <f>TEXT(D758,"mmm dd")</f>
        <v>1249</v>
      </c>
      <c r="I758" t="s">
        <v>847</v>
      </c>
      <c r="J758" t="s">
        <v>647</v>
      </c>
    </row>
    <row r="759" spans="1:23">
      <c r="A759">
        <v>18</v>
      </c>
      <c r="B759">
        <v>3</v>
      </c>
      <c r="C759">
        <v>2009</v>
      </c>
      <c r="D759" s="3" t="s">
        <f>B759&amp;"/"&amp;A759&amp;"/"&amp;C759</f>
        <v>1250</v>
      </c>
      <c r="E759">
        <v>0.3125</v>
      </c>
      <c r="F759" t="s">
        <f>I759&amp;" "&amp;J759&amp;" "&amp;K759&amp;" "&amp;L759&amp;" "&amp;M759&amp;" "&amp;N759</f>
        <v>1222</v>
      </c>
      <c r="G759" t="s">
        <f>TEXT(D759,"mmm dd")</f>
        <v>1251</v>
      </c>
      <c r="I759" t="s">
        <v>907</v>
      </c>
      <c r="J759" t="s">
        <v>1224</v>
      </c>
    </row>
    <row r="760" spans="1:23">
      <c r="A760">
        <v>18</v>
      </c>
      <c r="B760">
        <v>3</v>
      </c>
      <c r="C760">
        <v>2009</v>
      </c>
      <c r="D760" s="3" t="s">
        <f>B760&amp;"/"&amp;A760&amp;"/"&amp;C760</f>
        <v>1250</v>
      </c>
      <c r="E760">
        <v>1.0833333333333333</v>
      </c>
      <c r="F760" t="str">
        <f>I760&amp;" "&amp;J760&amp;" "&amp;K760&amp;" "&amp;L760&amp;" "&amp;M760&amp;" "&amp;N760</f>
        <v>Visit Ethel Kumura   </v>
      </c>
      <c r="G760" t="s">
        <f>TEXT(D760,"mmm dd")</f>
        <v>1251</v>
      </c>
      <c r="I760" t="s">
        <v>1252</v>
      </c>
      <c r="J760" t="inlineStr">
        <is>
          <t>Ethel</t>
        </is>
      </c>
      <c r="K760" t="s">
        <v>809</v>
      </c>
    </row>
    <row r="761" spans="1:23">
      <c r="A761">
        <v>19</v>
      </c>
      <c r="B761">
        <v>3</v>
      </c>
      <c r="C761">
        <v>2009</v>
      </c>
      <c r="D761" s="3" t="s">
        <f>B761&amp;"/"&amp;A761&amp;"/"&amp;C761</f>
        <v>1253</v>
      </c>
      <c r="E761">
        <v>0.875</v>
      </c>
      <c r="F761" t="s">
        <f>I761&amp;" "&amp;J761&amp;" "&amp;K761&amp;" "&amp;L761&amp;" "&amp;M761&amp;" "&amp;N761</f>
        <v>1193</v>
      </c>
      <c r="G761" t="s">
        <f>TEXT(D761,"mmm dd")</f>
        <v>1254</v>
      </c>
      <c r="I761" t="s">
        <v>291</v>
      </c>
      <c r="J761" t="s">
        <v>48</v>
      </c>
      <c r="K761" t="s">
        <v>292</v>
      </c>
      <c r="L761" t="s">
        <v>1195</v>
      </c>
    </row>
    <row r="762" spans="1:23">
      <c r="A762">
        <v>19</v>
      </c>
      <c r="B762">
        <v>3</v>
      </c>
      <c r="C762">
        <v>2009</v>
      </c>
      <c r="D762" s="3" t="s">
        <f>B762&amp;"/"&amp;A762&amp;"/"&amp;C762</f>
        <v>1253</v>
      </c>
      <c r="E762">
        <v>0.95833333333333337</v>
      </c>
      <c r="F762" t="str">
        <f>I762&amp;" "&amp;J762&amp;" "&amp;K762&amp;" "&amp;L762&amp;" "&amp;M762&amp;" "&amp;N762</f>
        <v>Leen to friend's house  </v>
      </c>
      <c r="G762" t="s">
        <f>TEXT(D762,"mmm dd")</f>
        <v>1254</v>
      </c>
      <c r="I762" t="s">
        <v>721</v>
      </c>
      <c r="J762" t="s">
        <v>449</v>
      </c>
      <c r="K762" t="inlineStr">
        <is>
          <t>friend's</t>
        </is>
      </c>
      <c r="L762" t="s">
        <v>726</v>
      </c>
    </row>
    <row r="763" spans="1:23">
      <c r="A763">
        <v>19</v>
      </c>
      <c r="B763">
        <v>3</v>
      </c>
      <c r="C763">
        <v>2009</v>
      </c>
      <c r="D763" s="3" t="s">
        <f>B763&amp;"/"&amp;A763&amp;"/"&amp;C763</f>
        <v>1253</v>
      </c>
      <c r="E763">
        <v>0.875</v>
      </c>
      <c r="F763" t="s">
        <f>I763&amp;" "&amp;J763&amp;" "&amp;K763&amp;" "&amp;L763&amp;" "&amp;M763&amp;" "&amp;N763</f>
        <v>1193</v>
      </c>
      <c r="G763" t="s">
        <f>TEXT(D763,"mmm dd")</f>
        <v>1254</v>
      </c>
      <c r="I763" t="s">
        <v>291</v>
      </c>
      <c r="J763" t="s">
        <v>48</v>
      </c>
      <c r="K763" t="s">
        <v>292</v>
      </c>
      <c r="L763" t="s">
        <v>1195</v>
      </c>
      <c r="O763">
        <v>387</v>
      </c>
    </row>
    <row r="764" spans="1:23">
      <c r="A764">
        <v>20</v>
      </c>
      <c r="B764">
        <v>3</v>
      </c>
      <c r="C764">
        <v>2009</v>
      </c>
      <c r="D764" s="3" t="s">
        <f>B764&amp;"/"&amp;A764&amp;"/"&amp;C764</f>
        <v>1255</v>
      </c>
      <c r="E764">
        <v>0.45833333333333331</v>
      </c>
      <c r="F764" t="s">
        <f>I764&amp;" "&amp;J764&amp;" "&amp;K764&amp;" "&amp;L764&amp;" "&amp;M764&amp;" "&amp;N764</f>
        <v>1256</v>
      </c>
      <c r="G764" t="s">
        <f>TEXT(D764,"mmm dd")</f>
        <v>1257</v>
      </c>
      <c r="I764" t="s">
        <v>1258</v>
      </c>
      <c r="J764" t="s">
        <v>48</v>
      </c>
      <c r="K764" t="s">
        <v>1259</v>
      </c>
      <c r="L764" t="s">
        <v>1260</v>
      </c>
    </row>
    <row r="765" spans="1:23">
      <c r="A765">
        <v>20</v>
      </c>
      <c r="B765">
        <v>3</v>
      </c>
      <c r="C765">
        <v>2009</v>
      </c>
      <c r="D765" s="3" t="s">
        <f>B765&amp;"/"&amp;A765&amp;"/"&amp;C765</f>
        <v>1255</v>
      </c>
      <c r="E765">
        <v>0.45833333333333331</v>
      </c>
      <c r="F765" t="s">
        <f>I765&amp;" "&amp;J765&amp;" "&amp;K765&amp;" "&amp;L765&amp;" "&amp;M765&amp;" "&amp;N765</f>
        <v>1256</v>
      </c>
      <c r="G765" t="s">
        <f>TEXT(D765,"mmm dd")</f>
        <v>1257</v>
      </c>
      <c r="I765" t="s">
        <v>1258</v>
      </c>
      <c r="J765" t="s">
        <v>48</v>
      </c>
      <c r="K765" t="s">
        <v>1259</v>
      </c>
      <c r="L765" t="s">
        <v>1260</v>
      </c>
    </row>
    <row r="766" spans="1:23">
      <c r="A766">
        <v>21</v>
      </c>
      <c r="B766">
        <v>3</v>
      </c>
      <c r="C766">
        <v>2009</v>
      </c>
      <c r="D766" s="3" t="s">
        <f>B766&amp;"/"&amp;A766&amp;"/"&amp;C766</f>
        <v>1261</v>
      </c>
      <c r="E766" t="s">
        <v>42</v>
      </c>
      <c r="F766" t="s">
        <f>I766&amp;" "&amp;J766&amp;" "&amp;K766&amp;" "&amp;L766&amp;" "&amp;M766&amp;" "&amp;N766</f>
        <v>1262</v>
      </c>
      <c r="G766" t="s">
        <f>TEXT(D766,"mmm dd")</f>
        <v>1263</v>
      </c>
      <c r="I766" t="s">
        <v>1264</v>
      </c>
      <c r="J766" t="s">
        <v>1121</v>
      </c>
      <c r="K766" t="s">
        <v>1061</v>
      </c>
      <c r="O766">
        <v>804</v>
      </c>
    </row>
    <row r="767" spans="1:23">
      <c r="A767">
        <v>21</v>
      </c>
      <c r="B767">
        <v>3</v>
      </c>
      <c r="C767">
        <v>2009</v>
      </c>
      <c r="D767" s="3" t="s">
        <f>B767&amp;"/"&amp;A767&amp;"/"&amp;C767</f>
        <v>1261</v>
      </c>
      <c r="E767" t="s">
        <v>42</v>
      </c>
      <c r="F767" t="s">
        <f>I767&amp;" "&amp;J767&amp;" "&amp;K767&amp;" "&amp;L767&amp;" "&amp;M767&amp;" "&amp;N767</f>
        <v>1262</v>
      </c>
      <c r="G767" t="s">
        <f>TEXT(D767,"mmm dd")</f>
        <v>1263</v>
      </c>
      <c r="I767" t="s">
        <v>1264</v>
      </c>
      <c r="J767" t="s">
        <v>1121</v>
      </c>
      <c r="K767" t="s">
        <v>1061</v>
      </c>
    </row>
    <row r="768" spans="1:23">
      <c r="A768">
        <v>24</v>
      </c>
      <c r="B768">
        <v>3</v>
      </c>
      <c r="C768">
        <v>2009</v>
      </c>
      <c r="D768" s="3" t="str">
        <f>B768&amp;"/"&amp;A768&amp;"/"&amp;C768</f>
        <v>3/24/2009</v>
      </c>
      <c r="E768">
        <v>1</v>
      </c>
      <c r="F768" t="str">
        <f>I768&amp;" "&amp;J768&amp;" "&amp;K768&amp;" "&amp;L768&amp;" "&amp;M768&amp;" "&amp;N768</f>
        <v>Meet Greg @ St. Tim's </v>
      </c>
      <c r="G768" t="s">
        <f>TEXT(D768,"mmm dd")</f>
        <v>1265</v>
      </c>
      <c r="I768" t="s">
        <v>300</v>
      </c>
      <c r="J768" t="s">
        <v>1266</v>
      </c>
      <c r="K768" t="s">
        <v>48</v>
      </c>
      <c r="L768" t="s">
        <v>218</v>
      </c>
      <c r="M768" t="s">
        <v>219</v>
      </c>
      <c r="O768" t="s">
        <v>363</v>
      </c>
      <c r="P768" t="s">
        <v>364</v>
      </c>
    </row>
    <row r="769" spans="1:23">
      <c r="A769">
        <v>31</v>
      </c>
      <c r="B769">
        <v>3</v>
      </c>
      <c r="C769">
        <v>2009</v>
      </c>
      <c r="D769" s="3" t="str">
        <f>B769&amp;"/"&amp;A769&amp;"/"&amp;C769</f>
        <v>3/31/2009</v>
      </c>
      <c r="E769" t="s">
        <v>42</v>
      </c>
      <c r="F769" t="str">
        <f>I769&amp;" "&amp;J769&amp;" "&amp;K769&amp;" "&amp;L769&amp;" "&amp;M769&amp;" "&amp;N769</f>
        <v>East Honolulu @ Good Sam </v>
      </c>
      <c r="G769" t="s">
        <f>TEXT(D769,"mmm dd")</f>
        <v>1267</v>
      </c>
      <c r="I769" t="s">
        <v>451</v>
      </c>
      <c r="J769" t="s">
        <v>609</v>
      </c>
      <c r="K769" t="s">
        <v>48</v>
      </c>
      <c r="L769" t="s">
        <v>1268</v>
      </c>
      <c r="M769" t="s">
        <v>1269</v>
      </c>
    </row>
    <row r="770" spans="1:23">
      <c r="A770">
        <v>3</v>
      </c>
      <c r="B770">
        <v>4</v>
      </c>
      <c r="C770">
        <v>2009</v>
      </c>
      <c r="D770" s="3" t="str">
        <f>B770&amp;"/"&amp;A770&amp;"/"&amp;C770</f>
        <v>4/3/2009</v>
      </c>
      <c r="E770">
        <v>0.29166666666666669</v>
      </c>
      <c r="F770" t="s">
        <f>I770&amp;" "&amp;J770&amp;" "&amp;K770&amp;" "&amp;L770&amp;" "&amp;M770&amp;" "&amp;N770</f>
        <v>1270</v>
      </c>
      <c r="G770" t="s">
        <f>TEXT(D770,"mmm dd")</f>
        <v>83</v>
      </c>
      <c r="I770" t="s">
        <v>907</v>
      </c>
      <c r="J770" t="s">
        <v>1081</v>
      </c>
    </row>
    <row r="771" spans="1:23">
      <c r="A771">
        <v>7</v>
      </c>
      <c r="B771">
        <v>4</v>
      </c>
      <c r="C771">
        <v>2009</v>
      </c>
      <c r="D771" s="3" t="str">
        <f>B771&amp;"/"&amp;A771&amp;"/"&amp;C771</f>
        <v>4/7/2009</v>
      </c>
      <c r="E771">
        <v>1.03125</v>
      </c>
      <c r="F771" t="s">
        <f>I771&amp;" "&amp;J771&amp;" "&amp;K771&amp;" "&amp;L771&amp;" "&amp;M771&amp;" "&amp;N771</f>
        <v>1271</v>
      </c>
      <c r="G771" t="s">
        <f>TEXT(D771,"mmm dd")</f>
        <v>125</v>
      </c>
      <c r="I771" t="s">
        <v>1272</v>
      </c>
      <c r="J771" t="s">
        <v>1273</v>
      </c>
    </row>
    <row r="772" spans="1:23">
      <c r="A772">
        <v>8</v>
      </c>
      <c r="B772">
        <v>4</v>
      </c>
      <c r="C772">
        <v>2009</v>
      </c>
      <c r="D772" s="3" t="str">
        <f>B772&amp;"/"&amp;A772&amp;"/"&amp;C772</f>
        <v>4/8/2009</v>
      </c>
      <c r="E772">
        <v>0.29166666666666669</v>
      </c>
      <c r="F772" t="s">
        <f>I772&amp;" "&amp;J772&amp;" "&amp;K772&amp;" "&amp;L772&amp;" "&amp;M772&amp;" "&amp;N772</f>
        <v>1205</v>
      </c>
      <c r="G772" t="s">
        <f>TEXT(D772,"mmm dd")</f>
        <v>141</v>
      </c>
      <c r="I772" t="s">
        <v>587</v>
      </c>
      <c r="J772" t="s">
        <v>1081</v>
      </c>
    </row>
    <row r="773" spans="1:23">
      <c r="A773">
        <v>13</v>
      </c>
      <c r="B773">
        <v>4</v>
      </c>
      <c r="C773">
        <v>2009</v>
      </c>
      <c r="D773" s="3" t="str">
        <f>B773&amp;"/"&amp;A773&amp;"/"&amp;C773</f>
        <v>4/13/2009</v>
      </c>
      <c r="E773">
        <v>1.0416666666666667</v>
      </c>
      <c r="F773" t="str">
        <f>I773&amp;" "&amp;J773&amp;" "&amp;K773&amp;" "&amp;L773&amp;" "&amp;M773&amp;" "&amp;N773</f>
        <v>Lunch Frank Chun @ Hawaii Kai</v>
      </c>
      <c r="G773" t="s">
        <f>TEXT(D773,"mmm dd")</f>
        <v>174</v>
      </c>
      <c r="I773" t="s">
        <v>813</v>
      </c>
      <c r="J773" t="s">
        <v>740</v>
      </c>
      <c r="K773" t="s">
        <v>741</v>
      </c>
      <c r="L773" t="s">
        <v>48</v>
      </c>
      <c r="M773" t="s">
        <v>1274</v>
      </c>
      <c r="N773" t="s">
        <v>1275</v>
      </c>
    </row>
    <row r="774" spans="1:23">
      <c r="A774">
        <v>16</v>
      </c>
      <c r="B774">
        <v>4</v>
      </c>
      <c r="C774">
        <v>2009</v>
      </c>
      <c r="D774" s="3" t="s">
        <f>B774&amp;"/"&amp;A774&amp;"/"&amp;C774</f>
        <v>1276</v>
      </c>
      <c r="E774">
        <v>0.875</v>
      </c>
      <c r="F774" t="s">
        <f>I774&amp;" "&amp;J774&amp;" "&amp;K774&amp;" "&amp;L774&amp;" "&amp;M774&amp;" "&amp;N774</f>
        <v>1277</v>
      </c>
      <c r="G774" t="s">
        <f>TEXT(D774,"mmm dd")</f>
        <v>184</v>
      </c>
      <c r="I774" t="s">
        <v>291</v>
      </c>
      <c r="J774" t="s">
        <v>48</v>
      </c>
      <c r="K774" t="s">
        <v>292</v>
      </c>
      <c r="L774" t="s">
        <v>1195</v>
      </c>
      <c r="M774">
        <v>3</v>
      </c>
      <c r="N774" t="s">
        <v>1278</v>
      </c>
    </row>
    <row r="775" spans="1:23">
      <c r="A775">
        <v>16</v>
      </c>
      <c r="B775">
        <v>4</v>
      </c>
      <c r="C775">
        <v>2009</v>
      </c>
      <c r="D775" s="3" t="s">
        <f>B775&amp;"/"&amp;A775&amp;"/"&amp;C775</f>
        <v>1276</v>
      </c>
      <c r="E775">
        <v>0.20833333333333334</v>
      </c>
      <c r="F775" t="str">
        <f>I775&amp;" "&amp;J775&amp;" "&amp;K775&amp;" "&amp;L775&amp;" "&amp;M775&amp;" "&amp;N775</f>
        <v>Robert Wu    </v>
      </c>
      <c r="G775" t="s">
        <f>TEXT(D775,"mmm dd")</f>
        <v>184</v>
      </c>
      <c r="I775" t="s">
        <v>1279</v>
      </c>
      <c r="J775" t="s">
        <v>1280</v>
      </c>
    </row>
    <row r="776" spans="1:23">
      <c r="A776">
        <v>16</v>
      </c>
      <c r="B776">
        <v>4</v>
      </c>
      <c r="C776">
        <v>2009</v>
      </c>
      <c r="D776" s="3" t="s">
        <f>B776&amp;"/"&amp;A776&amp;"/"&amp;C776</f>
        <v>1276</v>
      </c>
      <c r="E776">
        <v>0.875</v>
      </c>
      <c r="F776" t="s">
        <f>I776&amp;" "&amp;J776&amp;" "&amp;K776&amp;" "&amp;L776&amp;" "&amp;M776&amp;" "&amp;N776</f>
        <v>1277</v>
      </c>
      <c r="G776" t="s">
        <f>TEXT(D776,"mmm dd")</f>
        <v>184</v>
      </c>
      <c r="I776" t="s">
        <v>291</v>
      </c>
      <c r="J776" t="s">
        <v>48</v>
      </c>
      <c r="K776" t="s">
        <v>292</v>
      </c>
      <c r="L776" t="s">
        <v>1195</v>
      </c>
      <c r="M776">
        <v>3</v>
      </c>
      <c r="N776" t="s">
        <v>1278</v>
      </c>
    </row>
    <row r="777" spans="1:23">
      <c r="A777">
        <v>18</v>
      </c>
      <c r="B777">
        <v>4</v>
      </c>
      <c r="C777">
        <v>2009</v>
      </c>
      <c r="D777" s="3" t="s">
        <f>B777&amp;"/"&amp;A777&amp;"/"&amp;C777</f>
        <v>1281</v>
      </c>
      <c r="E777">
        <v>1</v>
      </c>
      <c r="F777" t="str">
        <f>I777&amp;" "&amp;J777&amp;" "&amp;K777&amp;" "&amp;L777&amp;" "&amp;M777&amp;" "&amp;N777</f>
        <v>Revival Meeting    </v>
      </c>
      <c r="G777" t="s">
        <f>TEXT(D777,"mmm dd")</f>
        <v>193</v>
      </c>
      <c r="I777" t="inlineStr">
        <is>
          <t>Revival</t>
        </is>
      </c>
      <c r="J777" t="s">
        <v>898</v>
      </c>
    </row>
    <row r="778" spans="1:23">
      <c r="A778">
        <v>18</v>
      </c>
      <c r="B778">
        <v>4</v>
      </c>
      <c r="C778">
        <v>2009</v>
      </c>
      <c r="D778" s="3" t="s">
        <f>B778&amp;"/"&amp;A778&amp;"/"&amp;C778</f>
        <v>1281</v>
      </c>
      <c r="E778">
        <v>0.17708333333333334</v>
      </c>
      <c r="F778" t="s">
        <f>I778&amp;" "&amp;J778&amp;" "&amp;K778&amp;" "&amp;L778&amp;" "&amp;M778&amp;" "&amp;N778</f>
        <v>937</v>
      </c>
      <c r="G778" t="s">
        <f>TEXT(D778,"mmm dd")</f>
        <v>193</v>
      </c>
      <c r="I778" t="s">
        <v>847</v>
      </c>
      <c r="J778" t="s">
        <v>918</v>
      </c>
      <c r="O778">
        <v>379</v>
      </c>
    </row>
    <row r="779" spans="1:23">
      <c r="A779">
        <v>20</v>
      </c>
      <c r="B779">
        <v>4</v>
      </c>
      <c r="C779">
        <v>2009</v>
      </c>
      <c r="D779" s="3" t="str">
        <f>B779&amp;"/"&amp;A779&amp;"/"&amp;C779</f>
        <v>4/20/2009</v>
      </c>
      <c r="E779">
        <v>1.0416666666666667</v>
      </c>
      <c r="F779" t="str">
        <f>I779&amp;" "&amp;J779&amp;" "&amp;K779&amp;" "&amp;L779&amp;" "&amp;M779&amp;" "&amp;N779</f>
        <v>East Honolulu @ St. Mary's </v>
      </c>
      <c r="G779" t="s">
        <f>TEXT(D779,"mmm dd")</f>
        <v>204</v>
      </c>
      <c r="I779" t="s">
        <v>451</v>
      </c>
      <c r="J779" t="s">
        <v>609</v>
      </c>
      <c r="K779" t="s">
        <v>48</v>
      </c>
      <c r="L779" t="s">
        <v>218</v>
      </c>
      <c r="M779" t="s">
        <v>265</v>
      </c>
      <c r="O779" t="s">
        <v>641</v>
      </c>
      <c r="P779" t="s">
        <v>642</v>
      </c>
    </row>
    <row r="780" spans="1:23">
      <c r="A780">
        <v>23</v>
      </c>
      <c r="B780">
        <v>4</v>
      </c>
      <c r="C780">
        <v>2009</v>
      </c>
      <c r="D780" s="3" t="str">
        <f>B780&amp;"/"&amp;A780&amp;"/"&amp;C780</f>
        <v>4/23/2009</v>
      </c>
      <c r="E780">
        <v>0.33333333333333331</v>
      </c>
      <c r="F780" t="str">
        <f>I780&amp;" "&amp;J780&amp;" "&amp;K780&amp;" "&amp;L780&amp;" "&amp;M780&amp;" "&amp;N780</f>
        <v>Start Centering Prayer   </v>
      </c>
      <c r="G780" t="s">
        <f>TEXT(D780,"mmm dd")</f>
        <v>221</v>
      </c>
      <c r="I780" t="inlineStr">
        <is>
          <t>Start</t>
        </is>
      </c>
      <c r="J780" t="s">
        <v>1282</v>
      </c>
      <c r="K780" t="s">
        <v>1283</v>
      </c>
    </row>
    <row r="781" spans="1:23">
      <c r="A781">
        <v>24</v>
      </c>
      <c r="B781">
        <v>4</v>
      </c>
      <c r="C781">
        <v>2009</v>
      </c>
      <c r="D781" s="3" t="s">
        <f>B781&amp;"/"&amp;A781&amp;"/"&amp;C781</f>
        <v>1284</v>
      </c>
      <c r="E781" t="s">
        <v>42</v>
      </c>
      <c r="F781" t="s">
        <f>I781&amp;" "&amp;J781&amp;" "&amp;K781&amp;" "&amp;L781&amp;" "&amp;M781&amp;" "&amp;N781</f>
        <v>1285</v>
      </c>
      <c r="G781" t="s">
        <f>TEXT(D781,"mmm dd")</f>
        <v>224</v>
      </c>
      <c r="I781" t="inlineStr">
        <is>
          <t>Leen's</t>
        </is>
      </c>
      <c r="J781" t="s">
        <v>1286</v>
      </c>
      <c r="K781" t="s">
        <v>48</v>
      </c>
      <c r="L781" t="s">
        <v>208</v>
      </c>
    </row>
    <row r="782" spans="1:23">
      <c r="A782">
        <v>25</v>
      </c>
      <c r="B782">
        <v>4</v>
      </c>
      <c r="C782">
        <v>2009</v>
      </c>
      <c r="D782" s="3" t="str">
        <f>B782&amp;"/"&amp;A782&amp;"/"&amp;C782</f>
        <v>4/25/2009</v>
      </c>
      <c r="E782" t="s">
        <v>42</v>
      </c>
      <c r="F782" t="str">
        <f>I782&amp;" "&amp;J782&amp;" "&amp;K782&amp;" "&amp;L782&amp;" "&amp;M782&amp;" "&amp;N782</f>
        <v>Confirmation?     </v>
      </c>
      <c r="G782" t="s">
        <f>TEXT(D782,"mmm dd")</f>
        <v>227</v>
      </c>
      <c r="I782" t="inlineStr">
        <is>
          <t>Confirmation?</t>
        </is>
      </c>
    </row>
    <row r="783" spans="1:23">
      <c r="A783">
        <v>26</v>
      </c>
      <c r="B783">
        <v>4</v>
      </c>
      <c r="C783">
        <v>2009</v>
      </c>
      <c r="D783" s="3" t="s">
        <f>B783&amp;"/"&amp;A783&amp;"/"&amp;C783</f>
        <v>1287</v>
      </c>
      <c r="E783" t="s">
        <v>42</v>
      </c>
      <c r="F783" t="str">
        <f>I783&amp;" "&amp;J783&amp;" "&amp;K783&amp;" "&amp;L783&amp;" "&amp;M783&amp;" "&amp;N783</f>
        <v>Confirmation @ St. Mary's  </v>
      </c>
      <c r="G783" t="s">
        <f>TEXT(D783,"mmm dd")</f>
        <v>232</v>
      </c>
      <c r="I783" t="s">
        <v>1288</v>
      </c>
      <c r="J783" t="s">
        <v>48</v>
      </c>
      <c r="K783" t="s">
        <v>218</v>
      </c>
      <c r="L783" t="s">
        <v>265</v>
      </c>
    </row>
    <row r="784" spans="1:23">
      <c r="A784">
        <v>26</v>
      </c>
      <c r="B784">
        <v>4</v>
      </c>
      <c r="C784">
        <v>2009</v>
      </c>
      <c r="D784" s="3" t="s">
        <f>B784&amp;"/"&amp;A784&amp;"/"&amp;C784</f>
        <v>1287</v>
      </c>
      <c r="E784" t="s">
        <v>42</v>
      </c>
      <c r="F784" t="s">
        <f>I784&amp;" "&amp;J784&amp;" "&amp;K784&amp;" "&amp;L784&amp;" "&amp;M784&amp;" "&amp;N784</f>
        <v>1289</v>
      </c>
      <c r="G784" t="s">
        <f>TEXT(D784,"mmm dd")</f>
        <v>232</v>
      </c>
      <c r="I784" t="s">
        <v>1288</v>
      </c>
    </row>
    <row r="785" spans="1:23">
      <c r="A785">
        <v>30</v>
      </c>
      <c r="B785">
        <v>4</v>
      </c>
      <c r="C785">
        <v>2009</v>
      </c>
      <c r="D785" s="3" t="s">
        <f>B785&amp;"/"&amp;A785&amp;"/"&amp;C785</f>
        <v>1290</v>
      </c>
      <c r="E785">
        <v>0.25</v>
      </c>
      <c r="F785" t="str">
        <f>I785&amp;" "&amp;J785&amp;" "&amp;K785&amp;" "&amp;L785&amp;" "&amp;M785&amp;" "&amp;N785</f>
        <v>Emma concert    </v>
      </c>
      <c r="G785" t="s">
        <f>TEXT(D785,"mmm dd")</f>
        <v>246</v>
      </c>
      <c r="I785" t="s">
        <v>170</v>
      </c>
      <c r="J785" t="s">
        <v>205</v>
      </c>
    </row>
    <row r="786" spans="1:23">
      <c r="A786">
        <v>30</v>
      </c>
      <c r="B786">
        <v>4</v>
      </c>
      <c r="C786">
        <v>2009</v>
      </c>
      <c r="D786" s="3" t="s">
        <f>B786&amp;"/"&amp;A786&amp;"/"&amp;C786</f>
        <v>1290</v>
      </c>
      <c r="E786">
        <v>0.91666666666666663</v>
      </c>
      <c r="F786" t="str">
        <f>I786&amp;" "&amp;J786&amp;" "&amp;K786&amp;" "&amp;L786&amp;" "&amp;M786&amp;" "&amp;N786</f>
        <v>May Day @ Priory  </v>
      </c>
      <c r="G786" t="s">
        <f>TEXT(D786,"mmm dd")</f>
        <v>246</v>
      </c>
      <c r="I786" t="s">
        <v>375</v>
      </c>
      <c r="J786" t="s">
        <v>10</v>
      </c>
      <c r="K786" t="s">
        <v>48</v>
      </c>
      <c r="L786" t="s">
        <v>756</v>
      </c>
      <c r="O786">
        <v>1925</v>
      </c>
    </row>
    <row r="787" spans="1:23">
      <c r="A787">
        <v>2</v>
      </c>
      <c r="B787">
        <v>5</v>
      </c>
      <c r="C787">
        <v>2009</v>
      </c>
      <c r="D787" s="3" t="s">
        <f>B787&amp;"/"&amp;A787&amp;"/"&amp;C787</f>
        <v>1291</v>
      </c>
      <c r="E787">
        <v>0.91666666666666663</v>
      </c>
      <c r="F787" t="str">
        <f>I787&amp;" "&amp;J787&amp;" "&amp;K787&amp;" "&amp;L787&amp;" "&amp;M787&amp;" "&amp;N787</f>
        <v>Centering Prayer Workshop   </v>
      </c>
      <c r="G787" t="s">
        <f>TEXT(D787,"mmm dd")</f>
        <v>256</v>
      </c>
      <c r="I787" t="s">
        <v>1282</v>
      </c>
      <c r="J787" t="s">
        <v>1283</v>
      </c>
      <c r="K787" t="s">
        <v>1147</v>
      </c>
    </row>
    <row r="788" spans="1:23">
      <c r="A788">
        <v>2</v>
      </c>
      <c r="B788">
        <v>5</v>
      </c>
      <c r="C788">
        <v>2009</v>
      </c>
      <c r="D788" s="3" t="s">
        <f>B788&amp;"/"&amp;A788&amp;"/"&amp;C788</f>
        <v>1291</v>
      </c>
      <c r="E788">
        <v>0.25</v>
      </c>
      <c r="F788" t="s">
        <f>I788&amp;" "&amp;J788&amp;" "&amp;K788&amp;" "&amp;L788&amp;" "&amp;M788&amp;" "&amp;N788</f>
        <v>1292</v>
      </c>
      <c r="G788" t="s">
        <f>TEXT(D788,"mmm dd")</f>
        <v>256</v>
      </c>
      <c r="I788" t="s">
        <v>695</v>
      </c>
      <c r="J788" t="s">
        <v>1036</v>
      </c>
      <c r="K788" t="s">
        <v>1293</v>
      </c>
    </row>
    <row r="789" spans="1:23">
      <c r="A789">
        <v>7</v>
      </c>
      <c r="B789">
        <v>5</v>
      </c>
      <c r="C789">
        <v>2009</v>
      </c>
      <c r="D789" s="3" t="s">
        <f>B789&amp;"/"&amp;A789&amp;"/"&amp;C789</f>
        <v>1294</v>
      </c>
      <c r="E789">
        <v>0.875</v>
      </c>
      <c r="F789" t="s">
        <f>I789&amp;" "&amp;J789&amp;" "&amp;K789&amp;" "&amp;L789&amp;" "&amp;M789&amp;" "&amp;N789</f>
        <v>1295</v>
      </c>
      <c r="G789" t="s">
        <f>TEXT(D789,"mmm dd")</f>
        <v>279</v>
      </c>
      <c r="I789" t="s">
        <v>291</v>
      </c>
      <c r="J789" t="s">
        <v>48</v>
      </c>
      <c r="K789" t="s">
        <v>292</v>
      </c>
      <c r="L789" t="s">
        <v>1195</v>
      </c>
      <c r="M789" t="s">
        <v>1296</v>
      </c>
      <c r="N789" t="s">
        <v>10</v>
      </c>
    </row>
    <row r="790" spans="1:23">
      <c r="A790">
        <v>7</v>
      </c>
      <c r="B790">
        <v>5</v>
      </c>
      <c r="C790">
        <v>2009</v>
      </c>
      <c r="D790" s="3" t="s">
        <f>B790&amp;"/"&amp;A790&amp;"/"&amp;C790</f>
        <v>1294</v>
      </c>
      <c r="E790">
        <v>0.875</v>
      </c>
      <c r="F790" t="s">
        <f>I790&amp;" "&amp;J790&amp;" "&amp;K790&amp;" "&amp;L790&amp;" "&amp;M790&amp;" "&amp;N790</f>
        <v>1295</v>
      </c>
      <c r="G790" t="s">
        <f>TEXT(D790,"mmm dd")</f>
        <v>279</v>
      </c>
      <c r="I790" t="s">
        <v>291</v>
      </c>
      <c r="J790" t="s">
        <v>48</v>
      </c>
      <c r="K790" t="s">
        <v>292</v>
      </c>
      <c r="L790" t="s">
        <v>1195</v>
      </c>
      <c r="M790" t="s">
        <v>1296</v>
      </c>
      <c r="N790" t="s">
        <v>10</v>
      </c>
    </row>
    <row r="791" spans="1:23">
      <c r="A791">
        <v>9</v>
      </c>
      <c r="B791">
        <v>5</v>
      </c>
      <c r="C791">
        <v>2009</v>
      </c>
      <c r="D791" s="3" t="s">
        <f>B791&amp;"/"&amp;A791&amp;"/"&amp;C791</f>
        <v>1297</v>
      </c>
      <c r="E791">
        <v>0.91666666666666663</v>
      </c>
      <c r="F791" t="str">
        <f>I791&amp;" "&amp;J791&amp;" "&amp;K791&amp;" "&amp;L791&amp;" "&amp;M791&amp;" "&amp;N791</f>
        <v>Yard Day @ St. Mary's </v>
      </c>
      <c r="G791" t="s">
        <f>TEXT(D791,"mmm dd")</f>
        <v>295</v>
      </c>
      <c r="I791" t="s">
        <v>989</v>
      </c>
      <c r="J791" t="s">
        <v>10</v>
      </c>
      <c r="K791" t="s">
        <v>48</v>
      </c>
      <c r="L791" t="s">
        <v>218</v>
      </c>
      <c r="M791" t="s">
        <v>265</v>
      </c>
    </row>
    <row r="792" spans="1:23">
      <c r="A792">
        <v>9</v>
      </c>
      <c r="B792">
        <v>5</v>
      </c>
      <c r="C792">
        <v>2009</v>
      </c>
      <c r="D792" s="3" t="s">
        <f>B792&amp;"/"&amp;A792&amp;"/"&amp;C792</f>
        <v>1297</v>
      </c>
      <c r="E792">
        <v>1.0416666666666667</v>
      </c>
      <c r="F792" t="str">
        <f>I792&amp;" "&amp;J792&amp;" "&amp;K792&amp;" "&amp;L792&amp;" "&amp;M792&amp;" "&amp;N792</f>
        <v>Ref for soccer   </v>
      </c>
      <c r="G792" t="s">
        <f>TEXT(D792,"mmm dd")</f>
        <v>295</v>
      </c>
      <c r="I792" t="inlineStr">
        <is>
          <t>Ref</t>
        </is>
      </c>
      <c r="J792" t="s">
        <v>439</v>
      </c>
      <c r="K792" t="s">
        <v>553</v>
      </c>
    </row>
    <row r="793" spans="1:23">
      <c r="A793">
        <v>9</v>
      </c>
      <c r="B793">
        <v>5</v>
      </c>
      <c r="C793">
        <v>2009</v>
      </c>
      <c r="D793" s="3" t="s">
        <f>B793&amp;"/"&amp;A793&amp;"/"&amp;C793</f>
        <v>1297</v>
      </c>
      <c r="E793" t="s">
        <v>42</v>
      </c>
      <c r="F793" t="str">
        <f>I793&amp;" "&amp;J793&amp;" "&amp;K793&amp;" "&amp;L793&amp;" "&amp;M793&amp;" "&amp;N793</f>
        <v>Tt     </v>
      </c>
      <c r="G793" t="s">
        <f>TEXT(D793,"mmm dd")</f>
        <v>295</v>
      </c>
      <c r="I793" t="inlineStr">
        <is>
          <t>Tt</t>
        </is>
      </c>
    </row>
    <row r="794" spans="1:23">
      <c r="A794">
        <v>9</v>
      </c>
      <c r="B794">
        <v>5</v>
      </c>
      <c r="C794">
        <v>2009</v>
      </c>
      <c r="D794" s="3" t="s">
        <f>B794&amp;"/"&amp;A794&amp;"/"&amp;C794</f>
        <v>1297</v>
      </c>
      <c r="E794" t="s">
        <v>42</v>
      </c>
      <c r="F794" t="str">
        <f>I794&amp;" "&amp;J794&amp;" "&amp;K794&amp;" "&amp;L794&amp;" "&amp;M794&amp;" "&amp;N794</f>
        <v>T     </v>
      </c>
      <c r="G794" t="s">
        <f>TEXT(D794,"mmm dd")</f>
        <v>295</v>
      </c>
      <c r="I794" t="inlineStr">
        <is>
          <t>T</t>
        </is>
      </c>
    </row>
    <row r="795" spans="1:23">
      <c r="A795">
        <v>10</v>
      </c>
      <c r="B795">
        <v>5</v>
      </c>
      <c r="C795">
        <v>2009</v>
      </c>
      <c r="D795" s="3" t="str">
        <f>B795&amp;"/"&amp;A795&amp;"/"&amp;C795</f>
        <v>5/10/2009</v>
      </c>
      <c r="E795" t="s">
        <v>42</v>
      </c>
      <c r="F795" t="s">
        <f>I795&amp;" "&amp;J795&amp;" "&amp;K795&amp;" "&amp;L795&amp;" "&amp;M795&amp;" "&amp;N795</f>
        <v>307</v>
      </c>
      <c r="G795" t="s">
        <f>TEXT(D795,"mmm dd")</f>
        <v>304</v>
      </c>
      <c r="I795" t="s">
        <v>309</v>
      </c>
      <c r="J795" t="s">
        <v>10</v>
      </c>
    </row>
    <row r="796" spans="1:23">
      <c r="A796">
        <v>12</v>
      </c>
      <c r="B796">
        <v>5</v>
      </c>
      <c r="C796">
        <v>2009</v>
      </c>
      <c r="D796" s="3" t="str">
        <f>B796&amp;"/"&amp;A796&amp;"/"&amp;C796</f>
        <v>5/12/2009</v>
      </c>
      <c r="E796">
        <v>1</v>
      </c>
      <c r="F796" t="str">
        <f>I796&amp;" "&amp;J796&amp;" "&amp;K796&amp;" "&amp;L796&amp;" "&amp;M796&amp;" "&amp;N796</f>
        <v>East Honolulu @ St. Mark's w</v>
      </c>
      <c r="G796" t="s">
        <f>TEXT(D796,"mmm dd")</f>
        <v>317</v>
      </c>
      <c r="I796" t="s">
        <v>451</v>
      </c>
      <c r="J796" t="s">
        <v>609</v>
      </c>
      <c r="K796" t="s">
        <v>48</v>
      </c>
      <c r="L796" t="s">
        <v>218</v>
      </c>
      <c r="M796" t="s">
        <v>1298</v>
      </c>
      <c r="N796" t="s">
        <v>591</v>
      </c>
    </row>
    <row r="797" spans="1:23">
      <c r="A797">
        <v>15</v>
      </c>
      <c r="B797">
        <v>5</v>
      </c>
      <c r="C797">
        <v>2009</v>
      </c>
      <c r="D797" s="3" t="str">
        <f>B797&amp;"/"&amp;A797&amp;"/"&amp;C797</f>
        <v>5/15/2009</v>
      </c>
      <c r="E797">
        <v>0.25</v>
      </c>
      <c r="F797" t="str">
        <f>I797&amp;" "&amp;J797&amp;" "&amp;K797&amp;" "&amp;L797&amp;" "&amp;M797&amp;" "&amp;N797</f>
        <v>Mass &amp; dinner w  Mary</v>
      </c>
      <c r="G797" t="s">
        <f>TEXT(D797,"mmm dd")</f>
        <v>326</v>
      </c>
      <c r="I797" t="s">
        <v>1273</v>
      </c>
      <c r="J797" t="s">
        <v>73</v>
      </c>
      <c r="K797" t="s">
        <v>517</v>
      </c>
      <c r="L797" t="s">
        <v>591</v>
      </c>
      <c r="N797" t="s">
        <v>410</v>
      </c>
    </row>
    <row r="798" spans="1:23">
      <c r="A798">
        <v>16</v>
      </c>
      <c r="B798">
        <v>5</v>
      </c>
      <c r="C798">
        <v>2009</v>
      </c>
      <c r="D798" s="3" t="s">
        <f>B798&amp;"/"&amp;A798&amp;"/"&amp;C798</f>
        <v>1299</v>
      </c>
      <c r="E798" t="s">
        <v>42</v>
      </c>
      <c r="F798" t="s">
        <f>I798&amp;" "&amp;J798&amp;" "&amp;K798&amp;" "&amp;L798&amp;" "&amp;M798&amp;" "&amp;N798</f>
        <v>1300</v>
      </c>
      <c r="G798" t="s">
        <f>TEXT(D798,"mmm dd")</f>
        <v>328</v>
      </c>
      <c r="I798" t="s">
        <v>1301</v>
      </c>
      <c r="J798" t="s">
        <v>1302</v>
      </c>
    </row>
    <row r="799" spans="1:23">
      <c r="A799">
        <v>16</v>
      </c>
      <c r="B799">
        <v>5</v>
      </c>
      <c r="C799">
        <v>2009</v>
      </c>
      <c r="D799" s="3" t="s">
        <f>B799&amp;"/"&amp;A799&amp;"/"&amp;C799</f>
        <v>1299</v>
      </c>
      <c r="E799">
        <v>1.0416666666666667</v>
      </c>
      <c r="F799" t="str">
        <f>I799&amp;" "&amp;J799&amp;" "&amp;K799&amp;" "&amp;L799&amp;" "&amp;M799&amp;" "&amp;N799</f>
        <v>Leen to Sea Life Park </v>
      </c>
      <c r="G799" t="s">
        <f>TEXT(D799,"mmm dd")</f>
        <v>328</v>
      </c>
      <c r="I799" t="s">
        <v>721</v>
      </c>
      <c r="J799" t="s">
        <v>449</v>
      </c>
      <c r="K799" t="inlineStr">
        <is>
          <t>Sea</t>
        </is>
      </c>
      <c r="L799" t="s">
        <v>1303</v>
      </c>
      <c r="M799" t="s">
        <v>177</v>
      </c>
    </row>
    <row r="800" spans="1:23">
      <c r="A800">
        <v>17</v>
      </c>
      <c r="B800">
        <v>5</v>
      </c>
      <c r="C800">
        <v>2009</v>
      </c>
      <c r="D800" s="3" t="s">
        <f>B800&amp;"/"&amp;A800&amp;"/"&amp;C800</f>
        <v>1304</v>
      </c>
      <c r="E800">
        <v>0.29166666666666669</v>
      </c>
      <c r="F800" t="s">
        <f>I800&amp;" "&amp;J800&amp;" "&amp;K800&amp;" "&amp;L800&amp;" "&amp;M800&amp;" "&amp;N800</f>
        <v>1305</v>
      </c>
      <c r="G800" t="s">
        <f>TEXT(D800,"mmm dd")</f>
        <v>335</v>
      </c>
      <c r="I800" t="s">
        <v>1306</v>
      </c>
      <c r="J800" t="s">
        <v>1036</v>
      </c>
    </row>
    <row r="801" spans="1:23">
      <c r="A801">
        <v>17</v>
      </c>
      <c r="B801">
        <v>5</v>
      </c>
      <c r="C801">
        <v>2009</v>
      </c>
      <c r="D801" s="3" t="s">
        <f>B801&amp;"/"&amp;A801&amp;"/"&amp;C801</f>
        <v>1304</v>
      </c>
      <c r="E801">
        <v>1.0833333333333333</v>
      </c>
      <c r="F801" t="str">
        <f>I801&amp;" "&amp;J801&amp;" "&amp;K801&amp;" "&amp;L801&amp;" "&amp;M801&amp;" "&amp;N801</f>
        <v>Leen to climb w  Faro</v>
      </c>
      <c r="G801" t="s">
        <f>TEXT(D801,"mmm dd")</f>
        <v>335</v>
      </c>
      <c r="I801" t="s">
        <v>721</v>
      </c>
      <c r="J801" t="s">
        <v>449</v>
      </c>
      <c r="K801" t="inlineStr">
        <is>
          <t>climb</t>
        </is>
      </c>
      <c r="L801" t="s">
        <v>591</v>
      </c>
      <c r="N801" t="inlineStr">
        <is>
          <t>Faro</t>
        </is>
      </c>
    </row>
    <row r="802" spans="1:23">
      <c r="A802">
        <v>19</v>
      </c>
      <c r="B802">
        <v>5</v>
      </c>
      <c r="C802">
        <v>2009</v>
      </c>
      <c r="D802" s="3" t="str">
        <f>B802&amp;"/"&amp;A802&amp;"/"&amp;C802</f>
        <v>5/19/2009</v>
      </c>
      <c r="E802">
        <v>0.25</v>
      </c>
      <c r="F802" t="s">
        <f>I802&amp;" "&amp;J802&amp;" "&amp;K802&amp;" "&amp;L802&amp;" "&amp;M802&amp;" "&amp;N802</f>
        <v>1307</v>
      </c>
      <c r="G802" t="s">
        <f>TEXT(D802,"mmm dd")</f>
        <v>344</v>
      </c>
      <c r="I802" t="s">
        <v>674</v>
      </c>
      <c r="J802" t="s">
        <v>675</v>
      </c>
    </row>
    <row r="803" spans="1:23">
      <c r="A803">
        <v>21</v>
      </c>
      <c r="B803">
        <v>5</v>
      </c>
      <c r="C803">
        <v>2009</v>
      </c>
      <c r="D803" s="3" t="str">
        <f>B803&amp;"/"&amp;A803&amp;"/"&amp;C803</f>
        <v>5/21/2009</v>
      </c>
      <c r="E803">
        <v>0.91666666666666663</v>
      </c>
      <c r="F803" t="s">
        <f>I803&amp;" "&amp;J803&amp;" "&amp;K803&amp;" "&amp;L803&amp;" "&amp;M803&amp;" "&amp;N803</f>
        <v>1308</v>
      </c>
      <c r="G803" t="s">
        <f>TEXT(D803,"mmm dd")</f>
        <v>354</v>
      </c>
      <c r="I803" t="s">
        <v>254</v>
      </c>
      <c r="J803" t="s">
        <v>10</v>
      </c>
      <c r="K803" t="s">
        <v>48</v>
      </c>
      <c r="L803" t="s">
        <v>756</v>
      </c>
    </row>
    <row r="804" spans="1:23">
      <c r="A804">
        <v>23</v>
      </c>
      <c r="B804">
        <v>5</v>
      </c>
      <c r="C804">
        <v>2009</v>
      </c>
      <c r="D804" s="3" t="s">
        <f>B804&amp;"/"&amp;A804&amp;"/"&amp;C804</f>
        <v>1309</v>
      </c>
      <c r="E804">
        <v>0.91666666666666663</v>
      </c>
      <c r="F804" t="str">
        <f>I804&amp;" "&amp;J804&amp;" "&amp;K804&amp;" "&amp;L804&amp;" "&amp;M804&amp;" "&amp;N804</f>
        <v>Standing Commitee (Res)   </v>
      </c>
      <c r="G804" t="s">
        <f>TEXT(D804,"mmm dd")</f>
        <v>360</v>
      </c>
      <c r="I804" t="s">
        <v>1121</v>
      </c>
      <c r="J804" t="s">
        <v>1122</v>
      </c>
      <c r="K804" t="inlineStr">
        <is>
          <t>(Res)</t>
        </is>
      </c>
    </row>
    <row r="805" spans="1:23">
      <c r="A805">
        <v>23</v>
      </c>
      <c r="B805">
        <v>5</v>
      </c>
      <c r="C805">
        <v>2009</v>
      </c>
      <c r="D805" s="3" t="s">
        <f>B805&amp;"/"&amp;A805&amp;"/"&amp;C805</f>
        <v>1309</v>
      </c>
      <c r="E805">
        <v>0.97916666666666663</v>
      </c>
      <c r="F805" t="str">
        <f>I805&amp;" "&amp;J805&amp;" "&amp;K805&amp;" "&amp;L805&amp;" "&amp;M805&amp;" "&amp;N805</f>
        <v>Memorial for Flora Chang  </v>
      </c>
      <c r="G805" t="s">
        <f>TEXT(D805,"mmm dd")</f>
        <v>360</v>
      </c>
      <c r="I805" t="s">
        <v>387</v>
      </c>
      <c r="J805" t="s">
        <v>439</v>
      </c>
      <c r="K805" t="inlineStr">
        <is>
          <t>Flora</t>
        </is>
      </c>
      <c r="L805" t="s">
        <v>891</v>
      </c>
    </row>
    <row r="806" spans="1:23">
      <c r="A806">
        <v>26</v>
      </c>
      <c r="B806">
        <v>5</v>
      </c>
      <c r="C806">
        <v>2009</v>
      </c>
      <c r="D806" s="3" t="str">
        <f>B806&amp;"/"&amp;A806&amp;"/"&amp;C806</f>
        <v>5/26/2009</v>
      </c>
      <c r="E806" t="s">
        <v>42</v>
      </c>
      <c r="F806" t="str">
        <f>I806&amp;" "&amp;J806&amp;" "&amp;K806&amp;" "&amp;L806&amp;" "&amp;M806&amp;" "&amp;N806</f>
        <v>Meet Hosi's with Amy  </v>
      </c>
      <c r="G806" t="s">
        <f>TEXT(D806,"mmm dd")</f>
        <v>386</v>
      </c>
      <c r="I806" t="s">
        <v>300</v>
      </c>
      <c r="J806" t="inlineStr">
        <is>
          <t>Hosi's</t>
        </is>
      </c>
      <c r="K806" t="s">
        <v>755</v>
      </c>
      <c r="L806" t="s">
        <v>1310</v>
      </c>
    </row>
    <row r="807" spans="1:23">
      <c r="A807">
        <v>28</v>
      </c>
      <c r="B807">
        <v>5</v>
      </c>
      <c r="C807">
        <v>2009</v>
      </c>
      <c r="D807" s="3" t="str">
        <f>B807&amp;"/"&amp;A807&amp;"/"&amp;C807</f>
        <v>5/28/2009</v>
      </c>
      <c r="E807">
        <v>0.875</v>
      </c>
      <c r="F807" t="str">
        <f>I807&amp;" "&amp;J807&amp;" "&amp;K807&amp;" "&amp;L807&amp;" "&amp;M807&amp;" "&amp;N807</f>
        <v>Angel's rehearsal    </v>
      </c>
      <c r="G807" t="s">
        <f>TEXT(D807,"mmm dd")</f>
        <v>393</v>
      </c>
      <c r="I807" t="s">
        <v>291</v>
      </c>
      <c r="J807" t="s">
        <v>863</v>
      </c>
    </row>
    <row r="808" spans="1:23">
      <c r="A808">
        <v>29</v>
      </c>
      <c r="B808">
        <v>5</v>
      </c>
      <c r="C808">
        <v>2009</v>
      </c>
      <c r="D808" s="3" t="s">
        <f>B808&amp;"/"&amp;A808&amp;"/"&amp;C808</f>
        <v>1311</v>
      </c>
      <c r="E808">
        <v>0.875</v>
      </c>
      <c r="F808" t="s">
        <f>I808&amp;" "&amp;J808&amp;" "&amp;K808&amp;" "&amp;L808&amp;" "&amp;M808&amp;" "&amp;N808</f>
        <v>1312</v>
      </c>
      <c r="G808" t="s">
        <f>TEXT(D808,"mmm dd")</f>
        <v>397</v>
      </c>
      <c r="I808" t="s">
        <v>291</v>
      </c>
      <c r="J808" t="s">
        <v>48</v>
      </c>
      <c r="K808" t="s">
        <v>292</v>
      </c>
      <c r="L808" t="s">
        <v>1195</v>
      </c>
      <c r="M808" t="s">
        <v>1313</v>
      </c>
    </row>
    <row r="809" spans="1:23">
      <c r="A809">
        <v>29</v>
      </c>
      <c r="B809">
        <v>5</v>
      </c>
      <c r="C809">
        <v>2009</v>
      </c>
      <c r="D809" s="3" t="s">
        <f>B809&amp;"/"&amp;A809&amp;"/"&amp;C809</f>
        <v>1311</v>
      </c>
      <c r="E809">
        <v>0.3125</v>
      </c>
      <c r="F809" t="s">
        <f>I809&amp;" "&amp;J809&amp;" "&amp;K809&amp;" "&amp;L809&amp;" "&amp;M809&amp;" "&amp;N809</f>
        <v>1270</v>
      </c>
      <c r="G809" t="s">
        <f>TEXT(D809,"mmm dd")</f>
        <v>397</v>
      </c>
      <c r="I809" t="s">
        <v>907</v>
      </c>
      <c r="J809" t="s">
        <v>1081</v>
      </c>
    </row>
    <row r="810" spans="1:23">
      <c r="A810">
        <v>29</v>
      </c>
      <c r="B810">
        <v>5</v>
      </c>
      <c r="C810">
        <v>2009</v>
      </c>
      <c r="D810" s="3" t="s">
        <f>B810&amp;"/"&amp;A810&amp;"/"&amp;C810</f>
        <v>1311</v>
      </c>
      <c r="E810">
        <v>0.14583333333333334</v>
      </c>
      <c r="F810" t="str">
        <f>I810&amp;" "&amp;J810&amp;" "&amp;K810&amp;" "&amp;L810&amp;" "&amp;M810&amp;" "&amp;N810</f>
        <v>Dick Hubbard coach (R)  </v>
      </c>
      <c r="G810" t="s">
        <f>TEXT(D810,"mmm dd")</f>
        <v>397</v>
      </c>
      <c r="I810" t="s">
        <v>188</v>
      </c>
      <c r="J810" t="s">
        <v>189</v>
      </c>
      <c r="K810" t="s">
        <v>190</v>
      </c>
      <c r="L810" t="s">
        <v>1314</v>
      </c>
    </row>
    <row r="811" spans="1:23">
      <c r="A811">
        <v>29</v>
      </c>
      <c r="B811">
        <v>5</v>
      </c>
      <c r="C811">
        <v>2009</v>
      </c>
      <c r="D811" s="3" t="s">
        <f>B811&amp;"/"&amp;A811&amp;"/"&amp;C811</f>
        <v>1311</v>
      </c>
      <c r="E811">
        <v>0.875</v>
      </c>
      <c r="F811" t="s">
        <f>I811&amp;" "&amp;J811&amp;" "&amp;K811&amp;" "&amp;L811&amp;" "&amp;M811&amp;" "&amp;N811</f>
        <v>1312</v>
      </c>
      <c r="G811" t="s">
        <f>TEXT(D811,"mmm dd")</f>
        <v>397</v>
      </c>
      <c r="I811" t="s">
        <v>291</v>
      </c>
      <c r="J811" t="s">
        <v>48</v>
      </c>
      <c r="K811" t="s">
        <v>292</v>
      </c>
      <c r="L811" t="s">
        <v>1195</v>
      </c>
      <c r="M811" t="s">
        <v>1313</v>
      </c>
    </row>
    <row r="812" spans="1:23">
      <c r="A812">
        <v>30</v>
      </c>
      <c r="B812">
        <v>5</v>
      </c>
      <c r="C812">
        <v>2009</v>
      </c>
      <c r="D812" s="3" t="str">
        <f>B812&amp;"/"&amp;A812&amp;"/"&amp;C812</f>
        <v>5/30/2009</v>
      </c>
      <c r="E812">
        <v>0.17708333333333334</v>
      </c>
      <c r="F812" t="s">
        <f>I812&amp;" "&amp;J812&amp;" "&amp;K812&amp;" "&amp;L812&amp;" "&amp;M812&amp;" "&amp;N812</f>
        <v>937</v>
      </c>
      <c r="G812" t="s">
        <f>TEXT(D812,"mmm dd")</f>
        <v>402</v>
      </c>
      <c r="I812" t="s">
        <v>847</v>
      </c>
      <c r="J812" t="s">
        <v>918</v>
      </c>
    </row>
    <row r="813" spans="1:23">
      <c r="A813">
        <v>1</v>
      </c>
      <c r="B813">
        <v>6</v>
      </c>
      <c r="C813">
        <v>2009</v>
      </c>
      <c r="D813" s="3" t="str">
        <f>B813&amp;"/"&amp;A813&amp;"/"&amp;C813</f>
        <v>6/1/2009</v>
      </c>
      <c r="E813" t="s">
        <v>42</v>
      </c>
      <c r="F813" t="s">
        <f>I813&amp;" "&amp;J813&amp;" "&amp;K813&amp;" "&amp;L813&amp;" "&amp;M813&amp;" "&amp;N813</f>
        <v>1315</v>
      </c>
      <c r="G813" t="s">
        <f>TEXT(D813,"mmm dd")</f>
        <v>421</v>
      </c>
      <c r="I813" t="s">
        <v>1316</v>
      </c>
      <c r="J813" t="s">
        <v>718</v>
      </c>
    </row>
    <row r="814" spans="1:23">
      <c r="A814">
        <v>2</v>
      </c>
      <c r="B814">
        <v>6</v>
      </c>
      <c r="C814">
        <v>2009</v>
      </c>
      <c r="D814" s="3" t="str">
        <f>B814&amp;"/"&amp;A814&amp;"/"&amp;C814</f>
        <v>6/2/2009</v>
      </c>
      <c r="E814">
        <v>1</v>
      </c>
      <c r="F814" t="str">
        <f>I814&amp;" "&amp;J814&amp;" "&amp;K814&amp;" "&amp;L814&amp;" "&amp;M814&amp;" "&amp;N814</f>
        <v>East Honolulu @ Epiphany  </v>
      </c>
      <c r="G814" t="s">
        <f>TEXT(D814,"mmm dd")</f>
        <v>430</v>
      </c>
      <c r="I814" t="s">
        <v>451</v>
      </c>
      <c r="J814" t="s">
        <v>609</v>
      </c>
      <c r="K814" t="s">
        <v>48</v>
      </c>
      <c r="L814" t="s">
        <v>1317</v>
      </c>
      <c r="O814" t="s">
        <v>336</v>
      </c>
      <c r="P814" t="s">
        <v>286</v>
      </c>
      <c r="Q814">
        <v>540</v>
      </c>
    </row>
    <row r="815" spans="1:23">
      <c r="A815">
        <v>3</v>
      </c>
      <c r="B815">
        <v>6</v>
      </c>
      <c r="C815">
        <v>2009</v>
      </c>
      <c r="D815" s="3" t="str">
        <f>B815&amp;"/"&amp;A815&amp;"/"&amp;C815</f>
        <v>6/3/2009</v>
      </c>
      <c r="E815" t="s">
        <v>42</v>
      </c>
      <c r="F815" t="str">
        <f>I815&amp;" "&amp;J815&amp;" "&amp;K815&amp;" "&amp;L815&amp;" "&amp;M815&amp;" "&amp;N815</f>
        <v>Office 1 2 day  </v>
      </c>
      <c r="G815" t="s">
        <f>TEXT(D815,"mmm dd")</f>
        <v>434</v>
      </c>
      <c r="I815" t="s">
        <v>493</v>
      </c>
      <c r="J815">
        <v>1</v>
      </c>
      <c r="K815">
        <v>2</v>
      </c>
      <c r="L815" t="s">
        <v>502</v>
      </c>
    </row>
    <row r="816" spans="1:23">
      <c r="A816">
        <v>6</v>
      </c>
      <c r="B816">
        <v>6</v>
      </c>
      <c r="C816">
        <v>2009</v>
      </c>
      <c r="D816" s="3" t="s">
        <f>B816&amp;"/"&amp;A816&amp;"/"&amp;C816</f>
        <v>1318</v>
      </c>
      <c r="E816">
        <v>0.91666666666666663</v>
      </c>
      <c r="F816" t="s">
        <f>I816&amp;" "&amp;J816&amp;" "&amp;K816&amp;" "&amp;L816&amp;" "&amp;M816&amp;" "&amp;N816</f>
        <v>1319</v>
      </c>
      <c r="G816" t="s">
        <f>TEXT(D816,"mmm dd")</f>
        <v>462</v>
      </c>
      <c r="I816" t="s">
        <v>730</v>
      </c>
      <c r="J816" t="s">
        <v>135</v>
      </c>
      <c r="K816" t="s">
        <v>1320</v>
      </c>
    </row>
    <row r="817" spans="1:23">
      <c r="A817">
        <v>6</v>
      </c>
      <c r="B817">
        <v>6</v>
      </c>
      <c r="C817">
        <v>2009</v>
      </c>
      <c r="D817" s="3" t="s">
        <f>B817&amp;"/"&amp;A817&amp;"/"&amp;C817</f>
        <v>1318</v>
      </c>
      <c r="E817" t="s">
        <v>42</v>
      </c>
      <c r="F817" t="s">
        <f>I817&amp;" "&amp;J817&amp;" "&amp;K817&amp;" "&amp;L817&amp;" "&amp;M817&amp;" "&amp;N817</f>
        <v>1321</v>
      </c>
      <c r="G817" t="s">
        <f>TEXT(D817,"mmm dd")</f>
        <v>462</v>
      </c>
      <c r="I817" t="s">
        <v>721</v>
      </c>
      <c r="J817" t="s">
        <v>1322</v>
      </c>
    </row>
    <row r="818" spans="1:23">
      <c r="A818">
        <v>7</v>
      </c>
      <c r="B818">
        <v>6</v>
      </c>
      <c r="C818">
        <v>2009</v>
      </c>
      <c r="D818" s="3" t="s">
        <f>B818&amp;"/"&amp;A818&amp;"/"&amp;C818</f>
        <v>1323</v>
      </c>
      <c r="E818">
        <v>0.25</v>
      </c>
      <c r="F818" t="str">
        <f>I818&amp;" "&amp;J818&amp;" "&amp;K818&amp;" "&amp;L818&amp;" "&amp;M818&amp;" "&amp;N818</f>
        <v>Rhianna's Graduation @ Blaisdel  </v>
      </c>
      <c r="G818" t="s">
        <f>TEXT(D818,"mmm dd")</f>
        <v>464</v>
      </c>
      <c r="I818" t="inlineStr">
        <is>
          <t>Rhianna's</t>
        </is>
      </c>
      <c r="J818" t="s">
        <v>1313</v>
      </c>
      <c r="K818" t="s">
        <v>48</v>
      </c>
      <c r="L818" t="inlineStr">
        <is>
          <t>Blaisdel</t>
        </is>
      </c>
    </row>
    <row r="819" spans="1:23">
      <c r="A819">
        <v>7</v>
      </c>
      <c r="B819">
        <v>6</v>
      </c>
      <c r="C819">
        <v>2009</v>
      </c>
      <c r="D819" s="3" t="s">
        <f>B819&amp;"/"&amp;A819&amp;"/"&amp;C819</f>
        <v>1323</v>
      </c>
      <c r="E819">
        <v>0.91666666666666663</v>
      </c>
      <c r="F819" t="str">
        <f>I819&amp;" "&amp;J819&amp;" "&amp;K819&amp;" "&amp;L819&amp;" "&amp;M819&amp;" "&amp;N819</f>
        <v>Food Fair    </v>
      </c>
      <c r="G819" t="s">
        <f>TEXT(D819,"mmm dd")</f>
        <v>464</v>
      </c>
      <c r="I819" t="s">
        <v>1324</v>
      </c>
      <c r="J819" t="inlineStr">
        <is>
          <t>Fair</t>
        </is>
      </c>
    </row>
    <row r="820" spans="1:23">
      <c r="A820">
        <v>8</v>
      </c>
      <c r="B820">
        <v>6</v>
      </c>
      <c r="C820">
        <v>2009</v>
      </c>
      <c r="D820" s="3" t="str">
        <f>B820&amp;"/"&amp;A820&amp;"/"&amp;C820</f>
        <v>6/8/2009</v>
      </c>
      <c r="E820">
        <v>0.25</v>
      </c>
      <c r="F820" t="str">
        <f>I820&amp;" "&amp;J820&amp;" "&amp;K820&amp;" "&amp;L820&amp;" "&amp;M820&amp;" "&amp;N820</f>
        <v>Rhianna graduation @ TreeTops  </v>
      </c>
      <c r="G820" t="s">
        <f>TEXT(D820,"mmm dd")</f>
        <v>1325</v>
      </c>
      <c r="I820" t="inlineStr">
        <is>
          <t>Rhianna</t>
        </is>
      </c>
      <c r="J820" t="s">
        <v>403</v>
      </c>
      <c r="K820" t="s">
        <v>48</v>
      </c>
      <c r="L820" t="inlineStr">
        <is>
          <t>TreeTops</t>
        </is>
      </c>
    </row>
    <row r="821" spans="1:23">
      <c r="A821">
        <v>9</v>
      </c>
      <c r="B821">
        <v>6</v>
      </c>
      <c r="C821">
        <v>2009</v>
      </c>
      <c r="D821" s="3" t="str">
        <f>B821&amp;"/"&amp;A821&amp;"/"&amp;C821</f>
        <v>6/9/2009</v>
      </c>
      <c r="E821" t="s">
        <v>42</v>
      </c>
      <c r="F821" t="s">
        <f>I821&amp;" "&amp;J821&amp;" "&amp;K821&amp;" "&amp;L821&amp;" "&amp;M821&amp;" "&amp;N821</f>
        <v>717</v>
      </c>
      <c r="G821" t="s">
        <f>TEXT(D821,"mmm dd")</f>
        <v>467</v>
      </c>
      <c r="I821" t="s">
        <v>456</v>
      </c>
      <c r="J821" t="s">
        <v>718</v>
      </c>
    </row>
    <row r="822" spans="1:23">
      <c r="A822">
        <v>10</v>
      </c>
      <c r="B822">
        <v>6</v>
      </c>
      <c r="C822">
        <v>2009</v>
      </c>
      <c r="D822" s="3" t="str">
        <f>B822&amp;"/"&amp;A822&amp;"/"&amp;C822</f>
        <v>6/10/2009</v>
      </c>
      <c r="E822" t="s">
        <v>42</v>
      </c>
      <c r="F822" t="str">
        <f>I822&amp;" "&amp;J822&amp;" "&amp;K822&amp;" "&amp;L822&amp;" "&amp;M822&amp;" "&amp;N822</f>
        <v>8089272876     </v>
      </c>
      <c r="G822" t="s">
        <f>TEXT(D822,"mmm dd")</f>
        <v>475</v>
      </c>
      <c r="I822">
        <v>8089272876</v>
      </c>
    </row>
    <row r="823" spans="1:23">
      <c r="A823">
        <v>11</v>
      </c>
      <c r="B823">
        <v>6</v>
      </c>
      <c r="C823">
        <v>2009</v>
      </c>
      <c r="D823" s="3" t="str">
        <f>B823&amp;"/"&amp;A823&amp;"/"&amp;C823</f>
        <v>6/11/2009</v>
      </c>
      <c r="E823" t="s">
        <v>42</v>
      </c>
      <c r="F823" t="s">
        <f>I823&amp;" "&amp;J823&amp;" "&amp;K823&amp;" "&amp;L823&amp;" "&amp;M823&amp;" "&amp;N823</f>
        <v>1326</v>
      </c>
      <c r="G823" t="s">
        <f>TEXT(D823,"mmm dd")</f>
        <v>487</v>
      </c>
      <c r="I823" t="s">
        <v>1327</v>
      </c>
    </row>
    <row r="824" spans="1:23">
      <c r="A824">
        <v>12</v>
      </c>
      <c r="B824">
        <v>6</v>
      </c>
      <c r="C824">
        <v>2009</v>
      </c>
      <c r="D824" s="3" t="s">
        <f>B824&amp;"/"&amp;A824&amp;"/"&amp;C824</f>
        <v>1328</v>
      </c>
      <c r="E824">
        <v>0.95833333333333337</v>
      </c>
      <c r="F824" t="s">
        <f>I824&amp;" "&amp;J824&amp;" "&amp;K824&amp;" "&amp;L824&amp;" "&amp;M824&amp;" "&amp;N824</f>
        <v>649</v>
      </c>
      <c r="G824" t="s">
        <f>TEXT(D824,"mmm dd")</f>
        <v>501</v>
      </c>
      <c r="I824" t="s">
        <v>496</v>
      </c>
      <c r="J824" t="s">
        <v>497</v>
      </c>
      <c r="K824" t="s">
        <v>498</v>
      </c>
      <c r="L824" t="s">
        <v>650</v>
      </c>
    </row>
    <row r="825" spans="1:23">
      <c r="A825">
        <v>12</v>
      </c>
      <c r="B825">
        <v>6</v>
      </c>
      <c r="C825">
        <v>2009</v>
      </c>
      <c r="D825" s="3" t="s">
        <f>B825&amp;"/"&amp;A825&amp;"/"&amp;C825</f>
        <v>1328</v>
      </c>
      <c r="E825">
        <v>1.0208333333333333</v>
      </c>
      <c r="F825" t="str">
        <f>I825&amp;" "&amp;J825&amp;" "&amp;K825&amp;" "&amp;L825&amp;" "&amp;M825&amp;" "&amp;N825</f>
        <v>Open up for Janitor  </v>
      </c>
      <c r="G825" t="s">
        <f>TEXT(D825,"mmm dd")</f>
        <v>501</v>
      </c>
      <c r="I825" t="s">
        <v>1124</v>
      </c>
      <c r="J825" t="s">
        <v>807</v>
      </c>
      <c r="K825" t="s">
        <v>439</v>
      </c>
      <c r="L825" t="inlineStr">
        <is>
          <t>Janitor</t>
        </is>
      </c>
    </row>
    <row r="826" spans="1:23">
      <c r="A826">
        <v>15</v>
      </c>
      <c r="B826">
        <v>6</v>
      </c>
      <c r="C826">
        <v>2009</v>
      </c>
      <c r="D826" s="3" t="s">
        <f>B826&amp;"/"&amp;A826&amp;"/"&amp;C826</f>
        <v>1329</v>
      </c>
      <c r="E826">
        <v>0.22916666666666666</v>
      </c>
      <c r="F826" t="str">
        <f>I826&amp;" "&amp;J826&amp;" "&amp;K826&amp;" "&amp;L826&amp;" "&amp;M826&amp;" "&amp;N826</f>
        <v>Funeral Harry Ushijima   </v>
      </c>
      <c r="G826" t="s">
        <f>TEXT(D826,"mmm dd")</f>
        <v>533</v>
      </c>
      <c r="I826" t="s">
        <v>1135</v>
      </c>
      <c r="J826" t="inlineStr">
        <is>
          <t>Harry</t>
        </is>
      </c>
      <c r="K826" t="inlineStr">
        <is>
          <t>Ushijima</t>
        </is>
      </c>
    </row>
    <row r="827" spans="1:23">
      <c r="A827">
        <v>15</v>
      </c>
      <c r="B827">
        <v>6</v>
      </c>
      <c r="C827">
        <v>2009</v>
      </c>
      <c r="D827" s="3" t="s">
        <f>B827&amp;"/"&amp;A827&amp;"/"&amp;C827</f>
        <v>1329</v>
      </c>
      <c r="E827" t="s">
        <v>42</v>
      </c>
      <c r="F827" t="s">
        <f>I827&amp;" "&amp;J827&amp;" "&amp;K827&amp;" "&amp;L827&amp;" "&amp;M827&amp;" "&amp;N827</f>
        <v>1330</v>
      </c>
      <c r="G827" t="s">
        <f>TEXT(D827,"mmm dd")</f>
        <v>533</v>
      </c>
      <c r="I827" t="s">
        <v>833</v>
      </c>
      <c r="J827" t="s">
        <v>503</v>
      </c>
      <c r="K827" t="s">
        <v>778</v>
      </c>
    </row>
    <row r="828" spans="1:23">
      <c r="A828">
        <v>17</v>
      </c>
      <c r="B828">
        <v>6</v>
      </c>
      <c r="C828">
        <v>2009</v>
      </c>
      <c r="D828" s="3" t="str">
        <f>B828&amp;"/"&amp;A828&amp;"/"&amp;C828</f>
        <v>6/17/2009</v>
      </c>
      <c r="E828">
        <v>0.27083333333333331</v>
      </c>
      <c r="F828" t="str">
        <f>I828&amp;" "&amp;J828&amp;" "&amp;K828&amp;" "&amp;L828&amp;" "&amp;M828&amp;" "&amp;N828</f>
        <v>Mass @ Chaminade   </v>
      </c>
      <c r="G828" t="s">
        <f>TEXT(D828,"mmm dd")</f>
        <v>556</v>
      </c>
      <c r="I828" t="s">
        <v>1273</v>
      </c>
      <c r="J828" t="s">
        <v>48</v>
      </c>
      <c r="K828" t="s">
        <v>1331</v>
      </c>
    </row>
    <row r="829" spans="1:23">
      <c r="A829">
        <v>18</v>
      </c>
      <c r="B829">
        <v>6</v>
      </c>
      <c r="C829">
        <v>2009</v>
      </c>
      <c r="D829" s="3" t="str">
        <f>B829&amp;"/"&amp;A829&amp;"/"&amp;C829</f>
        <v>6/18/2009</v>
      </c>
      <c r="E829">
        <v>0.6875</v>
      </c>
      <c r="F829" t="s">
        <f>I829&amp;" "&amp;J829&amp;" "&amp;K829&amp;" "&amp;L829&amp;" "&amp;M829&amp;" "&amp;N829</f>
        <v>186</v>
      </c>
      <c r="G829" t="s">
        <f>TEXT(D829,"mmm dd")</f>
        <v>558</v>
      </c>
      <c r="I829" t="s">
        <v>188</v>
      </c>
      <c r="J829" t="s">
        <v>189</v>
      </c>
      <c r="K829" t="s">
        <v>190</v>
      </c>
    </row>
    <row r="830" spans="1:23">
      <c r="A830">
        <v>20</v>
      </c>
      <c r="B830">
        <v>6</v>
      </c>
      <c r="C830">
        <v>2009</v>
      </c>
      <c r="D830" s="3" t="str">
        <f>B830&amp;"/"&amp;A830&amp;"/"&amp;C830</f>
        <v>6/20/2009</v>
      </c>
      <c r="E830">
        <v>0.79166666666666663</v>
      </c>
      <c r="F830" t="str">
        <f>I830&amp;" "&amp;J830&amp;" "&amp;K830&amp;" "&amp;L830&amp;" "&amp;M830&amp;" "&amp;N830</f>
        <v>Get up    </v>
      </c>
      <c r="G830" t="s">
        <f>TEXT(D830,"mmm dd")</f>
        <v>566</v>
      </c>
      <c r="I830" t="s">
        <v>1332</v>
      </c>
      <c r="J830" t="s">
        <v>807</v>
      </c>
    </row>
    <row r="831" spans="1:23">
      <c r="A831">
        <v>21</v>
      </c>
      <c r="B831">
        <v>6</v>
      </c>
      <c r="C831">
        <v>2009</v>
      </c>
      <c r="D831" s="3" t="s">
        <f>B831&amp;"/"&amp;A831&amp;"/"&amp;C831</f>
        <v>1333</v>
      </c>
      <c r="E831">
        <v>0.91666666666666663</v>
      </c>
      <c r="F831" t="s">
        <f>I831&amp;" "&amp;J831&amp;" "&amp;K831&amp;" "&amp;L831&amp;" "&amp;M831&amp;" "&amp;N831</f>
        <v>532</v>
      </c>
      <c r="G831" t="s">
        <f>TEXT(D831,"mmm dd")</f>
        <v>568</v>
      </c>
      <c r="I831" t="s">
        <v>534</v>
      </c>
      <c r="J831" t="s">
        <v>10</v>
      </c>
    </row>
    <row r="832" spans="1:23">
      <c r="A832">
        <v>21</v>
      </c>
      <c r="B832">
        <v>6</v>
      </c>
      <c r="C832">
        <v>2009</v>
      </c>
      <c r="D832" s="3" t="s">
        <f>B832&amp;"/"&amp;A832&amp;"/"&amp;C832</f>
        <v>1333</v>
      </c>
      <c r="E832">
        <v>0.25</v>
      </c>
      <c r="F832" t="s">
        <f>I832&amp;" "&amp;J832&amp;" "&amp;K832&amp;" "&amp;L832&amp;" "&amp;M832&amp;" "&amp;N832</f>
        <v>1305</v>
      </c>
      <c r="G832" t="s">
        <f>TEXT(D832,"mmm dd")</f>
        <v>568</v>
      </c>
      <c r="I832" t="s">
        <v>1306</v>
      </c>
      <c r="J832" t="s">
        <v>1036</v>
      </c>
    </row>
    <row r="833" spans="1:23">
      <c r="A833">
        <v>23</v>
      </c>
      <c r="B833">
        <v>6</v>
      </c>
      <c r="C833">
        <v>2009</v>
      </c>
      <c r="D833" s="3" t="str">
        <f>B833&amp;"/"&amp;A833&amp;"/"&amp;C833</f>
        <v>6/23/2009</v>
      </c>
      <c r="E833" t="s">
        <v>42</v>
      </c>
      <c r="F833" t="s">
        <f>I833&amp;" "&amp;J833&amp;" "&amp;K833&amp;" "&amp;L833&amp;" "&amp;M833&amp;" "&amp;N833</f>
        <v>1330</v>
      </c>
      <c r="G833" t="s">
        <f>TEXT(D833,"mmm dd")</f>
        <v>579</v>
      </c>
      <c r="I833" t="s">
        <v>833</v>
      </c>
      <c r="J833" t="s">
        <v>503</v>
      </c>
      <c r="K833" t="s">
        <v>778</v>
      </c>
      <c r="O833" t="s">
        <v>222</v>
      </c>
    </row>
    <row r="834" spans="1:23">
      <c r="A834">
        <v>24</v>
      </c>
      <c r="B834">
        <v>6</v>
      </c>
      <c r="C834">
        <v>2009</v>
      </c>
      <c r="D834" s="3" t="str">
        <f>B834&amp;"/"&amp;A834&amp;"/"&amp;C834</f>
        <v>6/24/2009</v>
      </c>
      <c r="E834">
        <v>0.29166666666666669</v>
      </c>
      <c r="F834" t="s">
        <f>I834&amp;" "&amp;J834&amp;" "&amp;K834&amp;" "&amp;L834&amp;" "&amp;M834&amp;" "&amp;N834</f>
        <v>1205</v>
      </c>
      <c r="G834" t="s">
        <f>TEXT(D834,"mmm dd")</f>
        <v>583</v>
      </c>
      <c r="I834" t="s">
        <v>587</v>
      </c>
      <c r="J834" t="s">
        <v>1081</v>
      </c>
    </row>
    <row r="835" spans="1:23">
      <c r="A835">
        <v>26</v>
      </c>
      <c r="B835">
        <v>6</v>
      </c>
      <c r="C835">
        <v>2009</v>
      </c>
      <c r="D835" s="3" t="s">
        <f>B835&amp;"/"&amp;A835&amp;"/"&amp;C835</f>
        <v>1334</v>
      </c>
      <c r="E835">
        <v>0.3125</v>
      </c>
      <c r="F835" t="s">
        <f>I835&amp;" "&amp;J835&amp;" "&amp;K835&amp;" "&amp;L835&amp;" "&amp;M835&amp;" "&amp;N835</f>
        <v>1270</v>
      </c>
      <c r="G835" t="s">
        <f>TEXT(D835,"mmm dd")</f>
        <v>1335</v>
      </c>
      <c r="I835" t="s">
        <v>907</v>
      </c>
      <c r="J835" t="s">
        <v>1081</v>
      </c>
    </row>
    <row r="836" spans="1:23">
      <c r="A836">
        <v>26</v>
      </c>
      <c r="B836">
        <v>6</v>
      </c>
      <c r="C836">
        <v>2009</v>
      </c>
      <c r="D836" s="3" t="s">
        <f>B836&amp;"/"&amp;A836&amp;"/"&amp;C836</f>
        <v>1334</v>
      </c>
      <c r="E836">
        <v>0.29166666666666669</v>
      </c>
      <c r="F836" t="str">
        <f>I836&amp;" "&amp;J836&amp;" "&amp;K836&amp;" "&amp;L836&amp;" "&amp;M836&amp;" "&amp;N836</f>
        <v>Williams &amp; Mindi @ Chili's </v>
      </c>
      <c r="G836" t="s">
        <f>TEXT(D836,"mmm dd")</f>
        <v>1335</v>
      </c>
      <c r="I836" t="inlineStr">
        <is>
          <t>Williams</t>
        </is>
      </c>
      <c r="J836" t="s">
        <v>73</v>
      </c>
      <c r="K836" t="inlineStr">
        <is>
          <t>Mindi</t>
        </is>
      </c>
      <c r="L836" t="s">
        <v>48</v>
      </c>
      <c r="M836" t="inlineStr">
        <is>
          <t>Chili's</t>
        </is>
      </c>
    </row>
    <row r="837" spans="1:23">
      <c r="A837">
        <v>27</v>
      </c>
      <c r="B837">
        <v>6</v>
      </c>
      <c r="C837">
        <v>2009</v>
      </c>
      <c r="D837" s="3" t="str">
        <f>B837&amp;"/"&amp;A837&amp;"/"&amp;C837</f>
        <v>6/27/2009</v>
      </c>
      <c r="E837">
        <v>1.0833333333333333</v>
      </c>
      <c r="F837" t="str">
        <f>I837&amp;" "&amp;J837&amp;" "&amp;K837&amp;" "&amp;L837&amp;" "&amp;M837&amp;" "&amp;N837</f>
        <v>Lunch w  Gail\  Paul</v>
      </c>
      <c r="G837" t="s">
        <f>TEXT(D837,"mmm dd")</f>
        <v>1336</v>
      </c>
      <c r="I837" t="s">
        <v>813</v>
      </c>
      <c r="J837" t="s">
        <v>591</v>
      </c>
      <c r="L837" t="inlineStr">
        <is>
          <t>Gail\</t>
        </is>
      </c>
      <c r="N837" t="s">
        <v>1337</v>
      </c>
    </row>
    <row r="838" spans="1:23">
      <c r="A838">
        <v>7</v>
      </c>
      <c r="B838">
        <v>7</v>
      </c>
      <c r="C838">
        <v>2009</v>
      </c>
      <c r="D838" s="3" t="str">
        <f>B838&amp;"/"&amp;A838&amp;"/"&amp;C838</f>
        <v>7/7/2009</v>
      </c>
      <c r="E838" t="s">
        <v>42</v>
      </c>
      <c r="F838" t="str">
        <f>I838&amp;" "&amp;J838&amp;" "&amp;K838&amp;" "&amp;L838&amp;" "&amp;M838&amp;" "&amp;N838</f>
        <v>General Convention    </v>
      </c>
      <c r="G838" t="s">
        <f>TEXT(D838,"mmm dd")</f>
        <v>24</v>
      </c>
      <c r="I838" t="inlineStr">
        <is>
          <t>General</t>
        </is>
      </c>
      <c r="J838" t="s">
        <v>1338</v>
      </c>
    </row>
    <row r="839" spans="1:23">
      <c r="A839">
        <v>8</v>
      </c>
      <c r="B839">
        <v>7</v>
      </c>
      <c r="C839">
        <v>2009</v>
      </c>
      <c r="D839" s="3" t="str">
        <f>B839&amp;"/"&amp;A839&amp;"/"&amp;C839</f>
        <v>7/8/2009</v>
      </c>
      <c r="E839">
        <v>0.29166666666666669</v>
      </c>
      <c r="F839" t="s">
        <f>I839&amp;" "&amp;J839&amp;" "&amp;K839&amp;" "&amp;L839&amp;" "&amp;M839&amp;" "&amp;N839</f>
        <v>1205</v>
      </c>
      <c r="G839" t="s">
        <f>TEXT(D839,"mmm dd")</f>
        <v>623</v>
      </c>
      <c r="I839" t="s">
        <v>587</v>
      </c>
      <c r="J839" t="s">
        <v>1081</v>
      </c>
      <c r="O839" t="s">
        <v>222</v>
      </c>
    </row>
    <row r="840" spans="1:23">
      <c r="A840">
        <v>9</v>
      </c>
      <c r="B840">
        <v>7</v>
      </c>
      <c r="C840">
        <v>2009</v>
      </c>
      <c r="D840" s="3" t="str">
        <f>B840&amp;"/"&amp;A840&amp;"/"&amp;C840</f>
        <v>7/9/2009</v>
      </c>
      <c r="E840">
        <v>0.29166666666666669</v>
      </c>
      <c r="F840" t="s">
        <f>I840&amp;" "&amp;J840&amp;" "&amp;K840&amp;" "&amp;L840&amp;" "&amp;M840&amp;" "&amp;N840</f>
        <v>1339</v>
      </c>
      <c r="G840" t="s">
        <f>TEXT(D840,"mmm dd")</f>
        <v>625</v>
      </c>
      <c r="I840" t="s">
        <v>1008</v>
      </c>
    </row>
    <row r="841" spans="1:23">
      <c r="A841">
        <v>11</v>
      </c>
      <c r="B841">
        <v>7</v>
      </c>
      <c r="C841">
        <v>2009</v>
      </c>
      <c r="D841" s="3" t="str">
        <f>B841&amp;"/"&amp;A841&amp;"/"&amp;C841</f>
        <v>7/11/2009</v>
      </c>
      <c r="E841">
        <v>0.16666666666666666</v>
      </c>
      <c r="F841" t="s">
        <f>I841&amp;" "&amp;J841&amp;" "&amp;K841&amp;" "&amp;L841&amp;" "&amp;M841&amp;" "&amp;N841</f>
        <v>937</v>
      </c>
      <c r="G841" t="s">
        <f>TEXT(D841,"mmm dd")</f>
        <v>628</v>
      </c>
      <c r="I841" t="s">
        <v>847</v>
      </c>
      <c r="J841" t="s">
        <v>918</v>
      </c>
    </row>
    <row r="842" spans="1:23">
      <c r="A842">
        <v>12</v>
      </c>
      <c r="B842">
        <v>7</v>
      </c>
      <c r="C842">
        <v>2009</v>
      </c>
      <c r="D842" s="3" t="str">
        <f>B842&amp;"/"&amp;A842&amp;"/"&amp;C842</f>
        <v>7/12/2009</v>
      </c>
      <c r="E842">
        <v>0.9375</v>
      </c>
      <c r="F842" t="s">
        <f>I842&amp;" "&amp;J842&amp;" "&amp;K842&amp;" "&amp;L842&amp;" "&amp;M842&amp;" "&amp;N842</f>
        <v>1059</v>
      </c>
      <c r="G842" t="s">
        <f>TEXT(D842,"mmm dd")</f>
        <v>638</v>
      </c>
      <c r="I842" t="s">
        <v>907</v>
      </c>
      <c r="J842" t="s">
        <v>1061</v>
      </c>
    </row>
    <row r="843" spans="1:23">
      <c r="A843">
        <v>14</v>
      </c>
      <c r="B843">
        <v>7</v>
      </c>
      <c r="C843">
        <v>2009</v>
      </c>
      <c r="D843" s="3" t="str">
        <f>B843&amp;"/"&amp;A843&amp;"/"&amp;C843</f>
        <v>7/14/2009</v>
      </c>
      <c r="E843">
        <v>1.0625</v>
      </c>
      <c r="F843" t="str">
        <f>I843&amp;" "&amp;J843&amp;" "&amp;K843&amp;" "&amp;L843&amp;" "&amp;M843&amp;" "&amp;N843</f>
        <v>Dan Stewart lunch   </v>
      </c>
      <c r="G843" t="s">
        <f>TEXT(D843,"mmm dd")</f>
        <v>1340</v>
      </c>
      <c r="I843" t="s">
        <v>1341</v>
      </c>
      <c r="J843" t="inlineStr">
        <is>
          <t>Stewart</t>
        </is>
      </c>
      <c r="K843" t="s">
        <v>440</v>
      </c>
    </row>
    <row r="844" spans="1:23">
      <c r="A844">
        <v>17</v>
      </c>
      <c r="B844">
        <v>7</v>
      </c>
      <c r="C844">
        <v>2009</v>
      </c>
      <c r="D844" s="3" t="str">
        <f>B844&amp;"/"&amp;A844&amp;"/"&amp;C844</f>
        <v>7/17/2009</v>
      </c>
      <c r="E844">
        <v>0.95833333333333337</v>
      </c>
      <c r="F844" t="s">
        <f>I844&amp;" "&amp;J844&amp;" "&amp;K844&amp;" "&amp;L844&amp;" "&amp;M844&amp;" "&amp;N844</f>
        <v>1342</v>
      </c>
      <c r="G844" t="s">
        <f>TEXT(D844,"mmm dd")</f>
        <v>653</v>
      </c>
      <c r="I844" t="s">
        <v>496</v>
      </c>
      <c r="J844" t="s">
        <v>842</v>
      </c>
      <c r="O844" t="s">
        <v>242</v>
      </c>
      <c r="P844" t="s">
        <v>243</v>
      </c>
      <c r="Q844" t="s">
        <v>244</v>
      </c>
    </row>
    <row r="845" spans="1:23">
      <c r="A845">
        <v>18</v>
      </c>
      <c r="B845">
        <v>7</v>
      </c>
      <c r="C845">
        <v>2009</v>
      </c>
      <c r="D845" s="3" t="s">
        <f>B845&amp;"/"&amp;A845&amp;"/"&amp;C845</f>
        <v>1343</v>
      </c>
      <c r="E845" t="s">
        <v>42</v>
      </c>
      <c r="F845" t="str">
        <f>I845&amp;" "&amp;J845&amp;" "&amp;K845&amp;" "&amp;L845&amp;" "&amp;M845&amp;" "&amp;N845</f>
        <v>SC not meeting (R)  </v>
      </c>
      <c r="G845" t="s">
        <f>TEXT(D845,"mmm dd")</f>
        <v>658</v>
      </c>
      <c r="I845" t="s">
        <v>1301</v>
      </c>
      <c r="J845" t="s">
        <v>1344</v>
      </c>
      <c r="K845" t="s">
        <v>842</v>
      </c>
      <c r="L845" t="s">
        <v>1314</v>
      </c>
    </row>
    <row r="846" spans="1:23">
      <c r="A846">
        <v>18</v>
      </c>
      <c r="B846">
        <v>7</v>
      </c>
      <c r="C846">
        <v>2009</v>
      </c>
      <c r="D846" s="3" t="s">
        <f>B846&amp;"/"&amp;A846&amp;"/"&amp;C846</f>
        <v>1343</v>
      </c>
      <c r="E846">
        <v>1</v>
      </c>
      <c r="F846" t="str">
        <f>I846&amp;" "&amp;J846&amp;" "&amp;K846&amp;" "&amp;L846&amp;" "&amp;M846&amp;" "&amp;N846</f>
        <v>Lunalilo project w  lunch </v>
      </c>
      <c r="G846" t="s">
        <f>TEXT(D846,"mmm dd")</f>
        <v>658</v>
      </c>
      <c r="I846" t="inlineStr">
        <is>
          <t>Lunalilo</t>
        </is>
      </c>
      <c r="J846" t="inlineStr">
        <is>
          <t>project</t>
        </is>
      </c>
      <c r="K846" t="s">
        <v>591</v>
      </c>
      <c r="M846" t="s">
        <v>440</v>
      </c>
    </row>
    <row r="847" spans="1:23">
      <c r="A847">
        <v>19</v>
      </c>
      <c r="B847">
        <v>7</v>
      </c>
      <c r="C847">
        <v>2009</v>
      </c>
      <c r="D847" s="3" t="str">
        <f>B847&amp;"/"&amp;A847&amp;"/"&amp;C847</f>
        <v>7/19/2009</v>
      </c>
      <c r="E847">
        <v>0.29166666666666669</v>
      </c>
      <c r="F847" t="str">
        <f>I847&amp;" "&amp;J847&amp;" "&amp;K847&amp;" "&amp;L847&amp;" "&amp;M847&amp;" "&amp;N847</f>
        <v>Joe Carr's party   </v>
      </c>
      <c r="G847" t="s">
        <f>TEXT(D847,"mmm dd")</f>
        <v>28</v>
      </c>
      <c r="I847" t="s">
        <v>1345</v>
      </c>
      <c r="J847" t="inlineStr">
        <is>
          <t>Carr's</t>
        </is>
      </c>
      <c r="K847" t="s">
        <v>1346</v>
      </c>
    </row>
    <row r="848" spans="1:23">
      <c r="A848">
        <v>20</v>
      </c>
      <c r="B848">
        <v>7</v>
      </c>
      <c r="C848">
        <v>2009</v>
      </c>
      <c r="D848" s="3" t="str">
        <f>B848&amp;"/"&amp;A848&amp;"/"&amp;C848</f>
        <v>7/20/2009</v>
      </c>
      <c r="E848">
        <v>1.0833333333333333</v>
      </c>
      <c r="F848" t="str">
        <f>I848&amp;" "&amp;J848&amp;" "&amp;K848&amp;" "&amp;L848&amp;" "&amp;M848&amp;" "&amp;N848</f>
        <v>Bag presentation @ Lunalilo.  </v>
      </c>
      <c r="G848" t="s">
        <f>TEXT(D848,"mmm dd")</f>
        <v>29</v>
      </c>
      <c r="I848" t="inlineStr">
        <is>
          <t>Bag</t>
        </is>
      </c>
      <c r="J848" t="s">
        <v>1286</v>
      </c>
      <c r="K848" t="s">
        <v>48</v>
      </c>
      <c r="L848" t="inlineStr">
        <is>
          <t>Lunalilo.</t>
        </is>
      </c>
    </row>
    <row r="849" spans="1:23">
      <c r="A849">
        <v>22</v>
      </c>
      <c r="B849">
        <v>7</v>
      </c>
      <c r="C849">
        <v>2009</v>
      </c>
      <c r="D849" s="3" t="s">
        <f>B849&amp;"/"&amp;A849&amp;"/"&amp;C849</f>
        <v>1347</v>
      </c>
      <c r="E849">
        <v>1.0833333333333333</v>
      </c>
      <c r="F849" t="str">
        <f>I849&amp;" "&amp;J849&amp;" "&amp;K849&amp;" "&amp;L849&amp;" "&amp;M849&amp;" "&amp;N849</f>
        <v>Judy Fujii lunch @ St. Mary's</v>
      </c>
      <c r="G849" t="s">
        <f>TEXT(D849,"mmm dd")</f>
        <v>678</v>
      </c>
      <c r="I849" t="s">
        <v>438</v>
      </c>
      <c r="J849" t="inlineStr">
        <is>
          <t>Fujii</t>
        </is>
      </c>
      <c r="K849" t="s">
        <v>440</v>
      </c>
      <c r="L849" t="s">
        <v>48</v>
      </c>
      <c r="M849" t="s">
        <v>218</v>
      </c>
      <c r="N849" t="s">
        <v>265</v>
      </c>
    </row>
    <row r="850" spans="1:23">
      <c r="A850">
        <v>22</v>
      </c>
      <c r="B850">
        <v>7</v>
      </c>
      <c r="C850">
        <v>2009</v>
      </c>
      <c r="D850" s="3" t="s">
        <f>B850&amp;"/"&amp;A850&amp;"/"&amp;C850</f>
        <v>1347</v>
      </c>
      <c r="E850">
        <v>0.125</v>
      </c>
      <c r="F850" t="str">
        <f>I850&amp;" "&amp;J850&amp;" "&amp;K850&amp;" "&amp;L850&amp;" "&amp;M850&amp;" "&amp;N850</f>
        <v>Mary Mercier    </v>
      </c>
      <c r="G850" t="s">
        <f>TEXT(D850,"mmm dd")</f>
        <v>678</v>
      </c>
      <c r="I850" t="s">
        <v>410</v>
      </c>
      <c r="J850" t="inlineStr">
        <is>
          <t>Mercier</t>
        </is>
      </c>
    </row>
    <row r="851" spans="1:23">
      <c r="A851">
        <v>23</v>
      </c>
      <c r="B851">
        <v>7</v>
      </c>
      <c r="C851">
        <v>2009</v>
      </c>
      <c r="D851" s="3" t="s">
        <f>B851&amp;"/"&amp;A851&amp;"/"&amp;C851</f>
        <v>1348</v>
      </c>
      <c r="E851">
        <v>0.91666666666666663</v>
      </c>
      <c r="F851" t="str">
        <f>I851&amp;" "&amp;J851&amp;" "&amp;K851&amp;" "&amp;L851&amp;" "&amp;M851&amp;" "&amp;N851</f>
        <v>Clergy Gather w  Bp @</v>
      </c>
      <c r="G851" t="s">
        <f>TEXT(D851,"mmm dd")</f>
        <v>681</v>
      </c>
      <c r="I851" t="s">
        <v>46</v>
      </c>
      <c r="J851" t="inlineStr">
        <is>
          <t>Gather</t>
        </is>
      </c>
      <c r="K851" t="s">
        <v>591</v>
      </c>
      <c r="M851" t="s">
        <v>1349</v>
      </c>
      <c r="N851" t="s">
        <v>48</v>
      </c>
    </row>
    <row r="852" spans="1:23">
      <c r="A852">
        <v>23</v>
      </c>
      <c r="B852">
        <v>7</v>
      </c>
      <c r="C852">
        <v>2009</v>
      </c>
      <c r="D852" s="3" t="s">
        <f>B852&amp;"/"&amp;A852&amp;"/"&amp;C852</f>
        <v>1348</v>
      </c>
      <c r="E852" t="s">
        <v>42</v>
      </c>
      <c r="F852" t="str">
        <f>I852&amp;" "&amp;J852&amp;" "&amp;K852&amp;" "&amp;L852&amp;" "&amp;M852&amp;" "&amp;N852</f>
        <v>Gail getting angiogram   </v>
      </c>
      <c r="G852" t="s">
        <f>TEXT(D852,"mmm dd")</f>
        <v>681</v>
      </c>
      <c r="I852" t="s">
        <v>1350</v>
      </c>
      <c r="J852" t="inlineStr">
        <is>
          <t>getting</t>
        </is>
      </c>
      <c r="K852" t="inlineStr">
        <is>
          <t>angiogram</t>
        </is>
      </c>
    </row>
    <row r="853" spans="1:23">
      <c r="A853">
        <v>25</v>
      </c>
      <c r="B853">
        <v>7</v>
      </c>
      <c r="C853">
        <v>2009</v>
      </c>
      <c r="D853" s="3" t="s">
        <f>B853&amp;"/"&amp;A853&amp;"/"&amp;C853</f>
        <v>1351</v>
      </c>
      <c r="E853">
        <v>0.91666666666666663</v>
      </c>
      <c r="F853" t="str">
        <f>I853&amp;" "&amp;J853&amp;" "&amp;K853&amp;" "&amp;L853&amp;" "&amp;M853&amp;" "&amp;N853</f>
        <v>Standing Commitee (Rescheduled)   </v>
      </c>
      <c r="G853" t="s">
        <f>TEXT(D853,"mmm dd")</f>
        <v>25</v>
      </c>
      <c r="I853" t="s">
        <v>1121</v>
      </c>
      <c r="J853" t="s">
        <v>1122</v>
      </c>
      <c r="K853" t="inlineStr">
        <is>
          <t>(Rescheduled)</t>
        </is>
      </c>
    </row>
    <row r="854" spans="1:23">
      <c r="A854">
        <v>25</v>
      </c>
      <c r="B854">
        <v>7</v>
      </c>
      <c r="C854">
        <v>2009</v>
      </c>
      <c r="D854" s="3" t="s">
        <f>B854&amp;"/"&amp;A854&amp;"/"&amp;C854</f>
        <v>1351</v>
      </c>
      <c r="E854">
        <v>0.91666666666666663</v>
      </c>
      <c r="F854" t="str">
        <f>I854&amp;" "&amp;J854&amp;" "&amp;K854&amp;" "&amp;L854&amp;" "&amp;M854&amp;" "&amp;N854</f>
        <v>Standing Committee rescheduled   </v>
      </c>
      <c r="G854" t="s">
        <f>TEXT(D854,"mmm dd")</f>
        <v>25</v>
      </c>
      <c r="I854" t="s">
        <v>1121</v>
      </c>
      <c r="J854" t="s">
        <v>1081</v>
      </c>
      <c r="K854" t="s">
        <v>1352</v>
      </c>
    </row>
    <row r="855" spans="1:23">
      <c r="A855">
        <v>26</v>
      </c>
      <c r="B855">
        <v>7</v>
      </c>
      <c r="C855">
        <v>2009</v>
      </c>
      <c r="D855" s="3" t="str">
        <f>B855&amp;"/"&amp;A855&amp;"/"&amp;C855</f>
        <v>7/26/2009</v>
      </c>
      <c r="E855" t="s">
        <v>42</v>
      </c>
      <c r="F855" t="s">
        <f>I855&amp;" "&amp;J855&amp;" "&amp;K855&amp;" "&amp;L855&amp;" "&amp;M855&amp;" "&amp;N855</f>
        <v>1315</v>
      </c>
      <c r="G855" t="s">
        <f>TEXT(D855,"mmm dd")</f>
        <v>27</v>
      </c>
      <c r="I855" t="s">
        <v>1316</v>
      </c>
      <c r="J855" t="s">
        <v>718</v>
      </c>
    </row>
    <row r="856" spans="1:23">
      <c r="A856">
        <v>27</v>
      </c>
      <c r="B856">
        <v>7</v>
      </c>
      <c r="C856">
        <v>2009</v>
      </c>
      <c r="D856" s="3" t="s">
        <f>B856&amp;"/"&amp;A856&amp;"/"&amp;C856</f>
        <v>1353</v>
      </c>
      <c r="E856">
        <v>0.45833333333333331</v>
      </c>
      <c r="F856" t="s">
        <f>I856&amp;" "&amp;J856&amp;" "&amp;K856&amp;" "&amp;L856&amp;" "&amp;M856&amp;" "&amp;N856</f>
        <v>1315</v>
      </c>
      <c r="G856" t="s">
        <f>TEXT(D856,"mmm dd")</f>
        <v>699</v>
      </c>
      <c r="I856" t="s">
        <v>1316</v>
      </c>
      <c r="J856" t="s">
        <v>718</v>
      </c>
    </row>
    <row r="857" spans="1:23">
      <c r="A857">
        <v>27</v>
      </c>
      <c r="B857">
        <v>7</v>
      </c>
      <c r="C857">
        <v>2009</v>
      </c>
      <c r="D857" s="3" t="s">
        <f>B857&amp;"/"&amp;A857&amp;"/"&amp;C857</f>
        <v>1353</v>
      </c>
      <c r="E857" t="s">
        <v>42</v>
      </c>
      <c r="F857" t="s">
        <f>I857&amp;" "&amp;J857&amp;" "&amp;K857&amp;" "&amp;L857&amp;" "&amp;M857&amp;" "&amp;N857</f>
        <v>1315</v>
      </c>
      <c r="G857" t="s">
        <f>TEXT(D857,"mmm dd")</f>
        <v>699</v>
      </c>
      <c r="I857" t="s">
        <v>1316</v>
      </c>
      <c r="J857" t="s">
        <v>718</v>
      </c>
      <c r="O857">
        <v>10</v>
      </c>
      <c r="P857" t="s">
        <v>600</v>
      </c>
    </row>
    <row r="858" spans="1:23">
      <c r="A858">
        <v>29</v>
      </c>
      <c r="B858">
        <v>7</v>
      </c>
      <c r="C858">
        <v>2009</v>
      </c>
      <c r="D858" s="3" t="str">
        <f>B858&amp;"/"&amp;A858&amp;"/"&amp;C858</f>
        <v>7/29/2009</v>
      </c>
      <c r="E858">
        <v>0.8125</v>
      </c>
      <c r="F858" t="str">
        <f>I858&amp;" "&amp;J858&amp;" "&amp;K858&amp;" "&amp;L858&amp;" "&amp;M858&amp;" "&amp;N858</f>
        <v>Hugh to golf   </v>
      </c>
      <c r="G858" t="s">
        <f>TEXT(D858,"mmm dd")</f>
        <v>705</v>
      </c>
      <c r="I858" t="s">
        <v>1003</v>
      </c>
      <c r="J858" t="s">
        <v>449</v>
      </c>
      <c r="K858" t="s">
        <v>1004</v>
      </c>
    </row>
    <row r="859" spans="1:23">
      <c r="A859">
        <v>30</v>
      </c>
      <c r="B859">
        <v>7</v>
      </c>
      <c r="C859">
        <v>2009</v>
      </c>
      <c r="D859" s="3" t="str">
        <f>B859&amp;"/"&amp;A859&amp;"/"&amp;C859</f>
        <v>7/30/2009</v>
      </c>
      <c r="E859">
        <v>0.125</v>
      </c>
      <c r="F859" t="str">
        <f>I859&amp;" "&amp;J859&amp;" "&amp;K859&amp;" "&amp;L859&amp;" "&amp;M859&amp;" "&amp;N859</f>
        <v>Lydia to doctor   </v>
      </c>
      <c r="G859" t="s">
        <f>TEXT(D859,"mmm dd")</f>
        <v>709</v>
      </c>
      <c r="I859" t="s">
        <v>772</v>
      </c>
      <c r="J859" t="s">
        <v>449</v>
      </c>
      <c r="K859" t="s">
        <v>1354</v>
      </c>
    </row>
    <row r="860" spans="1:23">
      <c r="A860">
        <v>31</v>
      </c>
      <c r="B860">
        <v>7</v>
      </c>
      <c r="C860">
        <v>2009</v>
      </c>
      <c r="D860" s="3" t="str">
        <f>B860&amp;"/"&amp;A860&amp;"/"&amp;C860</f>
        <v>7/31/2009</v>
      </c>
      <c r="E860">
        <v>0.94444444444444442</v>
      </c>
      <c r="F860" t="str">
        <f>I860&amp;" "&amp;J860&amp;" "&amp;K860&amp;" "&amp;L860&amp;" "&amp;M860&amp;" "&amp;N860</f>
        <v>Lydia to HK   </v>
      </c>
      <c r="G860" t="s">
        <f>TEXT(D860,"mmm dd")</f>
        <v>714</v>
      </c>
      <c r="I860" t="s">
        <v>772</v>
      </c>
      <c r="J860" t="s">
        <v>449</v>
      </c>
      <c r="K860" t="s">
        <v>1355</v>
      </c>
    </row>
    <row r="861" spans="1:23">
      <c r="A861">
        <v>1</v>
      </c>
      <c r="B861">
        <v>8</v>
      </c>
      <c r="C861">
        <v>2009</v>
      </c>
      <c r="D861" s="3" t="s">
        <f>B861&amp;"/"&amp;A861&amp;"/"&amp;C861</f>
        <v>1356</v>
      </c>
      <c r="E861">
        <v>0.91666666666666663</v>
      </c>
      <c r="F861" t="s">
        <f>I861&amp;" "&amp;J861&amp;" "&amp;K861&amp;" "&amp;L861&amp;" "&amp;M861&amp;" "&amp;N861</f>
        <v>1319</v>
      </c>
      <c r="G861" t="s">
        <f>TEXT(D861,"mmm dd")</f>
        <v>1357</v>
      </c>
      <c r="I861" t="s">
        <v>730</v>
      </c>
      <c r="J861" t="s">
        <v>135</v>
      </c>
      <c r="K861" t="s">
        <v>1320</v>
      </c>
    </row>
    <row r="862" spans="1:23">
      <c r="A862">
        <v>1</v>
      </c>
      <c r="B862">
        <v>8</v>
      </c>
      <c r="C862">
        <v>2009</v>
      </c>
      <c r="D862" s="3" t="s">
        <f>B862&amp;"/"&amp;A862&amp;"/"&amp;C862</f>
        <v>1356</v>
      </c>
      <c r="E862">
        <v>0.25</v>
      </c>
      <c r="F862" t="s">
        <f>I862&amp;" "&amp;J862&amp;" "&amp;K862&amp;" "&amp;L862&amp;" "&amp;M862&amp;" "&amp;N862</f>
        <v>1358</v>
      </c>
      <c r="G862" t="s">
        <f>TEXT(D862,"mmm dd")</f>
        <v>1357</v>
      </c>
      <c r="I862" t="s">
        <v>1003</v>
      </c>
      <c r="J862" t="s">
        <v>908</v>
      </c>
    </row>
    <row r="863" spans="1:23">
      <c r="A863">
        <v>1</v>
      </c>
      <c r="B863">
        <v>8</v>
      </c>
      <c r="C863">
        <v>2009</v>
      </c>
      <c r="D863" s="3" t="s">
        <f>B863&amp;"/"&amp;A863&amp;"/"&amp;C863</f>
        <v>1356</v>
      </c>
      <c r="E863" t="s">
        <v>42</v>
      </c>
      <c r="F863" t="s">
        <f>I863&amp;" "&amp;J863&amp;" "&amp;K863&amp;" "&amp;L863&amp;" "&amp;M863&amp;" "&amp;N863</f>
        <v>1358</v>
      </c>
      <c r="G863" t="s">
        <f>TEXT(D863,"mmm dd")</f>
        <v>1357</v>
      </c>
      <c r="I863" t="s">
        <v>1003</v>
      </c>
      <c r="J863" t="s">
        <v>908</v>
      </c>
    </row>
    <row r="864" spans="1:23">
      <c r="A864">
        <v>1</v>
      </c>
      <c r="B864">
        <v>8</v>
      </c>
      <c r="C864">
        <v>2009</v>
      </c>
      <c r="D864" s="3" t="s">
        <f>B864&amp;"/"&amp;A864&amp;"/"&amp;C864</f>
        <v>1356</v>
      </c>
      <c r="E864">
        <v>0.25</v>
      </c>
      <c r="F864" t="s">
        <f>I864&amp;" "&amp;J864&amp;" "&amp;K864&amp;" "&amp;L864&amp;" "&amp;M864&amp;" "&amp;N864</f>
        <v>1358</v>
      </c>
      <c r="G864" t="s">
        <f>TEXT(D864,"mmm dd")</f>
        <v>1357</v>
      </c>
      <c r="I864" t="s">
        <v>1003</v>
      </c>
      <c r="J864" t="s">
        <v>908</v>
      </c>
    </row>
    <row r="865" spans="1:23">
      <c r="A865">
        <v>1</v>
      </c>
      <c r="B865">
        <v>8</v>
      </c>
      <c r="C865">
        <v>2009</v>
      </c>
      <c r="D865" s="3" t="s">
        <f>B865&amp;"/"&amp;A865&amp;"/"&amp;C865</f>
        <v>1356</v>
      </c>
      <c r="E865">
        <v>0.91666666666666663</v>
      </c>
      <c r="F865" t="s">
        <f>I865&amp;" "&amp;J865&amp;" "&amp;K865&amp;" "&amp;L865&amp;" "&amp;M865&amp;" "&amp;N865</f>
        <v>1358</v>
      </c>
      <c r="G865" t="s">
        <f>TEXT(D865,"mmm dd")</f>
        <v>1357</v>
      </c>
      <c r="I865" t="s">
        <v>1003</v>
      </c>
      <c r="J865" t="s">
        <v>908</v>
      </c>
    </row>
    <row r="866" spans="1:23">
      <c r="A866">
        <v>1</v>
      </c>
      <c r="B866">
        <v>8</v>
      </c>
      <c r="C866">
        <v>2009</v>
      </c>
      <c r="D866" s="3" t="s">
        <f>B866&amp;"/"&amp;A866&amp;"/"&amp;C866</f>
        <v>1356</v>
      </c>
      <c r="E866">
        <v>0.125</v>
      </c>
      <c r="F866" t="str">
        <f>I866&amp;" "&amp;J866&amp;" "&amp;K866&amp;" "&amp;L866&amp;" "&amp;M866&amp;" "&amp;N866</f>
        <v>Lydia to POB   </v>
      </c>
      <c r="G866" t="s">
        <f>TEXT(D866,"mmm dd")</f>
        <v>1357</v>
      </c>
      <c r="I866" t="s">
        <v>772</v>
      </c>
      <c r="J866" t="s">
        <v>449</v>
      </c>
      <c r="K866" t="inlineStr">
        <is>
          <t>POB</t>
        </is>
      </c>
    </row>
    <row r="867" spans="1:23">
      <c r="A867">
        <v>1</v>
      </c>
      <c r="B867">
        <v>8</v>
      </c>
      <c r="C867">
        <v>2009</v>
      </c>
      <c r="D867" s="3" t="s">
        <f>B867&amp;"/"&amp;A867&amp;"/"&amp;C867</f>
        <v>1356</v>
      </c>
      <c r="E867">
        <v>0.875</v>
      </c>
      <c r="F867" t="str">
        <f>I867&amp;" "&amp;J867&amp;" "&amp;K867&amp;" "&amp;L867&amp;" "&amp;M867&amp;" "&amp;N867</f>
        <v>Lydia admitting    </v>
      </c>
      <c r="G867" t="s">
        <f>TEXT(D867,"mmm dd")</f>
        <v>1357</v>
      </c>
      <c r="I867" t="s">
        <v>772</v>
      </c>
      <c r="J867" t="inlineStr">
        <is>
          <t>admitting</t>
        </is>
      </c>
    </row>
    <row r="868" spans="1:23">
      <c r="A868">
        <v>1</v>
      </c>
      <c r="B868">
        <v>8</v>
      </c>
      <c r="C868">
        <v>2009</v>
      </c>
      <c r="D868" s="3" t="s">
        <f>B868&amp;"/"&amp;A868&amp;"/"&amp;C868</f>
        <v>1356</v>
      </c>
      <c r="E868">
        <v>0.89583333333333337</v>
      </c>
      <c r="F868" t="str">
        <f>I868&amp;" "&amp;J868&amp;" "&amp;K868&amp;" "&amp;L868&amp;" "&amp;M868&amp;" "&amp;N868</f>
        <v>Surgery room    </v>
      </c>
      <c r="G868" t="s">
        <f>TEXT(D868,"mmm dd")</f>
        <v>1357</v>
      </c>
      <c r="I868" t="inlineStr">
        <is>
          <t>Surgery</t>
        </is>
      </c>
      <c r="J868" t="s">
        <v>830</v>
      </c>
    </row>
    <row r="869" spans="1:23">
      <c r="A869">
        <v>1</v>
      </c>
      <c r="B869">
        <v>8</v>
      </c>
      <c r="C869">
        <v>2009</v>
      </c>
      <c r="D869" s="3" t="s">
        <f>B869&amp;"/"&amp;A869&amp;"/"&amp;C869</f>
        <v>1356</v>
      </c>
      <c r="E869">
        <v>0.97916666666666663</v>
      </c>
      <c r="F869" t="str">
        <f>I869&amp;" "&amp;J869&amp;" "&amp;K869&amp;" "&amp;L869&amp;" "&amp;M869&amp;" "&amp;N869</f>
        <v>S. scheduled    </v>
      </c>
      <c r="G869" t="s">
        <f>TEXT(D869,"mmm dd")</f>
        <v>1357</v>
      </c>
      <c r="I869" t="inlineStr">
        <is>
          <t>S.</t>
        </is>
      </c>
      <c r="J869" t="inlineStr">
        <is>
          <t>scheduled</t>
        </is>
      </c>
      <c r="O869" t="s">
        <v>726</v>
      </c>
      <c r="P869" t="inlineStr">
        <is>
          <t>aiea.</t>
        </is>
      </c>
    </row>
    <row r="870" spans="1:23">
      <c r="A870">
        <v>2</v>
      </c>
      <c r="B870">
        <v>8</v>
      </c>
      <c r="C870">
        <v>2009</v>
      </c>
      <c r="D870" s="3" t="s">
        <f>B870&amp;"/"&amp;A870&amp;"/"&amp;C870</f>
        <v>1359</v>
      </c>
      <c r="E870" t="s">
        <v>42</v>
      </c>
      <c r="F870" t="s">
        <f>I870&amp;" "&amp;J870&amp;" "&amp;K870&amp;" "&amp;L870&amp;" "&amp;M870&amp;" "&amp;N870</f>
        <v>1358</v>
      </c>
      <c r="G870" t="s">
        <f>TEXT(D870,"mmm dd")</f>
        <v>724</v>
      </c>
      <c r="I870" t="s">
        <v>1003</v>
      </c>
      <c r="J870" t="s">
        <v>908</v>
      </c>
    </row>
    <row r="871" spans="1:23">
      <c r="A871">
        <v>2</v>
      </c>
      <c r="B871">
        <v>8</v>
      </c>
      <c r="C871">
        <v>2009</v>
      </c>
      <c r="D871" s="3" t="s">
        <f>B871&amp;"/"&amp;A871&amp;"/"&amp;C871</f>
        <v>1359</v>
      </c>
      <c r="E871">
        <v>0.875</v>
      </c>
      <c r="F871" t="str">
        <f>I871&amp;" "&amp;J871&amp;" "&amp;K871&amp;" "&amp;L871&amp;" "&amp;M871&amp;" "&amp;N871</f>
        <v>Hugh preach    </v>
      </c>
      <c r="G871" t="s">
        <f>TEXT(D871,"mmm dd")</f>
        <v>724</v>
      </c>
      <c r="I871" t="s">
        <v>1003</v>
      </c>
      <c r="J871" t="s">
        <v>1360</v>
      </c>
    </row>
    <row r="872" spans="1:23">
      <c r="A872">
        <v>5</v>
      </c>
      <c r="B872">
        <v>8</v>
      </c>
      <c r="C872">
        <v>2009</v>
      </c>
      <c r="D872" s="3" t="str">
        <f>B872&amp;"/"&amp;A872&amp;"/"&amp;C872</f>
        <v>8/5/2009</v>
      </c>
      <c r="E872">
        <v>0.19791666666666666</v>
      </c>
      <c r="F872" t="s">
        <f>I872&amp;" "&amp;J872&amp;" "&amp;K872&amp;" "&amp;L872&amp;" "&amp;M872&amp;" "&amp;N872</f>
        <v>1248</v>
      </c>
      <c r="G872" t="s">
        <f>TEXT(D872,"mmm dd")</f>
        <v>1361</v>
      </c>
      <c r="I872" t="s">
        <v>847</v>
      </c>
      <c r="J872" t="s">
        <v>647</v>
      </c>
    </row>
    <row r="873" spans="1:23">
      <c r="A873">
        <v>6</v>
      </c>
      <c r="B873">
        <v>8</v>
      </c>
      <c r="C873">
        <v>2009</v>
      </c>
      <c r="D873" s="3" t="str">
        <f>B873&amp;"/"&amp;A873&amp;"/"&amp;C873</f>
        <v>8/6/2009</v>
      </c>
      <c r="E873">
        <v>0.17708333333333334</v>
      </c>
      <c r="F873" t="str">
        <f>I873&amp;" "&amp;J873&amp;" "&amp;K873&amp;" "&amp;L873&amp;" "&amp;M873&amp;" "&amp;N873</f>
        <v>Lydia post op   </v>
      </c>
      <c r="G873" t="s">
        <f>TEXT(D873,"mmm dd")</f>
        <v>1362</v>
      </c>
      <c r="I873" t="s">
        <v>772</v>
      </c>
      <c r="J873" t="s">
        <v>1363</v>
      </c>
      <c r="K873" t="s">
        <v>1364</v>
      </c>
    </row>
    <row r="874" spans="1:23">
      <c r="A874">
        <v>8</v>
      </c>
      <c r="B874">
        <v>8</v>
      </c>
      <c r="C874">
        <v>2009</v>
      </c>
      <c r="D874" s="3" t="s">
        <f>B874&amp;"/"&amp;A874&amp;"/"&amp;C874</f>
        <v>1365</v>
      </c>
      <c r="E874">
        <v>0.91666666666666663</v>
      </c>
      <c r="F874" t="str">
        <f>I874&amp;" "&amp;J874&amp;" "&amp;K874&amp;" "&amp;L874&amp;" "&amp;M874&amp;" "&amp;N874</f>
        <v>Standing Commitee (R)   </v>
      </c>
      <c r="G874" t="s">
        <f>TEXT(D874,"mmm dd")</f>
        <v>1366</v>
      </c>
      <c r="I874" t="s">
        <v>1121</v>
      </c>
      <c r="J874" t="s">
        <v>1122</v>
      </c>
      <c r="K874" t="s">
        <v>1314</v>
      </c>
    </row>
    <row r="875" spans="1:23">
      <c r="A875">
        <v>8</v>
      </c>
      <c r="B875">
        <v>8</v>
      </c>
      <c r="C875">
        <v>2009</v>
      </c>
      <c r="D875" s="3" t="s">
        <f>B875&amp;"/"&amp;A875&amp;"/"&amp;C875</f>
        <v>1365</v>
      </c>
      <c r="E875">
        <v>0.91666666666666663</v>
      </c>
      <c r="F875" t="str">
        <f>I875&amp;" "&amp;J875&amp;" "&amp;K875&amp;" "&amp;L875&amp;" "&amp;M875&amp;" "&amp;N875</f>
        <v>Standing Committee (R)   </v>
      </c>
      <c r="G875" t="s">
        <f>TEXT(D875,"mmm dd")</f>
        <v>1366</v>
      </c>
      <c r="I875" t="s">
        <v>1121</v>
      </c>
      <c r="J875" t="s">
        <v>1081</v>
      </c>
      <c r="K875" t="s">
        <v>1314</v>
      </c>
    </row>
    <row r="876" spans="1:23">
      <c r="A876">
        <v>8</v>
      </c>
      <c r="B876">
        <v>8</v>
      </c>
      <c r="C876">
        <v>2009</v>
      </c>
      <c r="D876" s="3" t="s">
        <f>B876&amp;"/"&amp;A876&amp;"/"&amp;C876</f>
        <v>1365</v>
      </c>
      <c r="E876">
        <v>1</v>
      </c>
      <c r="F876" t="s">
        <f>I876&amp;" "&amp;J876&amp;" "&amp;K876&amp;" "&amp;L876&amp;" "&amp;M876&amp;" "&amp;N876</f>
        <v>808</v>
      </c>
      <c r="G876" t="s">
        <f>TEXT(D876,"mmm dd")</f>
        <v>1366</v>
      </c>
      <c r="I876" t="s">
        <v>809</v>
      </c>
      <c r="O876" t="s">
        <v>324</v>
      </c>
      <c r="P876" t="s">
        <v>137</v>
      </c>
    </row>
    <row r="877" spans="1:23">
      <c r="A877">
        <v>10</v>
      </c>
      <c r="B877">
        <v>8</v>
      </c>
      <c r="C877">
        <v>2009</v>
      </c>
      <c r="D877" s="3" t="str">
        <f>B877&amp;"/"&amp;A877&amp;"/"&amp;C877</f>
        <v>8/10/2009</v>
      </c>
      <c r="E877">
        <v>0.875</v>
      </c>
      <c r="F877" t="str">
        <f>I877&amp;" "&amp;J877&amp;" "&amp;K877&amp;" "&amp;L877&amp;" "&amp;M877&amp;" "&amp;N877</f>
        <v>Cable installation @ house  </v>
      </c>
      <c r="G877" t="s">
        <f>TEXT(D877,"mmm dd")</f>
        <v>734</v>
      </c>
      <c r="I877" t="inlineStr">
        <is>
          <t>Cable</t>
        </is>
      </c>
      <c r="J877" t="s">
        <v>1367</v>
      </c>
      <c r="K877" t="s">
        <v>48</v>
      </c>
      <c r="L877" t="s">
        <v>726</v>
      </c>
    </row>
    <row r="878" spans="1:23">
      <c r="A878">
        <v>15</v>
      </c>
      <c r="B878">
        <v>8</v>
      </c>
      <c r="C878">
        <v>2009</v>
      </c>
      <c r="D878" s="3" t="s">
        <f>B878&amp;"/"&amp;A878&amp;"/"&amp;C878</f>
        <v>1368</v>
      </c>
      <c r="E878" t="s">
        <v>42</v>
      </c>
      <c r="F878" t="str">
        <f>I878&amp;" "&amp;J878&amp;" "&amp;K878&amp;" "&amp;L878&amp;" "&amp;M878&amp;" "&amp;N878</f>
        <v>SC not meet (R)  </v>
      </c>
      <c r="G878" t="s">
        <f>TEXT(D878,"mmm dd")</f>
        <v>776</v>
      </c>
      <c r="I878" t="s">
        <v>1301</v>
      </c>
      <c r="J878" t="s">
        <v>1344</v>
      </c>
      <c r="K878" t="s">
        <v>1210</v>
      </c>
      <c r="L878" t="s">
        <v>1314</v>
      </c>
    </row>
    <row r="879" spans="1:23">
      <c r="A879">
        <v>15</v>
      </c>
      <c r="B879">
        <v>8</v>
      </c>
      <c r="C879">
        <v>2009</v>
      </c>
      <c r="D879" s="3" t="s">
        <f>B879&amp;"/"&amp;A879&amp;"/"&amp;C879</f>
        <v>1368</v>
      </c>
      <c r="E879">
        <v>0.875</v>
      </c>
      <c r="F879" t="str">
        <f>I879&amp;" "&amp;J879&amp;" "&amp;K879&amp;" "&amp;L879&amp;" "&amp;M879&amp;" "&amp;N879</f>
        <v>Painting Day    </v>
      </c>
      <c r="G879" t="s">
        <f>TEXT(D879,"mmm dd")</f>
        <v>776</v>
      </c>
      <c r="I879" t="inlineStr">
        <is>
          <t>Painting</t>
        </is>
      </c>
      <c r="J879" t="s">
        <v>10</v>
      </c>
    </row>
    <row r="880" spans="1:23">
      <c r="A880">
        <v>15</v>
      </c>
      <c r="B880">
        <v>8</v>
      </c>
      <c r="C880">
        <v>2009</v>
      </c>
      <c r="D880" s="3" t="s">
        <f>B880&amp;"/"&amp;A880&amp;"/"&amp;C880</f>
        <v>1368</v>
      </c>
      <c r="E880">
        <v>0.16666666666666666</v>
      </c>
      <c r="F880" t="str">
        <f>I880&amp;" "&amp;J880&amp;" "&amp;K880&amp;" "&amp;L880&amp;" "&amp;M880&amp;" "&amp;N880</f>
        <v>Get Lydia's permit   </v>
      </c>
      <c r="G880" t="s">
        <f>TEXT(D880,"mmm dd")</f>
        <v>776</v>
      </c>
      <c r="I880" t="s">
        <v>1332</v>
      </c>
      <c r="J880" t="s">
        <v>1369</v>
      </c>
      <c r="K880" t="inlineStr">
        <is>
          <t>permit</t>
        </is>
      </c>
      <c r="O880" t="s">
        <v>55</v>
      </c>
    </row>
    <row r="881" spans="1:23">
      <c r="A881">
        <v>20</v>
      </c>
      <c r="B881">
        <v>8</v>
      </c>
      <c r="C881">
        <v>2009</v>
      </c>
      <c r="D881" s="3" t="str">
        <f>B881&amp;"/"&amp;A881&amp;"/"&amp;C881</f>
        <v>8/20/2009</v>
      </c>
      <c r="E881" t="s">
        <v>42</v>
      </c>
      <c r="F881" t="str">
        <f>I881&amp;" "&amp;J881&amp;" "&amp;K881&amp;" "&amp;L881&amp;" "&amp;M881&amp;" "&amp;N881</f>
        <v>Life in the Spirit HIM </v>
      </c>
      <c r="G881" t="s">
        <f>TEXT(D881,"mmm dd")</f>
        <v>812</v>
      </c>
      <c r="I881" t="s">
        <v>1303</v>
      </c>
      <c r="J881" t="s">
        <v>372</v>
      </c>
      <c r="K881" t="s">
        <v>139</v>
      </c>
      <c r="L881" t="inlineStr">
        <is>
          <t>Spirit</t>
        </is>
      </c>
      <c r="M881" t="s">
        <v>1245</v>
      </c>
      <c r="O881" t="s">
        <v>410</v>
      </c>
    </row>
    <row r="882" spans="1:23">
      <c r="A882">
        <v>21</v>
      </c>
      <c r="B882">
        <v>8</v>
      </c>
      <c r="C882">
        <v>2009</v>
      </c>
      <c r="D882" s="3" t="str">
        <f>B882&amp;"/"&amp;A882&amp;"/"&amp;C882</f>
        <v>8/21/2009</v>
      </c>
      <c r="E882">
        <v>0.95833333333333337</v>
      </c>
      <c r="F882" t="str">
        <f>I882&amp;" "&amp;J882&amp;" "&amp;K882&amp;" "&amp;L882&amp;" "&amp;M882&amp;" "&amp;N882</f>
        <v>Kia Rust Module   </v>
      </c>
      <c r="G882" t="s">
        <f>TEXT(D882,"mmm dd")</f>
        <v>818</v>
      </c>
      <c r="I882" t="s">
        <v>1370</v>
      </c>
      <c r="J882" t="inlineStr">
        <is>
          <t>Rust</t>
        </is>
      </c>
      <c r="K882" t="s">
        <v>1371</v>
      </c>
    </row>
    <row r="883" spans="1:23">
      <c r="A883">
        <v>24</v>
      </c>
      <c r="B883">
        <v>8</v>
      </c>
      <c r="C883">
        <v>2009</v>
      </c>
      <c r="D883" s="3" t="str">
        <f>B883&amp;"/"&amp;A883&amp;"/"&amp;C883</f>
        <v>8/24/2009</v>
      </c>
      <c r="E883">
        <v>0.125</v>
      </c>
      <c r="F883" t="str">
        <f>I883&amp;" "&amp;J883&amp;" "&amp;K883&amp;" "&amp;L883&amp;" "&amp;M883&amp;" "&amp;N883</f>
        <v>Budget meeting @ St. And. </v>
      </c>
      <c r="G883" t="s">
        <f>TEXT(D883,"mmm dd")</f>
        <v>1372</v>
      </c>
      <c r="I883" t="s">
        <v>1373</v>
      </c>
      <c r="J883" t="s">
        <v>842</v>
      </c>
      <c r="K883" t="s">
        <v>48</v>
      </c>
      <c r="L883" t="s">
        <v>218</v>
      </c>
      <c r="M883" t="inlineStr">
        <is>
          <t>And.</t>
        </is>
      </c>
    </row>
    <row r="884" spans="1:23">
      <c r="A884">
        <v>27</v>
      </c>
      <c r="B884">
        <v>8</v>
      </c>
      <c r="C884">
        <v>2009</v>
      </c>
      <c r="D884" s="3" t="str">
        <f>B884&amp;"/"&amp;A884&amp;"/"&amp;C884</f>
        <v>8/27/2009</v>
      </c>
      <c r="E884">
        <v>1.0416666666666667</v>
      </c>
      <c r="F884" t="str">
        <f>I884&amp;" "&amp;J884&amp;" "&amp;K884&amp;" "&amp;L884&amp;" "&amp;M884&amp;" "&amp;N884</f>
        <v>Kumura Funeral    </v>
      </c>
      <c r="G884" t="s">
        <f>TEXT(D884,"mmm dd")</f>
        <v>1374</v>
      </c>
      <c r="I884" t="s">
        <v>809</v>
      </c>
      <c r="J884" t="s">
        <v>1135</v>
      </c>
    </row>
    <row r="885" spans="1:23">
      <c r="A885">
        <v>28</v>
      </c>
      <c r="B885">
        <v>8</v>
      </c>
      <c r="C885">
        <v>2009</v>
      </c>
      <c r="D885" s="3" t="str">
        <f>B885&amp;"/"&amp;A885&amp;"/"&amp;C885</f>
        <v>8/28/2009</v>
      </c>
      <c r="E885">
        <v>0.91666666666666663</v>
      </c>
      <c r="F885" t="str">
        <f>I885&amp;" "&amp;J885&amp;" "&amp;K885&amp;" "&amp;L885&amp;" "&amp;M885&amp;" "&amp;N885</f>
        <v>Meet w  Sinon &amp; Charlene</v>
      </c>
      <c r="G885" t="s">
        <f>TEXT(D885,"mmm dd")</f>
        <v>1375</v>
      </c>
      <c r="I885" t="s">
        <v>300</v>
      </c>
      <c r="J885" t="s">
        <v>591</v>
      </c>
      <c r="L885" t="s">
        <v>1228</v>
      </c>
      <c r="M885" t="s">
        <v>73</v>
      </c>
      <c r="N885" t="s">
        <v>456</v>
      </c>
    </row>
    <row r="886" spans="1:23">
      <c r="A886">
        <v>29</v>
      </c>
      <c r="B886">
        <v>8</v>
      </c>
      <c r="C886">
        <v>2009</v>
      </c>
      <c r="D886" s="3" t="str">
        <f>B886&amp;"/"&amp;A886&amp;"/"&amp;C886</f>
        <v>8/29/2009</v>
      </c>
      <c r="E886">
        <v>0.16666666666666666</v>
      </c>
      <c r="F886" t="s">
        <f>I886&amp;" "&amp;J886&amp;" "&amp;K886&amp;" "&amp;L886&amp;" "&amp;M886&amp;" "&amp;N886</f>
        <v>937</v>
      </c>
      <c r="G886" t="s">
        <f>TEXT(D886,"mmm dd")</f>
        <v>841</v>
      </c>
      <c r="I886" t="s">
        <v>847</v>
      </c>
      <c r="J886" t="s">
        <v>918</v>
      </c>
    </row>
    <row r="887" spans="1:23">
      <c r="A887">
        <v>30</v>
      </c>
      <c r="B887">
        <v>8</v>
      </c>
      <c r="C887">
        <v>2009</v>
      </c>
      <c r="D887" s="3" t="str">
        <f>B887&amp;"/"&amp;A887&amp;"/"&amp;C887</f>
        <v>8/30/2009</v>
      </c>
      <c r="E887">
        <v>0.25</v>
      </c>
      <c r="F887" t="str">
        <f>I887&amp;" "&amp;J887&amp;" "&amp;K887&amp;" "&amp;L887&amp;" "&amp;M887&amp;" "&amp;N887</f>
        <v>Jodene's Luau    </v>
      </c>
      <c r="G887" t="s">
        <f>TEXT(D887,"mmm dd")</f>
        <v>846</v>
      </c>
      <c r="I887" t="inlineStr">
        <is>
          <t>Jodene's</t>
        </is>
      </c>
      <c r="J887" t="s">
        <v>739</v>
      </c>
    </row>
    <row r="888" spans="1:23">
      <c r="A888">
        <v>2</v>
      </c>
      <c r="B888">
        <v>9</v>
      </c>
      <c r="C888">
        <v>2009</v>
      </c>
      <c r="D888" s="3" t="str">
        <f>B888&amp;"/"&amp;A888&amp;"/"&amp;C888</f>
        <v>9/2/2009</v>
      </c>
      <c r="E888">
        <v>0.1875</v>
      </c>
      <c r="F888" t="str">
        <f>I888&amp;" "&amp;J888&amp;" "&amp;K888&amp;" "&amp;L888&amp;" "&amp;M888&amp;" "&amp;N888</f>
        <v>Lydia to Dr. Lau  </v>
      </c>
      <c r="G888" t="s">
        <f>TEXT(D888,"mmm dd")</f>
        <v>1376</v>
      </c>
      <c r="I888" t="s">
        <v>772</v>
      </c>
      <c r="J888" t="s">
        <v>449</v>
      </c>
      <c r="K888" t="s">
        <v>847</v>
      </c>
      <c r="L888" t="inlineStr">
        <is>
          <t>Lau</t>
        </is>
      </c>
    </row>
    <row r="889" spans="1:23">
      <c r="A889">
        <v>5</v>
      </c>
      <c r="B889">
        <v>9</v>
      </c>
      <c r="C889">
        <v>2009</v>
      </c>
      <c r="D889" s="3" t="s">
        <f>B889&amp;"/"&amp;A889&amp;"/"&amp;C889</f>
        <v>1377</v>
      </c>
      <c r="E889">
        <v>1.0416666666666667</v>
      </c>
      <c r="F889" t="str">
        <f>I889&amp;" "&amp;J889&amp;" "&amp;K889&amp;" "&amp;L889&amp;" "&amp;M889&amp;" "&amp;N889</f>
        <v>Possible outing for school  </v>
      </c>
      <c r="G889" t="s">
        <f>TEXT(D889,"mmm dd")</f>
        <v>1378</v>
      </c>
      <c r="I889" t="s">
        <v>885</v>
      </c>
      <c r="J889" t="inlineStr">
        <is>
          <t>outing</t>
        </is>
      </c>
      <c r="K889" t="s">
        <v>439</v>
      </c>
      <c r="L889" t="s">
        <v>778</v>
      </c>
    </row>
    <row r="890" spans="1:23">
      <c r="A890">
        <v>5</v>
      </c>
      <c r="B890">
        <v>9</v>
      </c>
      <c r="C890">
        <v>2009</v>
      </c>
      <c r="D890" s="3" t="s">
        <f>B890&amp;"/"&amp;A890&amp;"/"&amp;C890</f>
        <v>1377</v>
      </c>
      <c r="E890" t="s">
        <v>42</v>
      </c>
      <c r="F890" t="str">
        <f>I890&amp;" "&amp;J890&amp;" "&amp;K890&amp;" "&amp;L890&amp;" "&amp;M890&amp;" "&amp;N890</f>
        <v>Leadership Retreat (Lydia)   </v>
      </c>
      <c r="G890" t="s">
        <f>TEXT(D890,"mmm dd")</f>
        <v>1378</v>
      </c>
      <c r="I890" t="s">
        <v>1379</v>
      </c>
      <c r="J890" t="s">
        <v>913</v>
      </c>
      <c r="K890" t="s">
        <v>1380</v>
      </c>
    </row>
    <row r="891" spans="1:23">
      <c r="A891">
        <v>7</v>
      </c>
      <c r="B891">
        <v>9</v>
      </c>
      <c r="C891">
        <v>2009</v>
      </c>
      <c r="D891" s="3" t="str">
        <f>B891&amp;"/"&amp;A891&amp;"/"&amp;C891</f>
        <v>9/7/2009</v>
      </c>
      <c r="E891">
        <v>0.125</v>
      </c>
      <c r="F891" t="str">
        <f>I891&amp;" "&amp;J891&amp;" "&amp;K891&amp;" "&amp;L891&amp;" "&amp;M891&amp;" "&amp;N891</f>
        <v>Leadership Workshop for Parents  </v>
      </c>
      <c r="G891" t="s">
        <f>TEXT(D891,"mmm dd")</f>
        <v>1381</v>
      </c>
      <c r="I891" t="s">
        <v>1379</v>
      </c>
      <c r="J891" t="s">
        <v>1147</v>
      </c>
      <c r="K891" t="s">
        <v>439</v>
      </c>
      <c r="L891" t="s">
        <v>695</v>
      </c>
    </row>
    <row r="892" spans="1:23">
      <c r="A892">
        <v>10</v>
      </c>
      <c r="B892">
        <v>9</v>
      </c>
      <c r="C892">
        <v>2009</v>
      </c>
      <c r="D892" s="3" t="str">
        <f>B892&amp;"/"&amp;A892&amp;"/"&amp;C892</f>
        <v>9/10/2009</v>
      </c>
      <c r="E892">
        <v>0.9375</v>
      </c>
      <c r="F892" t="str">
        <f>I892&amp;" "&amp;J892&amp;" "&amp;K892&amp;" "&amp;L892&amp;" "&amp;M892&amp;" "&amp;N892</f>
        <v>Kay's brother's funeral   </v>
      </c>
      <c r="G892" t="s">
        <f>TEXT(D892,"mmm dd")</f>
        <v>1382</v>
      </c>
      <c r="I892" t="inlineStr">
        <is>
          <t>Kay's</t>
        </is>
      </c>
      <c r="J892" t="inlineStr">
        <is>
          <t>brother's</t>
        </is>
      </c>
      <c r="K892" t="s">
        <v>1116</v>
      </c>
    </row>
    <row r="893" spans="1:23">
      <c r="A893">
        <v>11</v>
      </c>
      <c r="B893">
        <v>9</v>
      </c>
      <c r="C893">
        <v>2009</v>
      </c>
      <c r="D893" s="3" t="str">
        <f>B893&amp;"/"&amp;A893&amp;"/"&amp;C893</f>
        <v>9/11/2009</v>
      </c>
      <c r="E893">
        <v>0.95833333333333337</v>
      </c>
      <c r="F893" t="str">
        <f>I893&amp;" "&amp;J893&amp;" "&amp;K893&amp;" "&amp;L893&amp;" "&amp;M893&amp;" "&amp;N893</f>
        <v>Buy food for Rev Kauai </v>
      </c>
      <c r="G893" t="s">
        <f>TEXT(D893,"mmm dd")</f>
        <v>1383</v>
      </c>
      <c r="I893" t="s">
        <v>1384</v>
      </c>
      <c r="J893" t="s">
        <v>800</v>
      </c>
      <c r="K893" t="s">
        <v>439</v>
      </c>
      <c r="L893" t="inlineStr">
        <is>
          <t>Rev</t>
        </is>
      </c>
      <c r="M893" t="s">
        <v>1385</v>
      </c>
    </row>
    <row r="894" spans="1:23">
      <c r="A894">
        <v>12</v>
      </c>
      <c r="B894">
        <v>9</v>
      </c>
      <c r="C894">
        <v>2009</v>
      </c>
      <c r="D894" s="3" t="str">
        <f>B894&amp;"/"&amp;A894&amp;"/"&amp;C894</f>
        <v>9/12/2009</v>
      </c>
      <c r="E894">
        <v>0.875</v>
      </c>
      <c r="F894" t="str">
        <f>I894&amp;" "&amp;J894&amp;" "&amp;K894&amp;" "&amp;L894&amp;" "&amp;M894&amp;" "&amp;N894</f>
        <v>ECW Annual meeting   </v>
      </c>
      <c r="G894" t="s">
        <f>TEXT(D894,"mmm dd")</f>
        <v>1386</v>
      </c>
      <c r="I894" t="inlineStr">
        <is>
          <t>ECW</t>
        </is>
      </c>
      <c r="J894" t="s">
        <v>1387</v>
      </c>
      <c r="K894" t="s">
        <v>842</v>
      </c>
    </row>
    <row r="895" spans="1:23">
      <c r="A895">
        <v>13</v>
      </c>
      <c r="B895">
        <v>9</v>
      </c>
      <c r="C895">
        <v>2009</v>
      </c>
      <c r="D895" s="3" t="s">
        <f>B895&amp;"/"&amp;A895&amp;"/"&amp;C895</f>
        <v>1388</v>
      </c>
      <c r="E895">
        <v>0.91666666666666663</v>
      </c>
      <c r="F895" t="s">
        <f>I895&amp;" "&amp;J895&amp;" "&amp;K895&amp;" "&amp;L895&amp;" "&amp;M895&amp;" "&amp;N895</f>
        <v>1187</v>
      </c>
      <c r="G895" t="s">
        <f>TEXT(D895,"mmm dd")</f>
        <v>866</v>
      </c>
      <c r="I895" t="s">
        <v>907</v>
      </c>
      <c r="J895" t="s">
        <v>898</v>
      </c>
    </row>
    <row r="896" spans="1:23">
      <c r="A896">
        <v>13</v>
      </c>
      <c r="B896">
        <v>9</v>
      </c>
      <c r="C896">
        <v>2009</v>
      </c>
      <c r="D896" s="3" t="s">
        <f>B896&amp;"/"&amp;A896&amp;"/"&amp;C896</f>
        <v>1388</v>
      </c>
      <c r="E896">
        <v>0.125</v>
      </c>
      <c r="F896" t="str">
        <f>I896&amp;" "&amp;J896&amp;" "&amp;K896&amp;" "&amp;L896&amp;" "&amp;M896&amp;" "&amp;N896</f>
        <v>Lydia tennis meet @ Iolani </v>
      </c>
      <c r="G896" t="s">
        <f>TEXT(D896,"mmm dd")</f>
        <v>866</v>
      </c>
      <c r="I896" t="s">
        <v>772</v>
      </c>
      <c r="J896" t="s">
        <v>788</v>
      </c>
      <c r="K896" t="s">
        <v>1210</v>
      </c>
      <c r="L896" t="s">
        <v>48</v>
      </c>
      <c r="M896" t="s">
        <v>833</v>
      </c>
    </row>
    <row r="897" spans="1:23">
      <c r="A897">
        <v>14</v>
      </c>
      <c r="B897">
        <v>9</v>
      </c>
      <c r="C897">
        <v>2009</v>
      </c>
      <c r="D897" s="3" t="s">
        <f>B897&amp;"/"&amp;A897&amp;"/"&amp;C897</f>
        <v>1389</v>
      </c>
      <c r="E897">
        <v>0.125</v>
      </c>
      <c r="F897" t="str">
        <f>I897&amp;" "&amp;J897&amp;" "&amp;K897&amp;" "&amp;L897&amp;" "&amp;M897&amp;" "&amp;N897</f>
        <v>B comes home   </v>
      </c>
      <c r="G897" t="s">
        <f>TEXT(D897,"mmm dd")</f>
        <v>1390</v>
      </c>
      <c r="I897" t="s">
        <v>1246</v>
      </c>
      <c r="J897" t="inlineStr">
        <is>
          <t>comes</t>
        </is>
      </c>
      <c r="K897" t="s">
        <v>549</v>
      </c>
    </row>
    <row r="898" spans="1:23">
      <c r="A898">
        <v>14</v>
      </c>
      <c r="B898">
        <v>9</v>
      </c>
      <c r="C898">
        <v>2009</v>
      </c>
      <c r="D898" s="3" t="s">
        <f>B898&amp;"/"&amp;A898&amp;"/"&amp;C898</f>
        <v>1389</v>
      </c>
      <c r="E898">
        <v>0.125</v>
      </c>
      <c r="F898" t="str">
        <f>I898&amp;" "&amp;J898&amp;" "&amp;K898&amp;" "&amp;L898&amp;" "&amp;M898&amp;" "&amp;N898</f>
        <v>Happening meeting time?   </v>
      </c>
      <c r="G898" t="s">
        <f>TEXT(D898,"mmm dd")</f>
        <v>1390</v>
      </c>
      <c r="I898" t="s">
        <v>1046</v>
      </c>
      <c r="J898" t="s">
        <v>842</v>
      </c>
      <c r="K898" t="s">
        <v>537</v>
      </c>
    </row>
    <row r="899" spans="1:23">
      <c r="A899">
        <v>15</v>
      </c>
      <c r="B899">
        <v>9</v>
      </c>
      <c r="C899">
        <v>2009</v>
      </c>
      <c r="D899" s="3" t="str">
        <f>B899&amp;"/"&amp;A899&amp;"/"&amp;C899</f>
        <v>9/15/2009</v>
      </c>
      <c r="E899">
        <v>0.25</v>
      </c>
      <c r="F899" t="str">
        <f>I899&amp;" "&amp;J899&amp;" "&amp;K899&amp;" "&amp;L899&amp;" "&amp;M899&amp;" "&amp;N899</f>
        <v>Harris     </v>
      </c>
      <c r="G899" t="s">
        <f>TEXT(D899,"mmm dd")</f>
        <v>1391</v>
      </c>
      <c r="I899" t="s">
        <v>1392</v>
      </c>
    </row>
    <row r="900" spans="1:23">
      <c r="A900">
        <v>25</v>
      </c>
      <c r="B900">
        <v>9</v>
      </c>
      <c r="C900">
        <v>2009</v>
      </c>
      <c r="D900" s="3" t="str">
        <f>B900&amp;"/"&amp;A900&amp;"/"&amp;C900</f>
        <v>9/25/2009</v>
      </c>
      <c r="E900">
        <v>0.29166666666666669</v>
      </c>
      <c r="F900" t="str">
        <f>I900&amp;" "&amp;J900&amp;" "&amp;K900&amp;" "&amp;L900&amp;" "&amp;M900&amp;" "&amp;N900</f>
        <v>Finance Commitee    </v>
      </c>
      <c r="G900" t="s">
        <f>TEXT(D900,"mmm dd")</f>
        <v>1393</v>
      </c>
      <c r="I900" t="s">
        <v>398</v>
      </c>
      <c r="J900" t="s">
        <v>1122</v>
      </c>
    </row>
    <row r="901" spans="1:23">
      <c r="A901">
        <v>27</v>
      </c>
      <c r="B901">
        <v>9</v>
      </c>
      <c r="C901">
        <v>2009</v>
      </c>
      <c r="D901" s="3" t="s">
        <f>B901&amp;"/"&amp;A901&amp;"/"&amp;C901</f>
        <v>1394</v>
      </c>
      <c r="E901" t="s">
        <v>42</v>
      </c>
      <c r="F901" t="s">
        <f>I901&amp;" "&amp;J901&amp;" "&amp;K901&amp;" "&amp;L901&amp;" "&amp;M901&amp;" "&amp;N901</f>
        <v>911</v>
      </c>
      <c r="G901" t="s">
        <f>TEXT(D901,"mmm dd")</f>
        <v>901</v>
      </c>
      <c r="I901" t="s">
        <v>46</v>
      </c>
      <c r="J901" t="s">
        <v>913</v>
      </c>
    </row>
    <row r="902" spans="1:23">
      <c r="A902">
        <v>27</v>
      </c>
      <c r="B902">
        <v>9</v>
      </c>
      <c r="C902">
        <v>2009</v>
      </c>
      <c r="D902" s="3" t="s">
        <f>B902&amp;"/"&amp;A902&amp;"/"&amp;C902</f>
        <v>1394</v>
      </c>
      <c r="E902" t="s">
        <v>42</v>
      </c>
      <c r="F902" t="str">
        <f>I902&amp;" "&amp;J902&amp;" "&amp;K902&amp;" "&amp;L902&amp;" "&amp;M902&amp;" "&amp;N902</f>
        <v>Hathaway Aloha Hour   </v>
      </c>
      <c r="G902" t="s">
        <f>TEXT(D902,"mmm dd")</f>
        <v>901</v>
      </c>
      <c r="I902" t="s">
        <v>799</v>
      </c>
      <c r="J902" t="s">
        <v>801</v>
      </c>
      <c r="K902" t="s">
        <v>1395</v>
      </c>
    </row>
    <row r="903" spans="1:23">
      <c r="A903">
        <v>27</v>
      </c>
      <c r="B903">
        <v>9</v>
      </c>
      <c r="C903">
        <v>2009</v>
      </c>
      <c r="D903" s="3" t="s">
        <f>B903&amp;"/"&amp;A903&amp;"/"&amp;C903</f>
        <v>1394</v>
      </c>
      <c r="E903">
        <v>1.0625</v>
      </c>
      <c r="F903" t="str">
        <f>I903&amp;" "&amp;J903&amp;" "&amp;K903&amp;" "&amp;L903&amp;" "&amp;M903&amp;" "&amp;N903</f>
        <v>Lydia to CTL @ UH </v>
      </c>
      <c r="G903" t="s">
        <f>TEXT(D903,"mmm dd")</f>
        <v>901</v>
      </c>
      <c r="I903" t="s">
        <v>772</v>
      </c>
      <c r="J903" t="s">
        <v>449</v>
      </c>
      <c r="K903" t="s">
        <v>1396</v>
      </c>
      <c r="L903" t="s">
        <v>48</v>
      </c>
      <c r="M903" t="s">
        <v>208</v>
      </c>
    </row>
    <row r="904" spans="1:23">
      <c r="A904">
        <v>27</v>
      </c>
      <c r="B904">
        <v>9</v>
      </c>
      <c r="C904">
        <v>2009</v>
      </c>
      <c r="D904" s="3" t="s">
        <f>B904&amp;"/"&amp;A904&amp;"/"&amp;C904</f>
        <v>1394</v>
      </c>
      <c r="E904">
        <v>1.0416666666666667</v>
      </c>
      <c r="F904" t="str">
        <f>I904&amp;" "&amp;J904&amp;" "&amp;K904&amp;" "&amp;L904&amp;" "&amp;M904&amp;" "&amp;N904</f>
        <v>P U Hoku chicken @ McKinley</v>
      </c>
      <c r="G904" t="s">
        <f>TEXT(D904,"mmm dd")</f>
        <v>901</v>
      </c>
      <c r="I904" t="s">
        <v>615</v>
      </c>
      <c r="J904" t="s">
        <v>616</v>
      </c>
      <c r="K904" t="inlineStr">
        <is>
          <t>Hoku</t>
        </is>
      </c>
      <c r="L904" t="inlineStr">
        <is>
          <t>chicken</t>
        </is>
      </c>
      <c r="M904" t="s">
        <v>48</v>
      </c>
      <c r="N904" t="inlineStr">
        <is>
          <t>McKinley</t>
        </is>
      </c>
    </row>
    <row r="905" spans="1:23">
      <c r="A905">
        <v>3</v>
      </c>
      <c r="B905">
        <v>10</v>
      </c>
      <c r="C905">
        <v>2009</v>
      </c>
      <c r="D905" s="3" t="str">
        <f>B905&amp;"/"&amp;A905&amp;"/"&amp;C905</f>
        <v>10/3/2009</v>
      </c>
      <c r="E905">
        <v>0.95833333333333337</v>
      </c>
      <c r="F905" t="str">
        <f>I905&amp;" "&amp;J905&amp;" "&amp;K905&amp;" "&amp;L905&amp;" "&amp;M905&amp;" "&amp;N905</f>
        <v>Epiphany Celebration    </v>
      </c>
      <c r="G905" t="s">
        <f>TEXT(D905,"mmm dd")</f>
        <v>920</v>
      </c>
      <c r="I905" t="s">
        <v>1317</v>
      </c>
      <c r="J905" t="s">
        <v>1397</v>
      </c>
    </row>
    <row r="906" spans="1:23">
      <c r="A906">
        <v>7</v>
      </c>
      <c r="B906">
        <v>10</v>
      </c>
      <c r="C906">
        <v>2009</v>
      </c>
      <c r="D906" s="3" t="str">
        <f>B906&amp;"/"&amp;A906&amp;"/"&amp;C906</f>
        <v>10/7/2009</v>
      </c>
      <c r="E906">
        <v>0.3125</v>
      </c>
      <c r="F906" t="s">
        <f>I906&amp;" "&amp;J906&amp;" "&amp;K906&amp;" "&amp;L906&amp;" "&amp;M906&amp;" "&amp;N906</f>
        <v>1398</v>
      </c>
      <c r="G906" t="s">
        <f>TEXT(D906,"mmm dd")</f>
        <v>1399</v>
      </c>
      <c r="I906" t="s">
        <v>907</v>
      </c>
      <c r="J906" t="s">
        <v>497</v>
      </c>
    </row>
    <row r="907" spans="1:23">
      <c r="A907">
        <v>10</v>
      </c>
      <c r="B907">
        <v>10</v>
      </c>
      <c r="C907">
        <v>2009</v>
      </c>
      <c r="D907" s="3" t="s">
        <f>B907&amp;"/"&amp;A907&amp;"/"&amp;C907</f>
        <v>1400</v>
      </c>
      <c r="E907">
        <v>0.85416666666666663</v>
      </c>
      <c r="F907" t="s">
        <f>I907&amp;" "&amp;J907&amp;" "&amp;K907&amp;" "&amp;L907&amp;" "&amp;M907&amp;" "&amp;N907</f>
        <v>1305</v>
      </c>
      <c r="G907" t="s">
        <f>TEXT(D907,"mmm dd")</f>
        <v>1401</v>
      </c>
      <c r="I907" t="s">
        <v>1306</v>
      </c>
      <c r="J907" t="s">
        <v>1036</v>
      </c>
    </row>
    <row r="908" spans="1:23">
      <c r="A908">
        <v>10</v>
      </c>
      <c r="B908">
        <v>10</v>
      </c>
      <c r="C908">
        <v>2009</v>
      </c>
      <c r="D908" s="3" t="s">
        <f>B908&amp;"/"&amp;A908&amp;"/"&amp;C908</f>
        <v>1400</v>
      </c>
      <c r="E908">
        <v>0.18055555555555555</v>
      </c>
      <c r="F908" t="s">
        <f>I908&amp;" "&amp;J908&amp;" "&amp;K908&amp;" "&amp;L908&amp;" "&amp;M908&amp;" "&amp;N908</f>
        <v>937</v>
      </c>
      <c r="G908" t="s">
        <f>TEXT(D908,"mmm dd")</f>
        <v>1401</v>
      </c>
      <c r="I908" t="s">
        <v>847</v>
      </c>
      <c r="J908" t="s">
        <v>918</v>
      </c>
    </row>
    <row r="909" spans="1:23">
      <c r="A909">
        <v>10</v>
      </c>
      <c r="B909">
        <v>10</v>
      </c>
      <c r="C909">
        <v>2009</v>
      </c>
      <c r="D909" s="3" t="s">
        <f>B909&amp;"/"&amp;A909&amp;"/"&amp;C909</f>
        <v>1400</v>
      </c>
      <c r="E909">
        <v>0.85416666666666663</v>
      </c>
      <c r="F909" t="s">
        <f>I909&amp;" "&amp;J909&amp;" "&amp;K909&amp;" "&amp;L909&amp;" "&amp;M909&amp;" "&amp;N909</f>
        <v>1305</v>
      </c>
      <c r="G909" t="s">
        <f>TEXT(D909,"mmm dd")</f>
        <v>1401</v>
      </c>
      <c r="I909" t="s">
        <v>1306</v>
      </c>
      <c r="J909" t="s">
        <v>1036</v>
      </c>
    </row>
    <row r="910" spans="1:23">
      <c r="A910">
        <v>11</v>
      </c>
      <c r="B910">
        <v>10</v>
      </c>
      <c r="C910">
        <v>2009</v>
      </c>
      <c r="D910" s="3" t="str">
        <f>B910&amp;"/"&amp;A910&amp;"/"&amp;C910</f>
        <v>10/11/2009</v>
      </c>
      <c r="E910">
        <v>0.95833333333333337</v>
      </c>
      <c r="F910" t="s">
        <f>I910&amp;" "&amp;J910&amp;" "&amp;K910&amp;" "&amp;L910&amp;" "&amp;M910&amp;" "&amp;N910</f>
        <v>1402</v>
      </c>
      <c r="G910" t="s">
        <f>TEXT(D910,"mmm dd")</f>
        <v>933</v>
      </c>
      <c r="I910" t="s">
        <v>1403</v>
      </c>
    </row>
    <row r="911" spans="1:23">
      <c r="A911">
        <v>16</v>
      </c>
      <c r="B911">
        <v>10</v>
      </c>
      <c r="C911">
        <v>2009</v>
      </c>
      <c r="D911" s="3" t="str">
        <f>B911&amp;"/"&amp;A911&amp;"/"&amp;C911</f>
        <v>10/16/2009</v>
      </c>
      <c r="E911">
        <v>0.95833333333333337</v>
      </c>
      <c r="F911" t="str">
        <f>I911&amp;" "&amp;J911&amp;" "&amp;K911&amp;" "&amp;L911&amp;" "&amp;M911&amp;" "&amp;N911</f>
        <v>Ryan Maggie re Piper  </v>
      </c>
      <c r="G911" t="s">
        <f>TEXT(D911,"mmm dd")</f>
        <v>1404</v>
      </c>
      <c r="I911" t="s">
        <v>1405</v>
      </c>
      <c r="J911" t="inlineStr">
        <is>
          <t>Maggie</t>
        </is>
      </c>
      <c r="K911" t="s">
        <v>594</v>
      </c>
      <c r="L911" t="s">
        <v>1406</v>
      </c>
    </row>
    <row r="912" spans="1:23">
      <c r="A912">
        <v>18</v>
      </c>
      <c r="B912">
        <v>10</v>
      </c>
      <c r="C912">
        <v>2009</v>
      </c>
      <c r="D912" s="3" t="str">
        <f>B912&amp;"/"&amp;A912&amp;"/"&amp;C912</f>
        <v>10/18/2009</v>
      </c>
      <c r="E912" t="s">
        <v>42</v>
      </c>
      <c r="F912" t="str">
        <f>I912&amp;" "&amp;J912&amp;" "&amp;K912&amp;" "&amp;L912&amp;" "&amp;M912&amp;" "&amp;N912</f>
        <v>Baptism of Piper (Oki)  </v>
      </c>
      <c r="G912" t="s">
        <f>TEXT(D912,"mmm dd")</f>
        <v>1407</v>
      </c>
      <c r="I912" t="s">
        <v>1403</v>
      </c>
      <c r="J912" t="s">
        <v>86</v>
      </c>
      <c r="K912" t="s">
        <v>1406</v>
      </c>
      <c r="L912" t="inlineStr">
        <is>
          <t>(Oki)</t>
        </is>
      </c>
    </row>
    <row r="913" spans="1:23">
      <c r="A913">
        <v>20</v>
      </c>
      <c r="B913">
        <v>10</v>
      </c>
      <c r="C913">
        <v>2009</v>
      </c>
      <c r="D913" s="3" t="str">
        <f>B913&amp;"/"&amp;A913&amp;"/"&amp;C913</f>
        <v>10/20/2009</v>
      </c>
      <c r="E913">
        <v>1</v>
      </c>
      <c r="F913" t="str">
        <f>I913&amp;" "&amp;J913&amp;" "&amp;K913&amp;" "&amp;L913&amp;" "&amp;M913&amp;" "&amp;N913</f>
        <v>Clericus @ St. Mark's  </v>
      </c>
      <c r="G913" t="s">
        <f>TEXT(D913,"mmm dd")</f>
        <v>1408</v>
      </c>
      <c r="I913" t="s">
        <v>1409</v>
      </c>
      <c r="J913" t="s">
        <v>48</v>
      </c>
      <c r="K913" t="s">
        <v>218</v>
      </c>
      <c r="L913" t="s">
        <v>1298</v>
      </c>
    </row>
    <row r="914" spans="1:23">
      <c r="A914">
        <v>22</v>
      </c>
      <c r="B914">
        <v>10</v>
      </c>
      <c r="C914">
        <v>2009</v>
      </c>
      <c r="D914" s="3" t="str">
        <f>B914&amp;"/"&amp;A914&amp;"/"&amp;C914</f>
        <v>10/22/2009</v>
      </c>
      <c r="E914">
        <v>0.89583333333333337</v>
      </c>
      <c r="F914" t="s">
        <f>I914&amp;" "&amp;J914&amp;" "&amp;K914&amp;" "&amp;L914&amp;" "&amp;M914&amp;" "&amp;N914</f>
        <v>952</v>
      </c>
      <c r="G914" t="s">
        <f>TEXT(D914,"mmm dd")</f>
        <v>1410</v>
      </c>
      <c r="I914" t="s">
        <v>291</v>
      </c>
      <c r="J914" t="s">
        <v>55</v>
      </c>
    </row>
    <row r="915" spans="1:23">
      <c r="A915">
        <v>23</v>
      </c>
      <c r="B915">
        <v>10</v>
      </c>
      <c r="C915">
        <v>2009</v>
      </c>
      <c r="D915" s="3" t="s">
        <f>B915&amp;"/"&amp;A915&amp;"/"&amp;C915</f>
        <v>1411</v>
      </c>
      <c r="E915">
        <v>0.3125</v>
      </c>
      <c r="F915" t="s">
        <f>I915&amp;" "&amp;J915&amp;" "&amp;K915&amp;" "&amp;L915&amp;" "&amp;M915&amp;" "&amp;N915</f>
        <v>1187</v>
      </c>
      <c r="G915" t="s">
        <f>TEXT(D915,"mmm dd")</f>
        <v>953</v>
      </c>
      <c r="I915" t="s">
        <v>907</v>
      </c>
      <c r="J915" t="s">
        <v>898</v>
      </c>
    </row>
    <row r="916" spans="1:23">
      <c r="A916">
        <v>23</v>
      </c>
      <c r="B916">
        <v>10</v>
      </c>
      <c r="C916">
        <v>2009</v>
      </c>
      <c r="D916" s="3" t="s">
        <f>B916&amp;"/"&amp;A916&amp;"/"&amp;C916</f>
        <v>1411</v>
      </c>
      <c r="E916">
        <v>0.25</v>
      </c>
      <c r="F916" t="str">
        <f>I916&amp;" "&amp;J916&amp;" "&amp;K916&amp;" "&amp;L916&amp;" "&amp;M916&amp;" "&amp;N916</f>
        <v>Juliana &amp; re wedding  </v>
      </c>
      <c r="G916" t="s">
        <f>TEXT(D916,"mmm dd")</f>
        <v>953</v>
      </c>
      <c r="I916" t="s">
        <v>1412</v>
      </c>
      <c r="J916" t="s">
        <v>73</v>
      </c>
      <c r="K916" t="s">
        <v>594</v>
      </c>
      <c r="L916" t="s">
        <v>861</v>
      </c>
    </row>
    <row r="917" spans="1:23">
      <c r="A917">
        <v>24</v>
      </c>
      <c r="B917">
        <v>10</v>
      </c>
      <c r="C917">
        <v>2009</v>
      </c>
      <c r="D917" s="3" t="str">
        <f>B917&amp;"/"&amp;A917&amp;"/"&amp;C917</f>
        <v>10/24/2009</v>
      </c>
      <c r="E917">
        <v>0.125</v>
      </c>
      <c r="F917" t="str">
        <f>I917&amp;" "&amp;J917&amp;" "&amp;K917&amp;" "&amp;L917&amp;" "&amp;M917&amp;" "&amp;N917</f>
        <v>Parent Teacher time?   </v>
      </c>
      <c r="G917" t="s">
        <f>TEXT(D917,"mmm dd")</f>
        <v>956</v>
      </c>
      <c r="I917" t="s">
        <v>950</v>
      </c>
      <c r="J917" t="s">
        <v>951</v>
      </c>
      <c r="K917" t="s">
        <v>537</v>
      </c>
    </row>
    <row r="918" spans="1:23">
      <c r="A918">
        <v>28</v>
      </c>
      <c r="B918">
        <v>10</v>
      </c>
      <c r="C918">
        <v>2009</v>
      </c>
      <c r="D918" s="3" t="str">
        <f>B918&amp;"/"&amp;A918&amp;"/"&amp;C918</f>
        <v>10/28/2009</v>
      </c>
      <c r="E918">
        <v>0.27083333333333331</v>
      </c>
      <c r="F918" t="str">
        <f>I918&amp;" "&amp;J918&amp;" "&amp;K918&amp;" "&amp;L918&amp;" "&amp;M918&amp;" "&amp;N918</f>
        <v>Juliana &amp; Karl   </v>
      </c>
      <c r="G918" t="s">
        <f>TEXT(D918,"mmm dd")</f>
        <v>959</v>
      </c>
      <c r="I918" t="s">
        <v>1412</v>
      </c>
      <c r="J918" t="s">
        <v>73</v>
      </c>
      <c r="K918" t="s">
        <v>1413</v>
      </c>
    </row>
    <row r="919" spans="1:23">
      <c r="A919">
        <v>29</v>
      </c>
      <c r="B919">
        <v>10</v>
      </c>
      <c r="C919">
        <v>2009</v>
      </c>
      <c r="D919" s="3" t="str">
        <f>B919&amp;"/"&amp;A919&amp;"/"&amp;C919</f>
        <v>10/29/2009</v>
      </c>
      <c r="E919">
        <v>0.89583333333333337</v>
      </c>
      <c r="F919" t="s">
        <f>I919&amp;" "&amp;J919&amp;" "&amp;K919&amp;" "&amp;L919&amp;" "&amp;M919&amp;" "&amp;N919</f>
        <v>952</v>
      </c>
      <c r="G919" t="s">
        <f>TEXT(D919,"mmm dd")</f>
        <v>962</v>
      </c>
      <c r="I919" t="s">
        <v>291</v>
      </c>
      <c r="J919" t="s">
        <v>55</v>
      </c>
    </row>
    <row r="920" spans="1:23">
      <c r="A920">
        <v>30</v>
      </c>
      <c r="B920">
        <v>10</v>
      </c>
      <c r="C920">
        <v>2009</v>
      </c>
      <c r="D920" s="3" t="str">
        <f>B920&amp;"/"&amp;A920&amp;"/"&amp;C920</f>
        <v>10/30/2009</v>
      </c>
      <c r="E920">
        <v>0.875</v>
      </c>
      <c r="F920" t="str">
        <f>I920&amp;" "&amp;J920&amp;" "&amp;K920&amp;" "&amp;L920&amp;" "&amp;M920&amp;" "&amp;N920</f>
        <v>Angels @ Play costume parade </v>
      </c>
      <c r="G920" t="s">
        <f>TEXT(D920,"mmm dd")</f>
        <v>967</v>
      </c>
      <c r="I920" t="s">
        <v>52</v>
      </c>
      <c r="J920" t="s">
        <v>48</v>
      </c>
      <c r="K920" t="s">
        <v>292</v>
      </c>
      <c r="L920" t="inlineStr">
        <is>
          <t>costume</t>
        </is>
      </c>
      <c r="M920" t="s">
        <v>1414</v>
      </c>
    </row>
    <row r="921" spans="1:23">
      <c r="A921">
        <v>31</v>
      </c>
      <c r="B921">
        <v>10</v>
      </c>
      <c r="C921">
        <v>2009</v>
      </c>
      <c r="D921" s="3" t="str">
        <f>B921&amp;"/"&amp;A921&amp;"/"&amp;C921</f>
        <v>10/31/2009</v>
      </c>
      <c r="E921">
        <v>0.875</v>
      </c>
      <c r="F921" t="str">
        <f>I921&amp;" "&amp;J921&amp;" "&amp;K921&amp;" "&amp;L921&amp;" "&amp;M921&amp;" "&amp;N921</f>
        <v>Dicesan convention    </v>
      </c>
      <c r="G921" t="s">
        <f>TEXT(D921,"mmm dd")</f>
        <v>30</v>
      </c>
      <c r="I921" t="inlineStr">
        <is>
          <t>Dicesan</t>
        </is>
      </c>
      <c r="J921" t="s">
        <v>1415</v>
      </c>
    </row>
    <row r="922" spans="1:23">
      <c r="A922">
        <v>4</v>
      </c>
      <c r="B922">
        <v>11</v>
      </c>
      <c r="C922">
        <v>2009</v>
      </c>
      <c r="D922" s="3" t="str">
        <f>B922&amp;"/"&amp;A922&amp;"/"&amp;C922</f>
        <v>11/4/2009</v>
      </c>
      <c r="E922">
        <v>0.3125</v>
      </c>
      <c r="F922" t="s">
        <f>I922&amp;" "&amp;J922&amp;" "&amp;K922&amp;" "&amp;L922&amp;" "&amp;M922&amp;" "&amp;N922</f>
        <v>1398</v>
      </c>
      <c r="G922" t="s">
        <f>TEXT(D922,"mmm dd")</f>
        <v>34</v>
      </c>
      <c r="I922" t="s">
        <v>907</v>
      </c>
      <c r="J922" t="s">
        <v>497</v>
      </c>
    </row>
    <row r="923" spans="1:23">
      <c r="A923">
        <v>7</v>
      </c>
      <c r="B923">
        <v>11</v>
      </c>
      <c r="C923">
        <v>2009</v>
      </c>
      <c r="D923" s="3" t="s">
        <f>B923&amp;"/"&amp;A923&amp;"/"&amp;C923</f>
        <v>1416</v>
      </c>
      <c r="E923">
        <v>0.29166666666666669</v>
      </c>
      <c r="F923" t="str">
        <f>I923&amp;" "&amp;J923&amp;" "&amp;K923&amp;" "&amp;L923&amp;" "&amp;M923&amp;" "&amp;N923</f>
        <v>ShoeBox Ministry    </v>
      </c>
      <c r="G923" t="s">
        <f>TEXT(D923,"mmm dd")</f>
        <v>1417</v>
      </c>
      <c r="I923" t="inlineStr">
        <is>
          <t>ShoeBox</t>
        </is>
      </c>
      <c r="J923" t="s">
        <v>943</v>
      </c>
    </row>
    <row r="924" spans="1:23">
      <c r="A924">
        <v>7</v>
      </c>
      <c r="B924">
        <v>11</v>
      </c>
      <c r="C924">
        <v>2009</v>
      </c>
      <c r="D924" s="3" t="s">
        <f>B924&amp;"/"&amp;A924&amp;"/"&amp;C924</f>
        <v>1416</v>
      </c>
      <c r="E924">
        <v>0.29166666666666669</v>
      </c>
      <c r="F924" t="str">
        <f>I924&amp;" "&amp;J924&amp;" "&amp;K924&amp;" "&amp;L924&amp;" "&amp;M924&amp;" "&amp;N924</f>
        <v>Food     </v>
      </c>
      <c r="G924" t="s">
        <f>TEXT(D924,"mmm dd")</f>
        <v>1417</v>
      </c>
      <c r="I924" t="s">
        <v>1324</v>
      </c>
    </row>
    <row r="925" spans="1:23">
      <c r="A925">
        <v>7</v>
      </c>
      <c r="B925">
        <v>11</v>
      </c>
      <c r="C925">
        <v>2009</v>
      </c>
      <c r="D925" s="3" t="s">
        <f>B925&amp;"/"&amp;A925&amp;"/"&amp;C925</f>
        <v>1416</v>
      </c>
      <c r="E925">
        <v>0.1736111111111111</v>
      </c>
      <c r="F925" t="s">
        <f>I925&amp;" "&amp;J925&amp;" "&amp;K925&amp;" "&amp;L925&amp;" "&amp;M925&amp;" "&amp;N925</f>
        <v>937</v>
      </c>
      <c r="G925" t="s">
        <f>TEXT(D925,"mmm dd")</f>
        <v>1417</v>
      </c>
      <c r="I925" t="s">
        <v>847</v>
      </c>
      <c r="J925" t="s">
        <v>918</v>
      </c>
    </row>
    <row r="926" spans="1:23">
      <c r="A926">
        <v>7</v>
      </c>
      <c r="B926">
        <v>11</v>
      </c>
      <c r="C926">
        <v>2009</v>
      </c>
      <c r="D926" s="3" t="s">
        <f>B926&amp;"/"&amp;A926&amp;"/"&amp;C926</f>
        <v>1416</v>
      </c>
      <c r="E926">
        <v>0.95833333333333337</v>
      </c>
      <c r="F926" t="s">
        <f>I926&amp;" "&amp;J926&amp;" "&amp;K926&amp;" "&amp;L926&amp;" "&amp;M926&amp;" "&amp;N926</f>
        <v>1418</v>
      </c>
      <c r="G926" t="s">
        <f>TEXT(D926,"mmm dd")</f>
        <v>1417</v>
      </c>
      <c r="I926" t="s">
        <v>1419</v>
      </c>
      <c r="J926" t="s">
        <v>1420</v>
      </c>
    </row>
    <row r="927" spans="1:23">
      <c r="A927">
        <v>9</v>
      </c>
      <c r="B927">
        <v>11</v>
      </c>
      <c r="C927">
        <v>2009</v>
      </c>
      <c r="D927" s="3" t="str">
        <f>B927&amp;"/"&amp;A927&amp;"/"&amp;C927</f>
        <v>11/9/2009</v>
      </c>
      <c r="E927">
        <v>1.1041666666666667</v>
      </c>
      <c r="F927" t="str">
        <f>I927&amp;" "&amp;J927&amp;" "&amp;K927&amp;" "&amp;L927&amp;" "&amp;M927&amp;" "&amp;N927</f>
        <v>State Farm apt time?  </v>
      </c>
      <c r="G927" t="s">
        <f>TEXT(D927,"mmm dd")</f>
        <v>1421</v>
      </c>
      <c r="I927" t="s">
        <v>242</v>
      </c>
      <c r="J927" t="inlineStr">
        <is>
          <t>Farm</t>
        </is>
      </c>
      <c r="K927" t="inlineStr">
        <is>
          <t>apt</t>
        </is>
      </c>
      <c r="L927" t="s">
        <v>537</v>
      </c>
    </row>
    <row r="928" spans="1:23">
      <c r="A928">
        <v>13</v>
      </c>
      <c r="B928">
        <v>11</v>
      </c>
      <c r="C928">
        <v>2009</v>
      </c>
      <c r="D928" s="3" t="str">
        <f>B928&amp;"/"&amp;A928&amp;"/"&amp;C928</f>
        <v>11/13/2009</v>
      </c>
      <c r="E928" t="s">
        <v>42</v>
      </c>
      <c r="F928" t="s">
        <f>I928&amp;" "&amp;J928&amp;" "&amp;K928&amp;" "&amp;L928&amp;" "&amp;M928&amp;" "&amp;N928</f>
        <v>919</v>
      </c>
      <c r="G928" t="s">
        <f>TEXT(D928,"mmm dd")</f>
        <v>37</v>
      </c>
      <c r="I928" t="s">
        <v>164</v>
      </c>
      <c r="J928" t="s">
        <v>921</v>
      </c>
    </row>
    <row r="929" spans="1:23">
      <c r="A929">
        <v>14</v>
      </c>
      <c r="B929">
        <v>11</v>
      </c>
      <c r="C929">
        <v>2009</v>
      </c>
      <c r="D929" s="3" t="str">
        <f>B929&amp;"/"&amp;A929&amp;"/"&amp;C929</f>
        <v>11/14/2009</v>
      </c>
      <c r="E929">
        <v>1.0833333333333333</v>
      </c>
      <c r="F929" t="s">
        <f>I929&amp;" "&amp;J929&amp;" "&amp;K929&amp;" "&amp;L929&amp;" "&amp;M929&amp;" "&amp;N929</f>
        <v>862</v>
      </c>
      <c r="G929" t="s">
        <f>TEXT(D929,"mmm dd")</f>
        <v>1007</v>
      </c>
      <c r="I929" t="s">
        <v>361</v>
      </c>
      <c r="J929" t="s">
        <v>863</v>
      </c>
    </row>
    <row r="930" spans="1:23">
      <c r="A930">
        <v>15</v>
      </c>
      <c r="B930">
        <v>11</v>
      </c>
      <c r="C930">
        <v>2009</v>
      </c>
      <c r="D930" s="3" t="str">
        <f>B930&amp;"/"&amp;A930&amp;"/"&amp;C930</f>
        <v>11/15/2009</v>
      </c>
      <c r="E930" t="s">
        <v>42</v>
      </c>
      <c r="F930" t="str">
        <f>I930&amp;" "&amp;J930&amp;" "&amp;K930&amp;" "&amp;L930&amp;" "&amp;M930&amp;" "&amp;N930</f>
        <v>4 day retreat @ St. Anthony's</v>
      </c>
      <c r="G930" t="s">
        <f>TEXT(D930,"mmm dd")</f>
        <v>1012</v>
      </c>
      <c r="I930">
        <v>4</v>
      </c>
      <c r="J930" t="s">
        <v>502</v>
      </c>
      <c r="K930" t="s">
        <v>1422</v>
      </c>
      <c r="L930" t="s">
        <v>48</v>
      </c>
      <c r="M930" t="s">
        <v>218</v>
      </c>
      <c r="N930" t="inlineStr">
        <is>
          <t>Anthony's</t>
        </is>
      </c>
    </row>
    <row r="931" spans="1:23">
      <c r="A931">
        <v>17</v>
      </c>
      <c r="B931">
        <v>11</v>
      </c>
      <c r="C931">
        <v>2009</v>
      </c>
      <c r="D931" s="3" t="str">
        <f>B931&amp;"/"&amp;A931&amp;"/"&amp;C931</f>
        <v>11/17/2009</v>
      </c>
      <c r="E931">
        <v>1</v>
      </c>
      <c r="F931" t="str">
        <f>I931&amp;" "&amp;J931&amp;" "&amp;K931&amp;" "&amp;L931&amp;" "&amp;M931&amp;" "&amp;N931</f>
        <v>Clericus @ St. Tim @ Cattle</v>
      </c>
      <c r="G931" t="s">
        <f>TEXT(D931,"mmm dd")</f>
        <v>1019</v>
      </c>
      <c r="I931" t="s">
        <v>1409</v>
      </c>
      <c r="J931" t="s">
        <v>48</v>
      </c>
      <c r="K931" t="s">
        <v>218</v>
      </c>
      <c r="L931" t="s">
        <v>1423</v>
      </c>
      <c r="M931" t="s">
        <v>48</v>
      </c>
      <c r="N931" t="s">
        <v>1025</v>
      </c>
    </row>
    <row r="932" spans="1:23">
      <c r="A932">
        <v>18</v>
      </c>
      <c r="B932">
        <v>11</v>
      </c>
      <c r="C932">
        <v>2009</v>
      </c>
      <c r="D932" s="3" t="str">
        <f>B932&amp;"/"&amp;A932&amp;"/"&amp;C932</f>
        <v>11/18/2009</v>
      </c>
      <c r="E932">
        <v>0.27083333333333331</v>
      </c>
      <c r="F932" t="s">
        <f>I932&amp;" "&amp;J932&amp;" "&amp;K932&amp;" "&amp;L932&amp;" "&amp;M932&amp;" "&amp;N932</f>
        <v>1424</v>
      </c>
      <c r="G932" t="s">
        <f>TEXT(D932,"mmm dd")</f>
        <v>1024</v>
      </c>
      <c r="I932" t="s">
        <v>1413</v>
      </c>
      <c r="J932" t="s">
        <v>73</v>
      </c>
      <c r="K932" t="s">
        <v>1412</v>
      </c>
    </row>
    <row r="933" spans="1:23">
      <c r="A933">
        <v>19</v>
      </c>
      <c r="B933">
        <v>11</v>
      </c>
      <c r="C933">
        <v>2009</v>
      </c>
      <c r="D933" s="3" t="s">
        <f>B933&amp;"/"&amp;A933&amp;"/"&amp;C933</f>
        <v>1425</v>
      </c>
      <c r="E933">
        <v>0.89583333333333337</v>
      </c>
      <c r="F933" t="s">
        <f>I933&amp;" "&amp;J933&amp;" "&amp;K933&amp;" "&amp;L933&amp;" "&amp;M933&amp;" "&amp;N933</f>
        <v>952</v>
      </c>
      <c r="G933" t="s">
        <f>TEXT(D933,"mmm dd")</f>
        <v>1426</v>
      </c>
      <c r="I933" t="s">
        <v>291</v>
      </c>
      <c r="J933" t="s">
        <v>55</v>
      </c>
    </row>
    <row r="934" spans="1:23">
      <c r="A934">
        <v>19</v>
      </c>
      <c r="B934">
        <v>11</v>
      </c>
      <c r="C934">
        <v>2009</v>
      </c>
      <c r="D934" s="3" t="s">
        <f>B934&amp;"/"&amp;A934&amp;"/"&amp;C934</f>
        <v>1425</v>
      </c>
      <c r="E934" t="s">
        <v>42</v>
      </c>
      <c r="F934" t="s">
        <f>I934&amp;" "&amp;J934&amp;" "&amp;K934&amp;" "&amp;L934&amp;" "&amp;M934&amp;" "&amp;N934</f>
        <v>717</v>
      </c>
      <c r="G934" t="s">
        <f>TEXT(D934,"mmm dd")</f>
        <v>1426</v>
      </c>
      <c r="I934" t="s">
        <v>456</v>
      </c>
      <c r="J934" t="s">
        <v>718</v>
      </c>
    </row>
    <row r="935" spans="1:23">
      <c r="A935">
        <v>19</v>
      </c>
      <c r="B935">
        <v>11</v>
      </c>
      <c r="C935">
        <v>2009</v>
      </c>
      <c r="D935" s="3" t="s">
        <f>B935&amp;"/"&amp;A935&amp;"/"&amp;C935</f>
        <v>1425</v>
      </c>
      <c r="E935">
        <v>1</v>
      </c>
      <c r="F935" t="str">
        <f>I935&amp;" "&amp;J935&amp;" "&amp;K935&amp;" "&amp;L935&amp;" "&amp;M935&amp;" "&amp;N935</f>
        <v>Lunch with Walter   </v>
      </c>
      <c r="G935" t="s">
        <f>TEXT(D935,"mmm dd")</f>
        <v>1426</v>
      </c>
      <c r="I935" t="s">
        <v>813</v>
      </c>
      <c r="J935" t="s">
        <v>755</v>
      </c>
      <c r="K935" t="s">
        <v>1427</v>
      </c>
    </row>
    <row r="936" spans="1:23">
      <c r="A936">
        <v>20</v>
      </c>
      <c r="B936">
        <v>11</v>
      </c>
      <c r="C936">
        <v>2009</v>
      </c>
      <c r="D936" s="3" t="str">
        <f>B936&amp;"/"&amp;A936&amp;"/"&amp;C936</f>
        <v>11/20/2009</v>
      </c>
      <c r="E936">
        <v>1.0833333333333333</v>
      </c>
      <c r="F936" t="str">
        <f>I936&amp;" "&amp;J936&amp;" "&amp;K936&amp;" "&amp;L936&amp;" "&amp;M936&amp;" "&amp;N936</f>
        <v>Renter assistance    </v>
      </c>
      <c r="G936" t="s">
        <f>TEXT(D936,"mmm dd")</f>
        <v>1030</v>
      </c>
      <c r="I936" t="inlineStr">
        <is>
          <t>Renter</t>
        </is>
      </c>
      <c r="J936" t="inlineStr">
        <is>
          <t>assistance</t>
        </is>
      </c>
    </row>
    <row r="937" spans="1:23">
      <c r="A937">
        <v>22</v>
      </c>
      <c r="B937">
        <v>11</v>
      </c>
      <c r="C937">
        <v>2009</v>
      </c>
      <c r="D937" s="3" t="str">
        <f>B937&amp;"/"&amp;A937&amp;"/"&amp;C937</f>
        <v>11/22/2009</v>
      </c>
      <c r="E937">
        <v>0.875</v>
      </c>
      <c r="F937" t="str">
        <f>I937&amp;" "&amp;J937&amp;" "&amp;K937&amp;" "&amp;L937&amp;" "&amp;M937&amp;" "&amp;N937</f>
        <v>Observe Kamehameha not Christ King </v>
      </c>
      <c r="G937" t="s">
        <f>TEXT(D937,"mmm dd")</f>
        <v>1428</v>
      </c>
      <c r="I937" t="inlineStr">
        <is>
          <t>Observe</t>
        </is>
      </c>
      <c r="J937" t="inlineStr">
        <is>
          <t>Kamehameha</t>
        </is>
      </c>
      <c r="K937" t="s">
        <v>1344</v>
      </c>
      <c r="L937" t="s">
        <v>1429</v>
      </c>
      <c r="M937" t="s">
        <v>1430</v>
      </c>
    </row>
    <row r="938" spans="1:23">
      <c r="A938">
        <v>24</v>
      </c>
      <c r="B938">
        <v>11</v>
      </c>
      <c r="C938">
        <v>2009</v>
      </c>
      <c r="D938" s="3" t="str">
        <f>B938&amp;"/"&amp;A938&amp;"/"&amp;C938</f>
        <v>11/24/2009</v>
      </c>
      <c r="E938">
        <v>0.875</v>
      </c>
      <c r="F938" t="s">
        <f>I938&amp;" "&amp;J938&amp;" "&amp;K938&amp;" "&amp;L938&amp;" "&amp;M938&amp;" "&amp;N938</f>
        <v>1431</v>
      </c>
      <c r="G938" t="s">
        <f>TEXT(D938,"mmm dd")</f>
        <v>1039</v>
      </c>
      <c r="I938" t="s">
        <v>756</v>
      </c>
      <c r="J938" t="s">
        <v>1195</v>
      </c>
    </row>
    <row r="939" spans="1:23">
      <c r="A939">
        <v>25</v>
      </c>
      <c r="B939">
        <v>11</v>
      </c>
      <c r="C939">
        <v>2009</v>
      </c>
      <c r="D939" s="3" t="s">
        <f>B939&amp;"/"&amp;A939&amp;"/"&amp;C939</f>
        <v>1432</v>
      </c>
      <c r="E939">
        <v>0.95833333333333337</v>
      </c>
      <c r="F939" t="s">
        <f>I939&amp;" "&amp;J939&amp;" "&amp;K939&amp;" "&amp;L939&amp;" "&amp;M939&amp;" "&amp;N939</f>
        <v>1418</v>
      </c>
      <c r="G939" t="s">
        <f>TEXT(D939,"mmm dd")</f>
        <v>1433</v>
      </c>
      <c r="I939" t="s">
        <v>1419</v>
      </c>
      <c r="J939" t="s">
        <v>1420</v>
      </c>
    </row>
    <row r="940" spans="1:23">
      <c r="A940">
        <v>25</v>
      </c>
      <c r="B940">
        <v>11</v>
      </c>
      <c r="C940">
        <v>2009</v>
      </c>
      <c r="D940" s="3" t="s">
        <f>B940&amp;"/"&amp;A940&amp;"/"&amp;C940</f>
        <v>1432</v>
      </c>
      <c r="E940">
        <v>1.0625</v>
      </c>
      <c r="F940" t="str">
        <f>I940&amp;" "&amp;J940&amp;" "&amp;K940&amp;" "&amp;L940&amp;" "&amp;M940&amp;" "&amp;N940</f>
        <v>Warren for lunch   </v>
      </c>
      <c r="G940" t="s">
        <f>TEXT(D940,"mmm dd")</f>
        <v>1433</v>
      </c>
      <c r="I940" t="inlineStr">
        <is>
          <t>Warren</t>
        </is>
      </c>
      <c r="J940" t="s">
        <v>439</v>
      </c>
      <c r="K940" t="s">
        <v>440</v>
      </c>
    </row>
    <row r="941" spans="1:23">
      <c r="A941">
        <v>27</v>
      </c>
      <c r="B941">
        <v>11</v>
      </c>
      <c r="C941">
        <v>2009</v>
      </c>
      <c r="D941" s="3" t="str">
        <f>B941&amp;"/"&amp;A941&amp;"/"&amp;C941</f>
        <v>11/27/2009</v>
      </c>
      <c r="E941" t="s">
        <v>42</v>
      </c>
      <c r="F941" t="str">
        <f>I941&amp;" "&amp;J941&amp;" "&amp;K941&amp;" "&amp;L941&amp;" "&amp;M941&amp;" "&amp;N941</f>
        <v>Phillis Tickle @ St. Clements </v>
      </c>
      <c r="G941" t="s">
        <f>TEXT(D941,"mmm dd")</f>
        <v>1045</v>
      </c>
      <c r="I941" t="inlineStr">
        <is>
          <t>Phillis</t>
        </is>
      </c>
      <c r="J941" t="inlineStr">
        <is>
          <t>Tickle</t>
        </is>
      </c>
      <c r="K941" t="s">
        <v>48</v>
      </c>
      <c r="L941" t="s">
        <v>218</v>
      </c>
      <c r="M941" t="s">
        <v>957</v>
      </c>
    </row>
    <row r="942" spans="1:23">
      <c r="A942">
        <v>28</v>
      </c>
      <c r="B942">
        <v>11</v>
      </c>
      <c r="C942">
        <v>2009</v>
      </c>
      <c r="D942" s="3" t="s">
        <f>B942&amp;"/"&amp;A942&amp;"/"&amp;C942</f>
        <v>1434</v>
      </c>
      <c r="E942">
        <v>1.0416666666666667</v>
      </c>
      <c r="F942" t="str">
        <f>I942&amp;" "&amp;J942&amp;" "&amp;K942&amp;" "&amp;L942&amp;" "&amp;M942&amp;" "&amp;N942</f>
        <v>Major feast Kamehamea @ Cath </v>
      </c>
      <c r="G942" t="s">
        <f>TEXT(D942,"mmm dd")</f>
        <v>1435</v>
      </c>
      <c r="I942" t="inlineStr">
        <is>
          <t>Major</t>
        </is>
      </c>
      <c r="J942" t="inlineStr">
        <is>
          <t>feast</t>
        </is>
      </c>
      <c r="K942" t="inlineStr">
        <is>
          <t>Kamehamea</t>
        </is>
      </c>
      <c r="L942" t="s">
        <v>48</v>
      </c>
      <c r="M942" t="inlineStr">
        <is>
          <t>Cath</t>
        </is>
      </c>
    </row>
    <row r="943" spans="1:23">
      <c r="A943">
        <v>28</v>
      </c>
      <c r="B943">
        <v>11</v>
      </c>
      <c r="C943">
        <v>2009</v>
      </c>
      <c r="D943" s="3" t="s">
        <f>B943&amp;"/"&amp;A943&amp;"/"&amp;C943</f>
        <v>1434</v>
      </c>
      <c r="E943">
        <v>0.97916666666666663</v>
      </c>
      <c r="F943" t="str">
        <f>I943&amp;" "&amp;J943&amp;" "&amp;K943&amp;" "&amp;L943&amp;" "&amp;M943&amp;" "&amp;N943</f>
        <v>Festive Euch @ St. And </v>
      </c>
      <c r="G943" t="s">
        <f>TEXT(D943,"mmm dd")</f>
        <v>1435</v>
      </c>
      <c r="I943" t="inlineStr">
        <is>
          <t>Festive</t>
        </is>
      </c>
      <c r="J943" t="inlineStr">
        <is>
          <t>Euch</t>
        </is>
      </c>
      <c r="K943" t="s">
        <v>48</v>
      </c>
      <c r="L943" t="s">
        <v>218</v>
      </c>
      <c r="M943" t="inlineStr">
        <is>
          <t>And</t>
        </is>
      </c>
    </row>
    <row r="944" spans="1:23">
      <c r="A944">
        <v>28</v>
      </c>
      <c r="B944">
        <v>11</v>
      </c>
      <c r="C944">
        <v>2009</v>
      </c>
      <c r="D944" s="3" t="s">
        <f>B944&amp;"/"&amp;A944&amp;"/"&amp;C944</f>
        <v>1434</v>
      </c>
      <c r="E944">
        <v>0.91666666666666663</v>
      </c>
      <c r="F944" t="str">
        <f>I944&amp;" "&amp;J944&amp;" "&amp;K944&amp;" "&amp;L944&amp;" "&amp;M944&amp;" "&amp;N944</f>
        <v>Meet @ Murray's w  truck</v>
      </c>
      <c r="G944" t="s">
        <f>TEXT(D944,"mmm dd")</f>
        <v>1435</v>
      </c>
      <c r="I944" t="s">
        <v>300</v>
      </c>
      <c r="J944" t="s">
        <v>48</v>
      </c>
      <c r="K944" t="inlineStr">
        <is>
          <t>Murray's</t>
        </is>
      </c>
      <c r="L944" t="s">
        <v>591</v>
      </c>
      <c r="N944" t="s">
        <v>1436</v>
      </c>
    </row>
    <row r="945" spans="1:23">
      <c r="A945">
        <v>30</v>
      </c>
      <c r="B945">
        <v>11</v>
      </c>
      <c r="C945">
        <v>2009</v>
      </c>
      <c r="D945" s="3" t="str">
        <f>B945&amp;"/"&amp;A945&amp;"/"&amp;C945</f>
        <v>11/30/2009</v>
      </c>
      <c r="E945">
        <v>0.20833333333333334</v>
      </c>
      <c r="F945" t="str">
        <f>I945&amp;" "&amp;J945&amp;" "&amp;K945&amp;" "&amp;L945&amp;" "&amp;M945&amp;" "&amp;N945</f>
        <v>Sandwiches with Walter   </v>
      </c>
      <c r="G945" t="s">
        <f>TEXT(D945,"mmm dd")</f>
        <v>1051</v>
      </c>
      <c r="I945" t="inlineStr">
        <is>
          <t>Sandwiches</t>
        </is>
      </c>
      <c r="J945" t="s">
        <v>755</v>
      </c>
      <c r="K945" t="s">
        <v>1427</v>
      </c>
    </row>
    <row r="946" spans="1:23">
      <c r="A946">
        <v>1</v>
      </c>
      <c r="B946">
        <v>12</v>
      </c>
      <c r="C946">
        <v>2009</v>
      </c>
      <c r="D946" s="3" t="str">
        <f>B946&amp;"/"&amp;A946&amp;"/"&amp;C946</f>
        <v>12/1/2009</v>
      </c>
      <c r="E946">
        <v>0.95833333333333337</v>
      </c>
      <c r="F946" t="str">
        <f>I946&amp;" "&amp;J946&amp;" "&amp;K946&amp;" "&amp;L946&amp;" "&amp;M946&amp;" "&amp;N946</f>
        <v>Rev. Wu re. times  </v>
      </c>
      <c r="G946" t="s">
        <f>TEXT(D946,"mmm dd")</f>
        <v>1437</v>
      </c>
      <c r="I946" t="inlineStr">
        <is>
          <t>Rev.</t>
        </is>
      </c>
      <c r="J946" t="s">
        <v>1280</v>
      </c>
      <c r="K946" t="s">
        <v>633</v>
      </c>
      <c r="L946" t="inlineStr">
        <is>
          <t>times</t>
        </is>
      </c>
    </row>
    <row r="947" spans="1:23">
      <c r="A947">
        <v>2</v>
      </c>
      <c r="B947">
        <v>12</v>
      </c>
      <c r="C947">
        <v>2009</v>
      </c>
      <c r="D947" s="3" t="str">
        <f>B947&amp;"/"&amp;A947&amp;"/"&amp;C947</f>
        <v>12/2/2009</v>
      </c>
      <c r="E947">
        <v>0.27083333333333331</v>
      </c>
      <c r="F947" t="s">
        <f>I947&amp;" "&amp;J947&amp;" "&amp;K947&amp;" "&amp;L947&amp;" "&amp;M947&amp;" "&amp;N947</f>
        <v>1424</v>
      </c>
      <c r="G947" t="s">
        <f>TEXT(D947,"mmm dd")</f>
        <v>1438</v>
      </c>
      <c r="I947" t="s">
        <v>1413</v>
      </c>
      <c r="J947" t="s">
        <v>73</v>
      </c>
      <c r="K947" t="s">
        <v>1412</v>
      </c>
    </row>
    <row r="948" spans="1:23">
      <c r="A948">
        <v>4</v>
      </c>
      <c r="B948">
        <v>12</v>
      </c>
      <c r="C948">
        <v>2009</v>
      </c>
      <c r="D948" s="3" t="s">
        <f>B948&amp;"/"&amp;A948&amp;"/"&amp;C948</f>
        <v>1439</v>
      </c>
      <c r="E948">
        <v>0.875</v>
      </c>
      <c r="F948" t="s">
        <f>I948&amp;" "&amp;J948&amp;" "&amp;K948&amp;" "&amp;L948&amp;" "&amp;M948&amp;" "&amp;N948</f>
        <v>1440</v>
      </c>
      <c r="G948" t="s">
        <f>TEXT(D948,"mmm dd")</f>
        <v>1057</v>
      </c>
      <c r="I948" t="s">
        <v>695</v>
      </c>
      <c r="J948" t="s">
        <v>751</v>
      </c>
      <c r="K948" t="s">
        <v>1229</v>
      </c>
    </row>
    <row r="949" spans="1:23">
      <c r="A949">
        <v>4</v>
      </c>
      <c r="B949">
        <v>12</v>
      </c>
      <c r="C949">
        <v>2009</v>
      </c>
      <c r="D949" s="3" t="s">
        <f>B949&amp;"/"&amp;A949&amp;"/"&amp;C949</f>
        <v>1439</v>
      </c>
      <c r="E949">
        <v>0.875</v>
      </c>
      <c r="F949" t="s">
        <f>I949&amp;" "&amp;J949&amp;" "&amp;K949&amp;" "&amp;L949&amp;" "&amp;M949&amp;" "&amp;N949</f>
        <v>1440</v>
      </c>
      <c r="G949" t="s">
        <f>TEXT(D949,"mmm dd")</f>
        <v>1057</v>
      </c>
      <c r="I949" t="s">
        <v>695</v>
      </c>
      <c r="J949" t="s">
        <v>751</v>
      </c>
      <c r="K949" t="s">
        <v>1229</v>
      </c>
    </row>
    <row r="950" spans="1:23">
      <c r="A950">
        <v>4</v>
      </c>
      <c r="B950">
        <v>12</v>
      </c>
      <c r="C950">
        <v>2009</v>
      </c>
      <c r="D950" s="3" t="s">
        <f>B950&amp;"/"&amp;A950&amp;"/"&amp;C950</f>
        <v>1439</v>
      </c>
      <c r="E950">
        <v>0.875</v>
      </c>
      <c r="F950" t="s">
        <f>I950&amp;" "&amp;J950&amp;" "&amp;K950&amp;" "&amp;L950&amp;" "&amp;M950&amp;" "&amp;N950</f>
        <v>1440</v>
      </c>
      <c r="G950" t="s">
        <f>TEXT(D950,"mmm dd")</f>
        <v>1057</v>
      </c>
      <c r="I950" t="s">
        <v>695</v>
      </c>
      <c r="J950" t="s">
        <v>751</v>
      </c>
      <c r="K950" t="s">
        <v>1229</v>
      </c>
    </row>
    <row r="951" spans="1:23">
      <c r="A951">
        <v>5</v>
      </c>
      <c r="B951">
        <v>12</v>
      </c>
      <c r="C951">
        <v>2009</v>
      </c>
      <c r="D951" s="3" t="s">
        <f>B951&amp;"/"&amp;A951&amp;"/"&amp;C951</f>
        <v>1441</v>
      </c>
      <c r="E951">
        <v>0.15972222222222221</v>
      </c>
      <c r="F951" t="s">
        <f>I951&amp;" "&amp;J951&amp;" "&amp;K951&amp;" "&amp;L951&amp;" "&amp;M951&amp;" "&amp;N951</f>
        <v>937</v>
      </c>
      <c r="G951" t="s">
        <f>TEXT(D951,"mmm dd")</f>
        <v>1060</v>
      </c>
      <c r="I951" t="s">
        <v>847</v>
      </c>
      <c r="J951" t="s">
        <v>918</v>
      </c>
    </row>
    <row r="952" spans="1:23">
      <c r="A952">
        <v>5</v>
      </c>
      <c r="B952">
        <v>12</v>
      </c>
      <c r="C952">
        <v>2009</v>
      </c>
      <c r="D952" s="3" t="s">
        <f>B952&amp;"/"&amp;A952&amp;"/"&amp;C952</f>
        <v>1441</v>
      </c>
      <c r="E952">
        <v>0.91666666666666663</v>
      </c>
      <c r="F952" t="str">
        <f>I952&amp;" "&amp;J952&amp;" "&amp;K952&amp;" "&amp;L952&amp;" "&amp;M952&amp;" "&amp;N952</f>
        <v>Decorate Gathering Rm   </v>
      </c>
      <c r="G952" t="s">
        <f>TEXT(D952,"mmm dd")</f>
        <v>1060</v>
      </c>
      <c r="I952" t="inlineStr">
        <is>
          <t>Decorate</t>
        </is>
      </c>
      <c r="J952" t="s">
        <v>1442</v>
      </c>
      <c r="K952" t="inlineStr">
        <is>
          <t>Rm</t>
        </is>
      </c>
    </row>
    <row r="953" spans="1:23">
      <c r="A953">
        <v>5</v>
      </c>
      <c r="B953">
        <v>12</v>
      </c>
      <c r="C953">
        <v>2009</v>
      </c>
      <c r="D953" s="3" t="s">
        <f>B953&amp;"/"&amp;A953&amp;"/"&amp;C953</f>
        <v>1441</v>
      </c>
      <c r="E953">
        <v>0.95833333333333337</v>
      </c>
      <c r="F953" t="str">
        <f>I953&amp;" "&amp;J953&amp;" "&amp;K953&amp;" "&amp;L953&amp;" "&amp;M953&amp;" "&amp;N953</f>
        <v>Walk thro' play   </v>
      </c>
      <c r="G953" t="s">
        <f>TEXT(D953,"mmm dd")</f>
        <v>1060</v>
      </c>
      <c r="I953" t="s">
        <v>1443</v>
      </c>
      <c r="J953" t="inlineStr">
        <is>
          <t>thro'</t>
        </is>
      </c>
      <c r="K953" t="s">
        <v>54</v>
      </c>
    </row>
    <row r="954" spans="1:23">
      <c r="A954">
        <v>6</v>
      </c>
      <c r="B954">
        <v>12</v>
      </c>
      <c r="C954">
        <v>2009</v>
      </c>
      <c r="D954" s="3" t="s">
        <f>B954&amp;"/"&amp;A954&amp;"/"&amp;C954</f>
        <v>1444</v>
      </c>
      <c r="E954" t="s">
        <v>42</v>
      </c>
      <c r="F954" t="str">
        <f>I954&amp;" "&amp;J954&amp;" "&amp;K954&amp;" "&amp;L954&amp;" "&amp;M954&amp;" "&amp;N954</f>
        <v>Retreat     </v>
      </c>
      <c r="G954" t="s">
        <f>TEXT(D954,"mmm dd")</f>
        <v>1445</v>
      </c>
      <c r="I954" t="s">
        <v>913</v>
      </c>
    </row>
    <row r="955" spans="1:23">
      <c r="A955">
        <v>6</v>
      </c>
      <c r="B955">
        <v>12</v>
      </c>
      <c r="C955">
        <v>2009</v>
      </c>
      <c r="D955" s="3" t="s">
        <f>B955&amp;"/"&amp;A955&amp;"/"&amp;C955</f>
        <v>1444</v>
      </c>
      <c r="E955">
        <v>0.95833333333333337</v>
      </c>
      <c r="F955" t="str">
        <f>I955&amp;" "&amp;J955&amp;" "&amp;K955&amp;" "&amp;L955&amp;" "&amp;M955&amp;" "&amp;N955</f>
        <v>Annoint Sets    </v>
      </c>
      <c r="G955" t="s">
        <f>TEXT(D955,"mmm dd")</f>
        <v>1445</v>
      </c>
      <c r="I955" t="inlineStr">
        <is>
          <t>Annoint</t>
        </is>
      </c>
      <c r="J955" t="s">
        <v>437</v>
      </c>
    </row>
    <row r="956" spans="1:23">
      <c r="A956">
        <v>7</v>
      </c>
      <c r="B956">
        <v>12</v>
      </c>
      <c r="C956">
        <v>2009</v>
      </c>
      <c r="D956" s="3" t="s">
        <f>B956&amp;"/"&amp;A956&amp;"/"&amp;C956</f>
        <v>1446</v>
      </c>
      <c r="E956" t="s">
        <v>42</v>
      </c>
      <c r="F956" t="str">
        <f>I956&amp;" "&amp;J956&amp;" "&amp;K956&amp;" "&amp;L956&amp;" "&amp;M956&amp;" "&amp;N956</f>
        <v>Sets surgery on knee  </v>
      </c>
      <c r="G956" t="s">
        <f>TEXT(D956,"mmm dd")</f>
        <v>1447</v>
      </c>
      <c r="I956" t="s">
        <v>437</v>
      </c>
      <c r="J956" t="s">
        <v>1448</v>
      </c>
      <c r="K956" t="s">
        <v>1449</v>
      </c>
      <c r="L956" t="inlineStr">
        <is>
          <t>knee</t>
        </is>
      </c>
    </row>
    <row r="957" spans="1:23">
      <c r="A957">
        <v>7</v>
      </c>
      <c r="B957">
        <v>12</v>
      </c>
      <c r="C957">
        <v>2009</v>
      </c>
      <c r="D957" s="3" t="s">
        <f>B957&amp;"/"&amp;A957&amp;"/"&amp;C957</f>
        <v>1446</v>
      </c>
      <c r="E957">
        <v>0.20833333333333334</v>
      </c>
      <c r="F957" t="str">
        <f>I957&amp;" "&amp;J957&amp;" "&amp;K957&amp;" "&amp;L957&amp;" "&amp;M957&amp;" "&amp;N957</f>
        <v>Arrive monastery    </v>
      </c>
      <c r="G957" t="s">
        <f>TEXT(D957,"mmm dd")</f>
        <v>1447</v>
      </c>
      <c r="I957" t="s">
        <v>1450</v>
      </c>
      <c r="J957" t="inlineStr">
        <is>
          <t>monastery</t>
        </is>
      </c>
      <c r="O957">
        <v>9</v>
      </c>
      <c r="P957">
        <v>1</v>
      </c>
    </row>
    <row r="958" spans="1:23">
      <c r="A958">
        <v>10</v>
      </c>
      <c r="B958">
        <v>12</v>
      </c>
      <c r="C958">
        <v>2009</v>
      </c>
      <c r="D958" s="3" t="str">
        <f>B958&amp;"/"&amp;A958&amp;"/"&amp;C958</f>
        <v>12/10/2009</v>
      </c>
      <c r="E958">
        <v>0.89583333333333337</v>
      </c>
      <c r="F958" t="s">
        <f>I958&amp;" "&amp;J958&amp;" "&amp;K958&amp;" "&amp;L958&amp;" "&amp;M958&amp;" "&amp;N958</f>
        <v>1451</v>
      </c>
      <c r="G958" t="s">
        <f>TEXT(D958,"mmm dd")</f>
        <v>1452</v>
      </c>
      <c r="I958" t="s">
        <v>291</v>
      </c>
      <c r="J958" t="s">
        <v>55</v>
      </c>
      <c r="K958" t="s">
        <v>1453</v>
      </c>
    </row>
    <row r="959" spans="1:23">
      <c r="A959">
        <v>11</v>
      </c>
      <c r="B959">
        <v>12</v>
      </c>
      <c r="C959">
        <v>2009</v>
      </c>
      <c r="D959" s="3" t="s">
        <f>B959&amp;"/"&amp;A959&amp;"/"&amp;C959</f>
        <v>1454</v>
      </c>
      <c r="E959">
        <v>1</v>
      </c>
      <c r="F959" t="str">
        <f>I959&amp;" "&amp;J959&amp;" "&amp;K959&amp;" "&amp;L959&amp;" "&amp;M959&amp;" "&amp;N959</f>
        <v>Set up silent auction  </v>
      </c>
      <c r="G959" t="s">
        <f>TEXT(D959,"mmm dd")</f>
        <v>1455</v>
      </c>
      <c r="I959" t="inlineStr">
        <is>
          <t>Set</t>
        </is>
      </c>
      <c r="J959" t="s">
        <v>807</v>
      </c>
      <c r="K959" t="inlineStr">
        <is>
          <t>silent</t>
        </is>
      </c>
      <c r="L959" t="inlineStr">
        <is>
          <t>auction</t>
        </is>
      </c>
    </row>
    <row r="960" spans="1:23">
      <c r="A960">
        <v>11</v>
      </c>
      <c r="B960">
        <v>12</v>
      </c>
      <c r="C960">
        <v>2009</v>
      </c>
      <c r="D960" s="3" t="s">
        <f>B960&amp;"/"&amp;A960&amp;"/"&amp;C960</f>
        <v>1454</v>
      </c>
      <c r="E960">
        <v>0.27083333333333331</v>
      </c>
      <c r="F960" t="s">
        <f>I960&amp;" "&amp;J960&amp;" "&amp;K960&amp;" "&amp;L960&amp;" "&amp;M960&amp;" "&amp;N960</f>
        <v>1424</v>
      </c>
      <c r="G960" t="s">
        <f>TEXT(D960,"mmm dd")</f>
        <v>1455</v>
      </c>
      <c r="I960" t="s">
        <v>1413</v>
      </c>
      <c r="J960" t="s">
        <v>73</v>
      </c>
      <c r="K960" t="s">
        <v>1412</v>
      </c>
    </row>
    <row r="961" spans="1:23">
      <c r="A961">
        <v>13</v>
      </c>
      <c r="B961">
        <v>12</v>
      </c>
      <c r="C961">
        <v>2009</v>
      </c>
      <c r="D961" s="3" t="str">
        <f>B961&amp;"/"&amp;A961&amp;"/"&amp;C961</f>
        <v>12/13/2009</v>
      </c>
      <c r="E961">
        <v>0.20833333333333334</v>
      </c>
      <c r="F961" t="s">
        <f>I961&amp;" "&amp;J961&amp;" "&amp;K961&amp;" "&amp;L961&amp;" "&amp;M961&amp;" "&amp;N961</f>
        <v>1456</v>
      </c>
      <c r="G961" t="s">
        <f>TEXT(D961,"mmm dd")</f>
        <v>1071</v>
      </c>
      <c r="I961" t="s">
        <v>1068</v>
      </c>
      <c r="J961" t="s">
        <v>1457</v>
      </c>
    </row>
    <row r="962" spans="1:23">
      <c r="A962">
        <v>15</v>
      </c>
      <c r="B962">
        <v>12</v>
      </c>
      <c r="C962">
        <v>2009</v>
      </c>
      <c r="D962" s="3" t="s">
        <f>B962&amp;"/"&amp;A962&amp;"/"&amp;C962</f>
        <v>1458</v>
      </c>
      <c r="E962">
        <v>0.875</v>
      </c>
      <c r="F962" t="s">
        <f>I962&amp;" "&amp;J962&amp;" "&amp;K962&amp;" "&amp;L962&amp;" "&amp;M962&amp;" "&amp;N962</f>
        <v>1431</v>
      </c>
      <c r="G962" t="s">
        <f>TEXT(D962,"mmm dd")</f>
        <v>1088</v>
      </c>
      <c r="I962" t="s">
        <v>756</v>
      </c>
      <c r="J962" t="s">
        <v>1195</v>
      </c>
    </row>
    <row r="963" spans="1:23">
      <c r="A963">
        <v>15</v>
      </c>
      <c r="B963">
        <v>12</v>
      </c>
      <c r="C963">
        <v>2009</v>
      </c>
      <c r="D963" s="3" t="s">
        <f>B963&amp;"/"&amp;A963&amp;"/"&amp;C963</f>
        <v>1458</v>
      </c>
      <c r="E963">
        <v>1</v>
      </c>
      <c r="F963" t="str">
        <f>I963&amp;" "&amp;J963&amp;" "&amp;K963&amp;" "&amp;L963&amp;" "&amp;M963&amp;" "&amp;N963</f>
        <v>Clericus @ Holy Nativity  </v>
      </c>
      <c r="G963" t="s">
        <f>TEXT(D963,"mmm dd")</f>
        <v>1088</v>
      </c>
      <c r="I963" t="s">
        <v>1409</v>
      </c>
      <c r="J963" t="s">
        <v>48</v>
      </c>
      <c r="K963" t="s">
        <v>412</v>
      </c>
      <c r="L963" t="s">
        <v>454</v>
      </c>
    </row>
    <row r="964" spans="1:23">
      <c r="A964">
        <v>16</v>
      </c>
      <c r="B964">
        <v>12</v>
      </c>
      <c r="C964">
        <v>2009</v>
      </c>
      <c r="D964" s="3" t="str">
        <f>B964&amp;"/"&amp;A964&amp;"/"&amp;C964</f>
        <v>12/16/2009</v>
      </c>
      <c r="E964">
        <v>0.29166666666666669</v>
      </c>
      <c r="F964" t="s">
        <f>I964&amp;" "&amp;J964&amp;" "&amp;K964&amp;" "&amp;L964&amp;" "&amp;M964&amp;" "&amp;N964</f>
        <v>1451</v>
      </c>
      <c r="G964" t="s">
        <f>TEXT(D964,"mmm dd")</f>
        <v>1093</v>
      </c>
      <c r="I964" t="s">
        <v>291</v>
      </c>
      <c r="J964" t="s">
        <v>55</v>
      </c>
      <c r="K964" t="s">
        <v>1453</v>
      </c>
    </row>
    <row r="965" spans="1:23">
      <c r="A965">
        <v>17</v>
      </c>
      <c r="B965">
        <v>12</v>
      </c>
      <c r="C965">
        <v>2009</v>
      </c>
      <c r="D965" s="3" t="s">
        <f>B965&amp;"/"&amp;A965&amp;"/"&amp;C965</f>
        <v>1459</v>
      </c>
      <c r="E965" t="s">
        <v>42</v>
      </c>
      <c r="F965" t="s">
        <f>I965&amp;" "&amp;J965&amp;" "&amp;K965&amp;" "&amp;L965&amp;" "&amp;M965&amp;" "&amp;N965</f>
        <v>717</v>
      </c>
      <c r="G965" t="s">
        <f>TEXT(D965,"mmm dd")</f>
        <v>1097</v>
      </c>
      <c r="I965" t="s">
        <v>456</v>
      </c>
      <c r="J965" t="s">
        <v>718</v>
      </c>
    </row>
    <row r="966" spans="1:23">
      <c r="A966">
        <v>17</v>
      </c>
      <c r="B966">
        <v>12</v>
      </c>
      <c r="C966">
        <v>2009</v>
      </c>
      <c r="D966" s="3" t="s">
        <f>B966&amp;"/"&amp;A966&amp;"/"&amp;C966</f>
        <v>1459</v>
      </c>
      <c r="E966">
        <v>1.0416666666666667</v>
      </c>
      <c r="F966" t="str">
        <f>I966&amp;" "&amp;J966&amp;" "&amp;K966&amp;" "&amp;L966&amp;" "&amp;M966&amp;" "&amp;N966</f>
        <v>Walter S plan   </v>
      </c>
      <c r="G966" t="s">
        <f>TEXT(D966,"mmm dd")</f>
        <v>1097</v>
      </c>
      <c r="I966" t="s">
        <v>1427</v>
      </c>
      <c r="J966" t="s">
        <v>1460</v>
      </c>
      <c r="K966" t="s">
        <v>1461</v>
      </c>
    </row>
    <row r="967" spans="1:23">
      <c r="A967">
        <v>18</v>
      </c>
      <c r="B967">
        <v>12</v>
      </c>
      <c r="C967">
        <v>2009</v>
      </c>
      <c r="D967" s="3" t="s">
        <f>B967&amp;"/"&amp;A967&amp;"/"&amp;C967</f>
        <v>1462</v>
      </c>
      <c r="E967" t="s">
        <v>42</v>
      </c>
      <c r="F967" t="str">
        <f>I967&amp;" "&amp;J967&amp;" "&amp;K967&amp;" "&amp;L967&amp;" "&amp;M967&amp;" "&amp;N967</f>
        <v>Nancy's Christmas dinner   </v>
      </c>
      <c r="G967" t="s">
        <f>TEXT(D967,"mmm dd")</f>
        <v>1104</v>
      </c>
      <c r="I967" t="s">
        <v>1074</v>
      </c>
      <c r="J967" t="s">
        <v>1068</v>
      </c>
      <c r="K967" t="s">
        <v>517</v>
      </c>
    </row>
    <row r="968" spans="1:23">
      <c r="A968">
        <v>18</v>
      </c>
      <c r="B968">
        <v>12</v>
      </c>
      <c r="C968">
        <v>2009</v>
      </c>
      <c r="D968" s="3" t="s">
        <f>B968&amp;"/"&amp;A968&amp;"/"&amp;C968</f>
        <v>1462</v>
      </c>
      <c r="E968">
        <v>0.16666666666666666</v>
      </c>
      <c r="F968" t="str">
        <f>I968&amp;" "&amp;J968&amp;" "&amp;K968&amp;" "&amp;L968&amp;" "&amp;M968&amp;" "&amp;N968</f>
        <v>P U girls Ala Moana </v>
      </c>
      <c r="G968" t="s">
        <f>TEXT(D968,"mmm dd")</f>
        <v>1104</v>
      </c>
      <c r="I968" t="s">
        <v>615</v>
      </c>
      <c r="J968" t="s">
        <v>616</v>
      </c>
      <c r="K968" t="s">
        <v>822</v>
      </c>
      <c r="L968" t="s">
        <v>999</v>
      </c>
      <c r="M968" t="s">
        <v>1000</v>
      </c>
    </row>
    <row r="969" spans="1:23">
      <c r="A969">
        <v>19</v>
      </c>
      <c r="B969">
        <v>12</v>
      </c>
      <c r="C969">
        <v>2009</v>
      </c>
      <c r="D969" s="3" t="s">
        <f>B969&amp;"/"&amp;A969&amp;"/"&amp;C969</f>
        <v>1463</v>
      </c>
      <c r="E969" t="s">
        <v>42</v>
      </c>
      <c r="F969" t="str">
        <f>I969&amp;" "&amp;J969&amp;" "&amp;K969&amp;" "&amp;L969&amp;" "&amp;M969&amp;" "&amp;N969</f>
        <v>Devotion for SC   </v>
      </c>
      <c r="G969" t="s">
        <f>TEXT(D969,"mmm dd")</f>
        <v>1114</v>
      </c>
      <c r="I969" t="inlineStr">
        <is>
          <t>Devotion</t>
        </is>
      </c>
      <c r="J969" t="s">
        <v>439</v>
      </c>
      <c r="K969" t="s">
        <v>1301</v>
      </c>
    </row>
    <row r="970" spans="1:23">
      <c r="A970">
        <v>19</v>
      </c>
      <c r="B970">
        <v>12</v>
      </c>
      <c r="C970">
        <v>2009</v>
      </c>
      <c r="D970" s="3" t="s">
        <f>B970&amp;"/"&amp;A970&amp;"/"&amp;C970</f>
        <v>1463</v>
      </c>
      <c r="E970">
        <v>0.875</v>
      </c>
      <c r="F970" t="str">
        <f>I970&amp;" "&amp;J970&amp;" "&amp;K970&amp;" "&amp;L970&amp;" "&amp;M970&amp;" "&amp;N970</f>
        <v>Paddling meet    </v>
      </c>
      <c r="G970" t="s">
        <f>TEXT(D970,"mmm dd")</f>
        <v>1114</v>
      </c>
      <c r="I970" t="s">
        <v>1464</v>
      </c>
      <c r="J970" t="s">
        <v>1210</v>
      </c>
    </row>
    <row r="971" spans="1:23">
      <c r="A971">
        <v>21</v>
      </c>
      <c r="B971">
        <v>12</v>
      </c>
      <c r="C971">
        <v>2009</v>
      </c>
      <c r="D971" s="3" t="s">
        <f>B971&amp;"/"&amp;A971&amp;"/"&amp;C971</f>
        <v>1465</v>
      </c>
      <c r="E971" t="s">
        <v>42</v>
      </c>
      <c r="F971" t="str">
        <f>I971&amp;" "&amp;J971&amp;" "&amp;K971&amp;" "&amp;L971&amp;" "&amp;M971&amp;" "&amp;N971</f>
        <v>Memorial for homeless @ St. Thos.</v>
      </c>
      <c r="G971" t="s">
        <f>TEXT(D971,"mmm dd")</f>
        <v>1127</v>
      </c>
      <c r="I971" t="s">
        <v>387</v>
      </c>
      <c r="J971" t="s">
        <v>439</v>
      </c>
      <c r="K971" t="inlineStr">
        <is>
          <t>homeless</t>
        </is>
      </c>
      <c r="L971" t="s">
        <v>48</v>
      </c>
      <c r="M971" t="s">
        <v>218</v>
      </c>
      <c r="N971" t="inlineStr">
        <is>
          <t>Thos.</t>
        </is>
      </c>
    </row>
    <row r="972" spans="1:23">
      <c r="A972">
        <v>21</v>
      </c>
      <c r="B972">
        <v>12</v>
      </c>
      <c r="C972">
        <v>2009</v>
      </c>
      <c r="D972" s="3" t="s">
        <f>B972&amp;"/"&amp;A972&amp;"/"&amp;C972</f>
        <v>1465</v>
      </c>
      <c r="E972">
        <v>1.0833333333333333</v>
      </c>
      <c r="F972" t="str">
        <f>I972&amp;" "&amp;J972&amp;" "&amp;K972&amp;" "&amp;L972&amp;" "&amp;M972&amp;" "&amp;N972</f>
        <v>Meet Sumidas @ Kaiser  </v>
      </c>
      <c r="G972" t="s">
        <f>TEXT(D972,"mmm dd")</f>
        <v>1127</v>
      </c>
      <c r="I972" t="s">
        <v>300</v>
      </c>
      <c r="J972" t="inlineStr">
        <is>
          <t>Sumidas</t>
        </is>
      </c>
      <c r="K972" t="s">
        <v>48</v>
      </c>
      <c r="L972" t="s">
        <v>1466</v>
      </c>
    </row>
    <row r="973" spans="1:23">
      <c r="A973">
        <v>23</v>
      </c>
      <c r="B973">
        <v>12</v>
      </c>
      <c r="C973">
        <v>2009</v>
      </c>
      <c r="D973" s="3" t="str">
        <f>B973&amp;"/"&amp;A973&amp;"/"&amp;C973</f>
        <v>12/23/2009</v>
      </c>
      <c r="E973">
        <v>1.0208333333333333</v>
      </c>
      <c r="F973" t="str">
        <f>I973&amp;" "&amp;J973&amp;" "&amp;K973&amp;" "&amp;L973&amp;" "&amp;M973&amp;" "&amp;N973</f>
        <v>Meet Sumida re funeral  </v>
      </c>
      <c r="G973" t="s">
        <f>TEXT(D973,"mmm dd")</f>
        <v>1129</v>
      </c>
      <c r="I973" t="s">
        <v>300</v>
      </c>
      <c r="J973" t="inlineStr">
        <is>
          <t>Sumida</t>
        </is>
      </c>
      <c r="K973" t="s">
        <v>594</v>
      </c>
      <c r="L973" t="s">
        <v>1116</v>
      </c>
      <c r="O973" t="s">
        <v>537</v>
      </c>
    </row>
    <row r="974" spans="1:23">
      <c r="A974">
        <v>24</v>
      </c>
      <c r="B974">
        <v>12</v>
      </c>
      <c r="C974">
        <v>2009</v>
      </c>
      <c r="D974" s="3" t="str">
        <f>B974&amp;"/"&amp;A974&amp;"/"&amp;C974</f>
        <v>12/24/2009</v>
      </c>
      <c r="E974">
        <v>0.95833333333333337</v>
      </c>
      <c r="F974" t="str">
        <f>I974&amp;" "&amp;J974&amp;" "&amp;K974&amp;" "&amp;L974&amp;" "&amp;M974&amp;" "&amp;N974</f>
        <v>sched Thelma communion   </v>
      </c>
      <c r="G974" t="s">
        <f>TEXT(D974,"mmm dd")</f>
        <v>1467</v>
      </c>
      <c r="I974" t="inlineStr">
        <is>
          <t>sched</t>
        </is>
      </c>
      <c r="J974" t="s">
        <v>1419</v>
      </c>
      <c r="K974" t="s">
        <v>1420</v>
      </c>
      <c r="O974" t="s">
        <v>1026</v>
      </c>
    </row>
    <row r="975" spans="1:23">
      <c r="A975">
        <v>25</v>
      </c>
      <c r="B975">
        <v>12</v>
      </c>
      <c r="C975">
        <v>2009</v>
      </c>
      <c r="D975" s="3" t="str">
        <f>B975&amp;"/"&amp;A975&amp;"/"&amp;C975</f>
        <v>12/25/2009</v>
      </c>
      <c r="E975">
        <v>0.125</v>
      </c>
      <c r="F975" t="str">
        <f>I975&amp;" "&amp;J975&amp;" "&amp;K975&amp;" "&amp;L975&amp;" "&amp;M975&amp;" "&amp;N975</f>
        <v>Meet Richert    </v>
      </c>
      <c r="G975" t="s">
        <f>TEXT(D975,"mmm dd")</f>
        <v>1468</v>
      </c>
      <c r="I975" t="s">
        <v>300</v>
      </c>
      <c r="J975" t="s">
        <v>1469</v>
      </c>
    </row>
    <row r="976" spans="1:23">
      <c r="A976">
        <v>27</v>
      </c>
      <c r="B976">
        <v>12</v>
      </c>
      <c r="C976">
        <v>2009</v>
      </c>
      <c r="D976" s="3" t="s">
        <f>B976&amp;"/"&amp;A976&amp;"/"&amp;C976</f>
        <v>1470</v>
      </c>
      <c r="E976" t="s">
        <v>42</v>
      </c>
      <c r="F976" t="str">
        <f>I976&amp;" "&amp;J976&amp;" "&amp;K976&amp;" "&amp;L976&amp;" "&amp;M976&amp;" "&amp;N976</f>
        <v>Leadership Academy (Lydia)   </v>
      </c>
      <c r="G976" t="s">
        <f>TEXT(D976,"mmm dd")</f>
        <v>1131</v>
      </c>
      <c r="I976" t="s">
        <v>1379</v>
      </c>
      <c r="J976" t="inlineStr">
        <is>
          <t>Academy</t>
        </is>
      </c>
      <c r="K976" t="s">
        <v>1380</v>
      </c>
    </row>
    <row r="977" spans="1:23">
      <c r="A977">
        <v>27</v>
      </c>
      <c r="B977">
        <v>12</v>
      </c>
      <c r="C977">
        <v>2009</v>
      </c>
      <c r="D977" s="3" t="s">
        <f>B977&amp;"/"&amp;A977&amp;"/"&amp;C977</f>
        <v>1470</v>
      </c>
      <c r="E977">
        <v>0.16666666666666666</v>
      </c>
      <c r="F977" t="str">
        <f>I977&amp;" "&amp;J977&amp;" "&amp;K977&amp;" "&amp;L977&amp;" "&amp;M977&amp;" "&amp;N977</f>
        <v>Meet Lisa    </v>
      </c>
      <c r="G977" t="s">
        <f>TEXT(D977,"mmm dd")</f>
        <v>1131</v>
      </c>
      <c r="I977" t="s">
        <v>300</v>
      </c>
      <c r="J977" t="s">
        <v>1471</v>
      </c>
    </row>
    <row r="978" spans="1:23">
      <c r="A978">
        <v>30</v>
      </c>
      <c r="B978">
        <v>12</v>
      </c>
      <c r="C978">
        <v>2009</v>
      </c>
      <c r="D978" s="3" t="s">
        <f>B978&amp;"/"&amp;A978&amp;"/"&amp;C978</f>
        <v>1472</v>
      </c>
      <c r="E978">
        <v>0.29166666666666669</v>
      </c>
      <c r="F978" t="str">
        <f>I978&amp;" "&amp;J978&amp;" "&amp;K978&amp;" "&amp;L978&amp;" "&amp;M978&amp;" "&amp;N978</f>
        <v>Dorothy service    </v>
      </c>
      <c r="G978" t="s">
        <f>TEXT(D978,"mmm dd")</f>
        <v>38</v>
      </c>
      <c r="I978" t="s">
        <v>1473</v>
      </c>
      <c r="J978" t="s">
        <v>427</v>
      </c>
    </row>
    <row r="979" spans="1:23">
      <c r="A979">
        <v>30</v>
      </c>
      <c r="B979">
        <v>12</v>
      </c>
      <c r="C979">
        <v>2009</v>
      </c>
      <c r="D979" s="3" t="s">
        <f>B979&amp;"/"&amp;A979&amp;"/"&amp;C979</f>
        <v>1472</v>
      </c>
      <c r="E979">
        <v>1.0833333333333333</v>
      </c>
      <c r="F979" t="str">
        <f>I979&amp;" "&amp;J979&amp;" "&amp;K979&amp;" "&amp;L979&amp;" "&amp;M979&amp;" "&amp;N979</f>
        <v>Dorothy inurnment    </v>
      </c>
      <c r="G979" t="s">
        <f>TEXT(D979,"mmm dd")</f>
        <v>38</v>
      </c>
      <c r="I979" t="s">
        <v>1473</v>
      </c>
      <c r="J979" t="inlineStr">
        <is>
          <t>inurnment</t>
        </is>
      </c>
    </row>
    <row r="980" spans="1:23">
      <c r="A980">
        <v>31</v>
      </c>
      <c r="B980">
        <v>12</v>
      </c>
      <c r="C980">
        <v>2009</v>
      </c>
      <c r="D980" s="3" t="s">
        <f>B980&amp;"/"&amp;A980&amp;"/"&amp;C980</f>
        <v>1474</v>
      </c>
      <c r="E980">
        <v>0.91666666666666663</v>
      </c>
      <c r="F980" t="str">
        <f>I980&amp;" "&amp;J980&amp;" "&amp;K980&amp;" "&amp;L980&amp;" "&amp;M980&amp;" "&amp;N980</f>
        <v>Comm to Sets   </v>
      </c>
      <c r="G980" t="s">
        <f>TEXT(D980,"mmm dd")</f>
        <v>1134</v>
      </c>
      <c r="I980" t="s">
        <v>1061</v>
      </c>
      <c r="J980" t="s">
        <v>449</v>
      </c>
      <c r="K980" t="s">
        <v>437</v>
      </c>
    </row>
    <row r="981" spans="1:23">
      <c r="A981">
        <v>31</v>
      </c>
      <c r="B981">
        <v>12</v>
      </c>
      <c r="C981">
        <v>2009</v>
      </c>
      <c r="D981" s="3" t="s">
        <f>B981&amp;"/"&amp;A981&amp;"/"&amp;C981</f>
        <v>1474</v>
      </c>
      <c r="E981">
        <v>0.95833333333333337</v>
      </c>
      <c r="F981" t="str">
        <f>I981&amp;" "&amp;J981&amp;" "&amp;K981&amp;" "&amp;L981&amp;" "&amp;M981&amp;" "&amp;N981</f>
        <v>Comm to Pang   </v>
      </c>
      <c r="G981" t="s">
        <f>TEXT(D981,"mmm dd")</f>
        <v>1134</v>
      </c>
      <c r="I981" t="s">
        <v>1061</v>
      </c>
      <c r="J981" t="s">
        <v>449</v>
      </c>
      <c r="K981" t="s">
        <v>1475</v>
      </c>
    </row>
    <row r="982" spans="1:23">
      <c r="A982">
        <v>6</v>
      </c>
      <c r="B982">
        <v>1</v>
      </c>
      <c r="C982">
        <v>2010</v>
      </c>
      <c r="D982" s="3" t="str">
        <f>B982&amp;"/"&amp;A982&amp;"/"&amp;C982</f>
        <v>1/6/2010</v>
      </c>
      <c r="E982">
        <v>0.25</v>
      </c>
      <c r="F982" t="str">
        <f>I982&amp;" "&amp;J982&amp;" "&amp;K982&amp;" "&amp;L982&amp;" "&amp;M982&amp;" "&amp;N982</f>
        <v>Karl   Juliana  </v>
      </c>
      <c r="G982" t="s">
        <f>TEXT(D982,"mmm dd")</f>
        <v>1142</v>
      </c>
      <c r="I982" t="s">
        <v>1413</v>
      </c>
      <c r="L982" t="s">
        <v>1412</v>
      </c>
    </row>
    <row r="983" spans="1:23">
      <c r="A983">
        <v>9</v>
      </c>
      <c r="B983">
        <v>1</v>
      </c>
      <c r="C983">
        <v>2010</v>
      </c>
      <c r="D983" s="3" t="str">
        <f>B983&amp;"/"&amp;A983&amp;"/"&amp;C983</f>
        <v>1/9/2010</v>
      </c>
      <c r="E983">
        <v>0.1875</v>
      </c>
      <c r="F983" t="str">
        <f>I983&amp;" "&amp;J983&amp;" "&amp;K983&amp;" "&amp;L983&amp;" "&amp;M983&amp;" "&amp;N983</f>
        <v>P U Paul @ airport </v>
      </c>
      <c r="G983" t="s">
        <f>TEXT(D983,"mmm dd")</f>
        <v>1476</v>
      </c>
      <c r="I983" t="s">
        <v>615</v>
      </c>
      <c r="J983" t="s">
        <v>616</v>
      </c>
      <c r="K983" t="s">
        <v>1337</v>
      </c>
      <c r="L983" t="s">
        <v>48</v>
      </c>
      <c r="M983" t="s">
        <v>1477</v>
      </c>
    </row>
    <row r="984" spans="1:23">
      <c r="A984">
        <v>11</v>
      </c>
      <c r="B984">
        <v>1</v>
      </c>
      <c r="C984">
        <v>2010</v>
      </c>
      <c r="D984" s="3" t="str">
        <f>B984&amp;"/"&amp;A984&amp;"/"&amp;C984</f>
        <v>1/11/2010</v>
      </c>
      <c r="E984">
        <v>0.875</v>
      </c>
      <c r="F984" t="s">
        <f>I984&amp;" "&amp;J984&amp;" "&amp;K984&amp;" "&amp;L984&amp;" "&amp;M984&amp;" "&amp;N984</f>
        <v>1225</v>
      </c>
      <c r="G984" t="s">
        <f>TEXT(D984,"mmm dd")</f>
        <v>1152</v>
      </c>
      <c r="I984" t="s">
        <v>847</v>
      </c>
      <c r="J984" t="s">
        <v>770</v>
      </c>
    </row>
    <row r="985" spans="1:23">
      <c r="A985">
        <v>12</v>
      </c>
      <c r="B985">
        <v>1</v>
      </c>
      <c r="C985">
        <v>2010</v>
      </c>
      <c r="D985" s="3" t="str">
        <f>B985&amp;"/"&amp;A985&amp;"/"&amp;C985</f>
        <v>1/12/2010</v>
      </c>
      <c r="E985">
        <v>0.95833333333333337</v>
      </c>
      <c r="F985" t="str">
        <f>I985&amp;" "&amp;J985&amp;" "&amp;K985&amp;" "&amp;L985&amp;" "&amp;M985&amp;" "&amp;N985</f>
        <v>Call Dr. Chong   </v>
      </c>
      <c r="G985" t="s">
        <f>TEXT(D985,"mmm dd")</f>
        <v>1478</v>
      </c>
      <c r="I985" t="s">
        <v>1028</v>
      </c>
      <c r="J985" t="s">
        <v>847</v>
      </c>
      <c r="K985" t="s">
        <v>770</v>
      </c>
    </row>
    <row r="986" spans="1:23">
      <c r="A986">
        <v>13</v>
      </c>
      <c r="B986">
        <v>1</v>
      </c>
      <c r="C986">
        <v>2010</v>
      </c>
      <c r="D986" s="3" t="s">
        <f>B986&amp;"/"&amp;A986&amp;"/"&amp;C986</f>
        <v>1479</v>
      </c>
      <c r="E986">
        <v>0.3125</v>
      </c>
      <c r="F986" t="str">
        <f>I986&amp;" "&amp;J986&amp;" "&amp;K986&amp;" "&amp;L986&amp;" "&amp;M986&amp;" "&amp;N986</f>
        <v>Mayor's prayer    </v>
      </c>
      <c r="G986" t="s">
        <f>TEXT(D986,"mmm dd")</f>
        <v>1164</v>
      </c>
      <c r="I986" t="inlineStr">
        <is>
          <t>Mayor's</t>
        </is>
      </c>
      <c r="J986" t="s">
        <v>1480</v>
      </c>
    </row>
    <row r="987" spans="1:23">
      <c r="A987">
        <v>13</v>
      </c>
      <c r="B987">
        <v>1</v>
      </c>
      <c r="C987">
        <v>2010</v>
      </c>
      <c r="D987" s="3" t="s">
        <f>B987&amp;"/"&amp;A987&amp;"/"&amp;C987</f>
        <v>1479</v>
      </c>
      <c r="E987">
        <v>0.3125</v>
      </c>
      <c r="F987" t="s">
        <f>I987&amp;" "&amp;J987&amp;" "&amp;K987&amp;" "&amp;L987&amp;" "&amp;M987&amp;" "&amp;N987</f>
        <v>1059</v>
      </c>
      <c r="G987" t="s">
        <f>TEXT(D987,"mmm dd")</f>
        <v>1164</v>
      </c>
      <c r="I987" t="s">
        <v>907</v>
      </c>
      <c r="J987" t="s">
        <v>1061</v>
      </c>
    </row>
    <row r="988" spans="1:23">
      <c r="A988">
        <v>16</v>
      </c>
      <c r="B988">
        <v>1</v>
      </c>
      <c r="C988">
        <v>2010</v>
      </c>
      <c r="D988" s="3" t="str">
        <f>B988&amp;"/"&amp;A988&amp;"/"&amp;C988</f>
        <v>1/16/2010</v>
      </c>
      <c r="E988">
        <v>0.18055555555555555</v>
      </c>
      <c r="F988" t="s">
        <f>I988&amp;" "&amp;J988&amp;" "&amp;K988&amp;" "&amp;L988&amp;" "&amp;M988&amp;" "&amp;N988</f>
        <v>937</v>
      </c>
      <c r="G988" t="s">
        <f>TEXT(D988,"mmm dd")</f>
        <v>1170</v>
      </c>
      <c r="I988" t="s">
        <v>847</v>
      </c>
      <c r="J988" t="s">
        <v>918</v>
      </c>
    </row>
    <row r="989" spans="1:23">
      <c r="A989">
        <v>19</v>
      </c>
      <c r="B989">
        <v>1</v>
      </c>
      <c r="C989">
        <v>2010</v>
      </c>
      <c r="D989" s="3" t="str">
        <f>B989&amp;"/"&amp;A989&amp;"/"&amp;C989</f>
        <v>1/19/2010</v>
      </c>
      <c r="E989">
        <v>1</v>
      </c>
      <c r="F989" t="str">
        <f>I989&amp;" "&amp;J989&amp;" "&amp;K989&amp;" "&amp;L989&amp;" "&amp;M989&amp;" "&amp;N989</f>
        <v>Clericus @ Good Sam  </v>
      </c>
      <c r="G989" t="s">
        <f>TEXT(D989,"mmm dd")</f>
        <v>1481</v>
      </c>
      <c r="I989" t="s">
        <v>1409</v>
      </c>
      <c r="J989" t="s">
        <v>48</v>
      </c>
      <c r="K989" t="s">
        <v>1268</v>
      </c>
      <c r="L989" t="s">
        <v>1269</v>
      </c>
    </row>
    <row r="990" spans="1:23">
      <c r="A990">
        <v>20</v>
      </c>
      <c r="B990">
        <v>1</v>
      </c>
      <c r="C990">
        <v>2010</v>
      </c>
      <c r="D990" s="3" t="str">
        <f>B990&amp;"/"&amp;A990&amp;"/"&amp;C990</f>
        <v>1/20/2010</v>
      </c>
      <c r="E990">
        <v>1</v>
      </c>
      <c r="F990" t="str">
        <f>I990&amp;" "&amp;J990&amp;" "&amp;K990&amp;" "&amp;L990&amp;" "&amp;M990&amp;" "&amp;N990</f>
        <v>Fran Hill's Service   </v>
      </c>
      <c r="G990" t="s">
        <f>TEXT(D990,"mmm dd")</f>
        <v>1482</v>
      </c>
      <c r="I990" t="s">
        <v>1483</v>
      </c>
      <c r="J990" t="inlineStr">
        <is>
          <t>Hill's</t>
        </is>
      </c>
      <c r="K990" t="s">
        <v>1484</v>
      </c>
    </row>
    <row r="991" spans="1:23">
      <c r="A991">
        <v>21</v>
      </c>
      <c r="B991">
        <v>1</v>
      </c>
      <c r="C991">
        <v>2010</v>
      </c>
      <c r="D991" s="3" t="str">
        <f>B991&amp;"/"&amp;A991&amp;"/"&amp;C991</f>
        <v>1/21/2010</v>
      </c>
      <c r="E991">
        <v>0.89583333333333337</v>
      </c>
      <c r="F991" t="str">
        <f>I991&amp;" "&amp;J991&amp;" "&amp;K991&amp;" "&amp;L991&amp;" "&amp;M991&amp;" "&amp;N991</f>
        <v>John Cameron? Clergy day @ Von</v>
      </c>
      <c r="G991" t="s">
        <f>TEXT(D991,"mmm dd")</f>
        <v>1485</v>
      </c>
      <c r="I991" t="s">
        <v>585</v>
      </c>
      <c r="J991" t="inlineStr">
        <is>
          <t>Cameron?</t>
        </is>
      </c>
      <c r="K991" t="s">
        <v>46</v>
      </c>
      <c r="L991" t="s">
        <v>502</v>
      </c>
      <c r="M991" t="s">
        <v>48</v>
      </c>
      <c r="N991" t="s">
        <v>935</v>
      </c>
    </row>
    <row r="992" spans="1:23">
      <c r="A992">
        <v>23</v>
      </c>
      <c r="B992">
        <v>1</v>
      </c>
      <c r="C992">
        <v>2010</v>
      </c>
      <c r="D992" s="3" t="s">
        <f>B992&amp;"/"&amp;A992&amp;"/"&amp;C992</f>
        <v>1486</v>
      </c>
      <c r="E992">
        <v>1</v>
      </c>
      <c r="F992" t="str">
        <f>I992&amp;" "&amp;J992&amp;" "&amp;K992&amp;" "&amp;L992&amp;" "&amp;M992&amp;" "&amp;N992</f>
        <v>Linscott funeral    </v>
      </c>
      <c r="G992" t="s">
        <f>TEXT(D992,"mmm dd")</f>
        <v>1179</v>
      </c>
      <c r="I992" t="inlineStr">
        <is>
          <t>Linscott</t>
        </is>
      </c>
      <c r="J992" t="s">
        <v>1116</v>
      </c>
    </row>
    <row r="993" spans="1:23">
      <c r="A993">
        <v>23</v>
      </c>
      <c r="B993">
        <v>1</v>
      </c>
      <c r="C993">
        <v>2010</v>
      </c>
      <c r="D993" s="3" t="s">
        <f>B993&amp;"/"&amp;A993&amp;"/"&amp;C993</f>
        <v>1486</v>
      </c>
      <c r="E993">
        <v>1</v>
      </c>
      <c r="F993" t="str">
        <f>I993&amp;" "&amp;J993&amp;" "&amp;K993&amp;" "&amp;L993&amp;" "&amp;M993&amp;" "&amp;N993</f>
        <v>Music practice @ Moks  </v>
      </c>
      <c r="G993" t="s">
        <f>TEXT(D993,"mmm dd")</f>
        <v>1179</v>
      </c>
      <c r="I993" t="s">
        <v>361</v>
      </c>
      <c r="J993" t="s">
        <v>362</v>
      </c>
      <c r="K993" t="s">
        <v>48</v>
      </c>
      <c r="L993" t="inlineStr">
        <is>
          <t>Moks</t>
        </is>
      </c>
    </row>
    <row r="994" spans="1:23">
      <c r="A994">
        <v>26</v>
      </c>
      <c r="B994">
        <v>1</v>
      </c>
      <c r="C994">
        <v>2010</v>
      </c>
      <c r="D994" s="3" t="str">
        <f>B994&amp;"/"&amp;A994&amp;"/"&amp;C994</f>
        <v>1/26/2010</v>
      </c>
      <c r="E994">
        <v>0.91666666666666663</v>
      </c>
      <c r="F994" t="s">
        <f>I994&amp;" "&amp;J994&amp;" "&amp;K994&amp;" "&amp;L994&amp;" "&amp;M994&amp;" "&amp;N994</f>
        <v>1487</v>
      </c>
      <c r="G994" t="s">
        <f>TEXT(D994,"mmm dd")</f>
        <v>1488</v>
      </c>
      <c r="I994" t="s">
        <v>1489</v>
      </c>
      <c r="J994" t="s">
        <v>1490</v>
      </c>
    </row>
    <row r="995" spans="1:23">
      <c r="A995">
        <v>28</v>
      </c>
      <c r="B995">
        <v>1</v>
      </c>
      <c r="C995">
        <v>2010</v>
      </c>
      <c r="D995" s="3" t="s">
        <f>B995&amp;"/"&amp;A995&amp;"/"&amp;C995</f>
        <v>1491</v>
      </c>
      <c r="E995">
        <v>0.875</v>
      </c>
      <c r="F995" t="str">
        <f>I995&amp;" "&amp;J995&amp;" "&amp;K995&amp;" "&amp;L995&amp;" "&amp;M995&amp;" "&amp;N995</f>
        <v>Angel's Chapel peace   </v>
      </c>
      <c r="G995" t="s">
        <f>TEXT(D995,"mmm dd")</f>
        <v>1492</v>
      </c>
      <c r="I995" t="s">
        <v>291</v>
      </c>
      <c r="J995" t="s">
        <v>1195</v>
      </c>
      <c r="K995" t="s">
        <v>1493</v>
      </c>
    </row>
    <row r="996" spans="1:23">
      <c r="A996">
        <v>28</v>
      </c>
      <c r="B996">
        <v>1</v>
      </c>
      <c r="C996">
        <v>2010</v>
      </c>
      <c r="D996" s="3" t="s">
        <f>B996&amp;"/"&amp;A996&amp;"/"&amp;C996</f>
        <v>1491</v>
      </c>
      <c r="E996">
        <v>0.13541666666666666</v>
      </c>
      <c r="F996" t="s">
        <f>I996&amp;" "&amp;J996&amp;" "&amp;K996&amp;" "&amp;L996&amp;" "&amp;M996&amp;" "&amp;N996</f>
        <v>1487</v>
      </c>
      <c r="G996" t="s">
        <f>TEXT(D996,"mmm dd")</f>
        <v>1492</v>
      </c>
      <c r="I996" t="s">
        <v>1489</v>
      </c>
      <c r="J996" t="s">
        <v>1490</v>
      </c>
    </row>
    <row r="997" spans="1:23">
      <c r="A997">
        <v>28</v>
      </c>
      <c r="B997">
        <v>1</v>
      </c>
      <c r="C997">
        <v>2010</v>
      </c>
      <c r="D997" s="3" t="s">
        <f>B997&amp;"/"&amp;A997&amp;"/"&amp;C997</f>
        <v>1491</v>
      </c>
      <c r="E997">
        <v>0.79166666666666663</v>
      </c>
      <c r="F997" t="str">
        <f>I997&amp;" "&amp;J997&amp;" "&amp;K997&amp;" "&amp;L997&amp;" "&amp;M997&amp;" "&amp;N997</f>
        <v>Girls to school   </v>
      </c>
      <c r="G997" t="s">
        <f>TEXT(D997,"mmm dd")</f>
        <v>1492</v>
      </c>
      <c r="I997" t="s">
        <v>1494</v>
      </c>
      <c r="J997" t="s">
        <v>449</v>
      </c>
      <c r="K997" t="s">
        <v>778</v>
      </c>
    </row>
    <row r="998" spans="1:23">
      <c r="A998">
        <v>28</v>
      </c>
      <c r="B998">
        <v>1</v>
      </c>
      <c r="C998">
        <v>2010</v>
      </c>
      <c r="D998" s="3" t="s">
        <f>B998&amp;"/"&amp;A998&amp;"/"&amp;C998</f>
        <v>1491</v>
      </c>
      <c r="E998">
        <v>0.4375</v>
      </c>
      <c r="F998" t="s">
        <f>I998&amp;" "&amp;J998&amp;" "&amp;K998&amp;" "&amp;L998&amp;" "&amp;M998&amp;" "&amp;N998</f>
        <v>1495</v>
      </c>
      <c r="G998" t="s">
        <f>TEXT(D998,"mmm dd")</f>
        <v>1492</v>
      </c>
      <c r="I998" t="s">
        <v>615</v>
      </c>
      <c r="J998" t="s">
        <v>616</v>
      </c>
      <c r="K998" t="s">
        <v>772</v>
      </c>
    </row>
    <row r="999" spans="1:23">
      <c r="A999">
        <v>29</v>
      </c>
      <c r="B999">
        <v>1</v>
      </c>
      <c r="C999">
        <v>2010</v>
      </c>
      <c r="D999" s="3" t="s">
        <f>B999&amp;"/"&amp;A999&amp;"/"&amp;C999</f>
        <v>1496</v>
      </c>
      <c r="E999">
        <v>0.97916666666666663</v>
      </c>
      <c r="F999" t="str">
        <f>I999&amp;" "&amp;J999&amp;" "&amp;K999&amp;" "&amp;L999&amp;" "&amp;M999&amp;" "&amp;N999</f>
        <v>Read Kindergarten Priory   </v>
      </c>
      <c r="G999" t="s">
        <f>TEXT(D999,"mmm dd")</f>
        <v>1497</v>
      </c>
      <c r="I999" t="s">
        <v>930</v>
      </c>
      <c r="J999" t="inlineStr">
        <is>
          <t>Kindergarten</t>
        </is>
      </c>
      <c r="K999" t="s">
        <v>756</v>
      </c>
    </row>
    <row r="1000" spans="1:23">
      <c r="A1000">
        <v>29</v>
      </c>
      <c r="B1000">
        <v>1</v>
      </c>
      <c r="C1000">
        <v>2010</v>
      </c>
      <c r="D1000" s="3" t="s">
        <f>B1000&amp;"/"&amp;A1000&amp;"/"&amp;C1000</f>
        <v>1496</v>
      </c>
      <c r="E1000" t="s">
        <v>42</v>
      </c>
      <c r="F1000" t="str">
        <f>I1000&amp;" "&amp;J1000&amp;" "&amp;K1000&amp;" "&amp;L1000&amp;" "&amp;M1000&amp;" "&amp;N1000</f>
        <v>Q     </v>
      </c>
      <c r="G1000" t="s">
        <f>TEXT(D1000,"mmm dd")</f>
        <v>1497</v>
      </c>
      <c r="I1000" t="inlineStr">
        <is>
          <t>Q</t>
        </is>
      </c>
    </row>
    <row r="1001" spans="1:23">
      <c r="A1001">
        <v>30</v>
      </c>
      <c r="B1001">
        <v>1</v>
      </c>
      <c r="C1001">
        <v>2010</v>
      </c>
      <c r="D1001" s="3" t="s">
        <f>B1001&amp;"/"&amp;A1001&amp;"/"&amp;C1001</f>
        <v>1498</v>
      </c>
      <c r="E1001">
        <v>1</v>
      </c>
      <c r="F1001" t="str">
        <f>I1001&amp;" "&amp;J1001&amp;" "&amp;K1001&amp;" "&amp;L1001&amp;" "&amp;M1001&amp;" "&amp;N1001</f>
        <v>Paddling party    </v>
      </c>
      <c r="G1001" t="s">
        <f>TEXT(D1001,"mmm dd")</f>
        <v>1499</v>
      </c>
      <c r="I1001" t="s">
        <v>1464</v>
      </c>
      <c r="J1001" t="s">
        <v>1346</v>
      </c>
    </row>
    <row r="1002" spans="1:23">
      <c r="A1002">
        <v>30</v>
      </c>
      <c r="B1002">
        <v>1</v>
      </c>
      <c r="C1002">
        <v>2010</v>
      </c>
      <c r="D1002" s="3" t="s">
        <f>B1002&amp;"/"&amp;A1002&amp;"/"&amp;C1002</f>
        <v>1498</v>
      </c>
      <c r="E1002">
        <v>0.13541666666666666</v>
      </c>
      <c r="F1002" t="s">
        <f>I1002&amp;" "&amp;J1002&amp;" "&amp;K1002&amp;" "&amp;L1002&amp;" "&amp;M1002&amp;" "&amp;N1002</f>
        <v>1487</v>
      </c>
      <c r="G1002" t="s">
        <f>TEXT(D1002,"mmm dd")</f>
        <v>1499</v>
      </c>
      <c r="I1002" t="s">
        <v>1489</v>
      </c>
      <c r="J1002" t="s">
        <v>1490</v>
      </c>
    </row>
    <row r="1003" spans="1:23">
      <c r="A1003">
        <v>30</v>
      </c>
      <c r="B1003">
        <v>1</v>
      </c>
      <c r="C1003">
        <v>2010</v>
      </c>
      <c r="D1003" s="3" t="s">
        <f>B1003&amp;"/"&amp;A1003&amp;"/"&amp;C1003</f>
        <v>1498</v>
      </c>
      <c r="E1003">
        <v>0.875</v>
      </c>
      <c r="F1003" t="str">
        <f>I1003&amp;" "&amp;J1003&amp;" "&amp;K1003&amp;" "&amp;L1003&amp;" "&amp;M1003&amp;" "&amp;N1003</f>
        <v>Girls to paddling   </v>
      </c>
      <c r="G1003" t="s">
        <f>TEXT(D1003,"mmm dd")</f>
        <v>1499</v>
      </c>
      <c r="I1003" t="s">
        <v>1494</v>
      </c>
      <c r="J1003" t="s">
        <v>449</v>
      </c>
      <c r="K1003" t="inlineStr">
        <is>
          <t>paddling</t>
        </is>
      </c>
    </row>
    <row r="1004" spans="1:23">
      <c r="A1004">
        <v>30</v>
      </c>
      <c r="B1004">
        <v>1</v>
      </c>
      <c r="C1004">
        <v>2010</v>
      </c>
      <c r="D1004" s="3" t="s">
        <f>B1004&amp;"/"&amp;A1004&amp;"/"&amp;C1004</f>
        <v>1498</v>
      </c>
      <c r="E1004" t="s">
        <v>42</v>
      </c>
      <c r="F1004" t="str">
        <f>I1004&amp;" "&amp;J1004&amp;" "&amp;K1004&amp;" "&amp;L1004&amp;" "&amp;M1004&amp;" "&amp;N1004</f>
        <v>Bridget working    </v>
      </c>
      <c r="G1004" t="s">
        <f>TEXT(D1004,"mmm dd")</f>
        <v>1499</v>
      </c>
      <c r="I1004" t="s">
        <v>156</v>
      </c>
      <c r="J1004" t="inlineStr">
        <is>
          <t>working</t>
        </is>
      </c>
    </row>
    <row r="1005" spans="1:23">
      <c r="A1005">
        <v>31</v>
      </c>
      <c r="B1005">
        <v>1</v>
      </c>
      <c r="C1005">
        <v>2010</v>
      </c>
      <c r="D1005" s="3" t="str">
        <f>B1005&amp;"/"&amp;A1005&amp;"/"&amp;C1005</f>
        <v>1/31/2010</v>
      </c>
      <c r="E1005" t="s">
        <v>42</v>
      </c>
      <c r="F1005" t="str">
        <f>I1005&amp;" "&amp;J1005&amp;" "&amp;K1005&amp;" "&amp;L1005&amp;" "&amp;M1005&amp;" "&amp;N1005</f>
        <v>Annual Meeting    </v>
      </c>
      <c r="G1005" t="s">
        <f>TEXT(D1005,"mmm dd")</f>
        <v>1500</v>
      </c>
      <c r="I1005" t="s">
        <v>1387</v>
      </c>
      <c r="J1005" t="s">
        <v>898</v>
      </c>
    </row>
    <row r="1006" spans="1:23">
      <c r="A1006">
        <v>3</v>
      </c>
      <c r="B1006">
        <v>2</v>
      </c>
      <c r="C1006">
        <v>2010</v>
      </c>
      <c r="D1006" s="3" t="str">
        <f>B1006&amp;"/"&amp;A1006&amp;"/"&amp;C1006</f>
        <v>2/3/2010</v>
      </c>
      <c r="E1006">
        <v>0.27083333333333331</v>
      </c>
      <c r="F1006" t="s">
        <f>I1006&amp;" "&amp;J1006&amp;" "&amp;K1006&amp;" "&amp;L1006&amp;" "&amp;M1006&amp;" "&amp;N1006</f>
        <v>1424</v>
      </c>
      <c r="G1006" t="s">
        <f>TEXT(D1006,"mmm dd")</f>
        <v>1501</v>
      </c>
      <c r="I1006" t="s">
        <v>1413</v>
      </c>
      <c r="J1006" t="s">
        <v>73</v>
      </c>
      <c r="K1006" t="s">
        <v>1412</v>
      </c>
    </row>
    <row r="1007" spans="1:23">
      <c r="A1007">
        <v>6</v>
      </c>
      <c r="B1007">
        <v>2</v>
      </c>
      <c r="C1007">
        <v>2010</v>
      </c>
      <c r="D1007" s="3" t="s">
        <f>B1007&amp;"/"&amp;A1007&amp;"/"&amp;C1007</f>
        <v>1502</v>
      </c>
      <c r="E1007">
        <v>1.0208333333333333</v>
      </c>
      <c r="F1007" t="str">
        <f>I1007&amp;" "&amp;J1007&amp;" "&amp;K1007&amp;" "&amp;L1007&amp;" "&amp;M1007&amp;" "&amp;N1007</f>
        <v>Project Dana @ Harris  </v>
      </c>
      <c r="G1007" t="s">
        <f>TEXT(D1007,"mmm dd")</f>
        <v>1185</v>
      </c>
      <c r="I1007" t="inlineStr">
        <is>
          <t>Project</t>
        </is>
      </c>
      <c r="J1007" t="inlineStr">
        <is>
          <t>Dana</t>
        </is>
      </c>
      <c r="K1007" t="s">
        <v>48</v>
      </c>
      <c r="L1007" t="s">
        <v>1392</v>
      </c>
    </row>
    <row r="1008" spans="1:23">
      <c r="A1008">
        <v>6</v>
      </c>
      <c r="B1008">
        <v>2</v>
      </c>
      <c r="C1008">
        <v>2010</v>
      </c>
      <c r="D1008" s="3" t="s">
        <f>B1008&amp;"/"&amp;A1008&amp;"/"&amp;C1008</f>
        <v>1502</v>
      </c>
      <c r="E1008">
        <v>0.9375</v>
      </c>
      <c r="F1008" t="str">
        <f>I1008&amp;" "&amp;J1008&amp;" "&amp;K1008&amp;" "&amp;L1008&amp;" "&amp;M1008&amp;" "&amp;N1008</f>
        <v>Installation @ St. Mark's  </v>
      </c>
      <c r="G1008" t="s">
        <f>TEXT(D1008,"mmm dd")</f>
        <v>1185</v>
      </c>
      <c r="I1008" t="s">
        <v>1503</v>
      </c>
      <c r="J1008" t="s">
        <v>48</v>
      </c>
      <c r="K1008" t="s">
        <v>218</v>
      </c>
      <c r="L1008" t="s">
        <v>1298</v>
      </c>
    </row>
    <row r="1009" spans="1:23">
      <c r="A1009">
        <v>9</v>
      </c>
      <c r="B1009">
        <v>2</v>
      </c>
      <c r="C1009">
        <v>2010</v>
      </c>
      <c r="D1009" s="3" t="str">
        <f>B1009&amp;"/"&amp;A1009&amp;"/"&amp;C1009</f>
        <v>2/9/2010</v>
      </c>
      <c r="E1009">
        <v>1</v>
      </c>
      <c r="F1009" t="str">
        <f>I1009&amp;" "&amp;J1009&amp;" "&amp;K1009&amp;" "&amp;L1009&amp;" "&amp;M1009&amp;" "&amp;N1009</f>
        <v>Clericus @ St. Clements  </v>
      </c>
      <c r="G1009" t="s">
        <f>TEXT(D1009,"mmm dd")</f>
        <v>1504</v>
      </c>
      <c r="I1009" t="s">
        <v>1409</v>
      </c>
      <c r="J1009" t="s">
        <v>48</v>
      </c>
      <c r="K1009" t="s">
        <v>218</v>
      </c>
      <c r="L1009" t="s">
        <v>957</v>
      </c>
    </row>
    <row r="1010" spans="1:23">
      <c r="A1010">
        <v>10</v>
      </c>
      <c r="B1010">
        <v>2</v>
      </c>
      <c r="C1010">
        <v>2010</v>
      </c>
      <c r="D1010" s="3" t="s">
        <f>B1010&amp;"/"&amp;A1010&amp;"/"&amp;C1010</f>
        <v>1505</v>
      </c>
      <c r="E1010">
        <v>0.1875</v>
      </c>
      <c r="F1010" t="s">
        <f>I1010&amp;" "&amp;J1010&amp;" "&amp;K1010&amp;" "&amp;L1010&amp;" "&amp;M1010&amp;" "&amp;N1010</f>
        <v>1248</v>
      </c>
      <c r="G1010" t="s">
        <f>TEXT(D1010,"mmm dd")</f>
        <v>1190</v>
      </c>
      <c r="I1010" t="s">
        <v>847</v>
      </c>
      <c r="J1010" t="s">
        <v>647</v>
      </c>
    </row>
    <row r="1011" spans="1:23">
      <c r="A1011">
        <v>10</v>
      </c>
      <c r="B1011">
        <v>2</v>
      </c>
      <c r="C1011">
        <v>2010</v>
      </c>
      <c r="D1011" s="3" t="s">
        <f>B1011&amp;"/"&amp;A1011&amp;"/"&amp;C1011</f>
        <v>1505</v>
      </c>
      <c r="E1011">
        <v>0.25</v>
      </c>
      <c r="F1011" t="s">
        <f>I1011&amp;" "&amp;J1011&amp;" "&amp;K1011&amp;" "&amp;L1011&amp;" "&amp;M1011&amp;" "&amp;N1011</f>
        <v>1059</v>
      </c>
      <c r="G1011" t="s">
        <f>TEXT(D1011,"mmm dd")</f>
        <v>1190</v>
      </c>
      <c r="I1011" t="s">
        <v>907</v>
      </c>
      <c r="J1011" t="s">
        <v>1061</v>
      </c>
    </row>
    <row r="1012" spans="1:23">
      <c r="A1012">
        <v>10</v>
      </c>
      <c r="B1012">
        <v>2</v>
      </c>
      <c r="C1012">
        <v>2010</v>
      </c>
      <c r="D1012" s="3" t="s">
        <f>B1012&amp;"/"&amp;A1012&amp;"/"&amp;C1012</f>
        <v>1505</v>
      </c>
      <c r="E1012" t="s">
        <v>42</v>
      </c>
      <c r="F1012" t="s">
        <f>I1012&amp;" "&amp;J1012&amp;" "&amp;K1012&amp;" "&amp;L1012&amp;" "&amp;M1012&amp;" "&amp;N1012</f>
        <v>1506</v>
      </c>
      <c r="G1012" t="s">
        <f>TEXT(D1012,"mmm dd")</f>
        <v>1190</v>
      </c>
      <c r="I1012" t="s">
        <v>1507</v>
      </c>
      <c r="J1012" t="s">
        <v>319</v>
      </c>
    </row>
    <row r="1013" spans="1:23">
      <c r="A1013">
        <v>11</v>
      </c>
      <c r="B1013">
        <v>2</v>
      </c>
      <c r="C1013">
        <v>2010</v>
      </c>
      <c r="D1013" s="3" t="s">
        <f>B1013&amp;"/"&amp;A1013&amp;"/"&amp;C1013</f>
        <v>1508</v>
      </c>
      <c r="E1013">
        <v>0.875</v>
      </c>
      <c r="F1013" t="str">
        <f>I1013&amp;" "&amp;J1013&amp;" "&amp;K1013&amp;" "&amp;L1013&amp;" "&amp;M1013&amp;" "&amp;N1013</f>
        <v>Drop off dogs   </v>
      </c>
      <c r="G1013" t="s">
        <f>TEXT(D1013,"mmm dd")</f>
        <v>1509</v>
      </c>
      <c r="I1013" t="s">
        <v>1510</v>
      </c>
      <c r="J1013" t="s">
        <v>1511</v>
      </c>
      <c r="K1013" t="s">
        <v>1512</v>
      </c>
    </row>
    <row r="1014" spans="1:23">
      <c r="A1014">
        <v>11</v>
      </c>
      <c r="B1014">
        <v>2</v>
      </c>
      <c r="C1014">
        <v>2010</v>
      </c>
      <c r="D1014" s="3" t="s">
        <f>B1014&amp;"/"&amp;A1014&amp;"/"&amp;C1014</f>
        <v>1508</v>
      </c>
      <c r="E1014">
        <v>0.33333333333333331</v>
      </c>
      <c r="F1014" t="str">
        <f>I1014&amp;" "&amp;J1014&amp;" "&amp;K1014&amp;" "&amp;L1014&amp;" "&amp;M1014&amp;" "&amp;N1014</f>
        <v>I bring reading to prayer </v>
      </c>
      <c r="G1014" t="s">
        <f>TEXT(D1014,"mmm dd")</f>
        <v>1509</v>
      </c>
      <c r="I1014" t="s">
        <v>1175</v>
      </c>
      <c r="J1014" t="inlineStr">
        <is>
          <t>bring</t>
        </is>
      </c>
      <c r="K1014" t="s">
        <v>1513</v>
      </c>
      <c r="L1014" t="s">
        <v>449</v>
      </c>
      <c r="M1014" t="s">
        <v>1480</v>
      </c>
    </row>
    <row r="1015" spans="1:23">
      <c r="A1015">
        <v>12</v>
      </c>
      <c r="B1015">
        <v>2</v>
      </c>
      <c r="C1015">
        <v>2010</v>
      </c>
      <c r="D1015" s="3" t="str">
        <f>B1015&amp;"/"&amp;A1015&amp;"/"&amp;C1015</f>
        <v>2/12/2010</v>
      </c>
      <c r="E1015" t="s">
        <v>42</v>
      </c>
      <c r="F1015" t="str">
        <f>I1015&amp;" "&amp;J1015&amp;" "&amp;K1015&amp;" "&amp;L1015&amp;" "&amp;M1015&amp;" "&amp;N1015</f>
        <v>No therapy    </v>
      </c>
      <c r="G1015" t="s">
        <f>TEXT(D1015,"mmm dd")</f>
        <v>1194</v>
      </c>
      <c r="I1015" t="s">
        <v>1264</v>
      </c>
      <c r="J1015" t="s">
        <v>1514</v>
      </c>
    </row>
    <row r="1016" spans="1:23">
      <c r="A1016">
        <v>13</v>
      </c>
      <c r="B1016">
        <v>2</v>
      </c>
      <c r="C1016">
        <v>2010</v>
      </c>
      <c r="D1016" s="3" t="s">
        <f>B1016&amp;"/"&amp;A1016&amp;"/"&amp;C1016</f>
        <v>1515</v>
      </c>
      <c r="E1016">
        <v>0.91666666666666663</v>
      </c>
      <c r="F1016" t="str">
        <f>I1016&amp;" "&amp;J1016&amp;" "&amp;K1016&amp;" "&amp;L1016&amp;" "&amp;M1016&amp;" "&amp;N1016</f>
        <v>Kevin Martin @ St. Tim </v>
      </c>
      <c r="G1016" t="s">
        <f>TEXT(D1016,"mmm dd")</f>
        <v>1198</v>
      </c>
      <c r="I1016" t="s">
        <v>1516</v>
      </c>
      <c r="J1016" t="s">
        <v>92</v>
      </c>
      <c r="K1016" t="s">
        <v>48</v>
      </c>
      <c r="L1016" t="s">
        <v>218</v>
      </c>
      <c r="M1016" t="s">
        <v>1423</v>
      </c>
    </row>
    <row r="1017" spans="1:23">
      <c r="A1017">
        <v>13</v>
      </c>
      <c r="B1017">
        <v>2</v>
      </c>
      <c r="C1017">
        <v>2010</v>
      </c>
      <c r="D1017" s="3" t="s">
        <f>B1017&amp;"/"&amp;A1017&amp;"/"&amp;C1017</f>
        <v>1515</v>
      </c>
      <c r="E1017">
        <v>0.18055555555555555</v>
      </c>
      <c r="F1017" t="s">
        <f>I1017&amp;" "&amp;J1017&amp;" "&amp;K1017&amp;" "&amp;L1017&amp;" "&amp;M1017&amp;" "&amp;N1017</f>
        <v>937</v>
      </c>
      <c r="G1017" t="s">
        <f>TEXT(D1017,"mmm dd")</f>
        <v>1198</v>
      </c>
      <c r="I1017" t="s">
        <v>847</v>
      </c>
      <c r="J1017" t="s">
        <v>918</v>
      </c>
    </row>
    <row r="1018" spans="1:23">
      <c r="A1018">
        <v>13</v>
      </c>
      <c r="B1018">
        <v>2</v>
      </c>
      <c r="C1018">
        <v>2010</v>
      </c>
      <c r="D1018" s="3" t="s">
        <f>B1018&amp;"/"&amp;A1018&amp;"/"&amp;C1018</f>
        <v>1515</v>
      </c>
      <c r="E1018">
        <v>0.29166666666666669</v>
      </c>
      <c r="F1018" t="str">
        <f>I1018&amp;" "&amp;J1018&amp;" "&amp;K1018&amp;" "&amp;L1018&amp;" "&amp;M1018&amp;" "&amp;N1018</f>
        <v>House blessing time?   </v>
      </c>
      <c r="G1018" t="s">
        <f>TEXT(D1018,"mmm dd")</f>
        <v>1198</v>
      </c>
      <c r="I1018" t="s">
        <v>1517</v>
      </c>
      <c r="J1018" t="s">
        <v>853</v>
      </c>
      <c r="K1018" t="s">
        <v>537</v>
      </c>
    </row>
    <row r="1019" spans="1:23">
      <c r="A1019">
        <v>16</v>
      </c>
      <c r="B1019">
        <v>2</v>
      </c>
      <c r="C1019">
        <v>2010</v>
      </c>
      <c r="D1019" s="3" t="str">
        <f>B1019&amp;"/"&amp;A1019&amp;"/"&amp;C1019</f>
        <v>2/16/2010</v>
      </c>
      <c r="E1019">
        <v>0.91666666666666663</v>
      </c>
      <c r="F1019" t="s">
        <f>I1019&amp;" "&amp;J1019&amp;" "&amp;K1019&amp;" "&amp;L1019&amp;" "&amp;M1019&amp;" "&amp;N1019</f>
        <v>1518</v>
      </c>
      <c r="G1019" t="s">
        <f>TEXT(D1019,"mmm dd")</f>
        <v>1201</v>
      </c>
      <c r="I1019" t="s">
        <v>1489</v>
      </c>
      <c r="J1019" t="s">
        <v>1519</v>
      </c>
    </row>
    <row r="1020" spans="1:23">
      <c r="A1020">
        <v>17</v>
      </c>
      <c r="B1020">
        <v>2</v>
      </c>
      <c r="C1020">
        <v>2010</v>
      </c>
      <c r="D1020" s="3" t="s">
        <f>B1020&amp;"/"&amp;A1020&amp;"/"&amp;C1020</f>
        <v>1520</v>
      </c>
      <c r="E1020" t="s">
        <v>42</v>
      </c>
      <c r="F1020" t="str">
        <f>I1020&amp;" "&amp;J1020&amp;" "&amp;K1020&amp;" "&amp;L1020&amp;" "&amp;M1020&amp;" "&amp;N1020</f>
        <v>Ash Wed    </v>
      </c>
      <c r="G1020" t="s">
        <f>TEXT(D1020,"mmm dd")</f>
        <v>1521</v>
      </c>
      <c r="I1020" t="s">
        <v>1217</v>
      </c>
      <c r="J1020" t="s">
        <v>1522</v>
      </c>
    </row>
    <row r="1021" spans="1:23">
      <c r="A1021">
        <v>17</v>
      </c>
      <c r="B1021">
        <v>2</v>
      </c>
      <c r="C1021">
        <v>2010</v>
      </c>
      <c r="D1021" s="3" t="s">
        <f>B1021&amp;"/"&amp;A1021&amp;"/"&amp;C1021</f>
        <v>1520</v>
      </c>
      <c r="E1021" t="s">
        <v>42</v>
      </c>
      <c r="F1021" t="s">
        <f>I1021&amp;" "&amp;J1021&amp;" "&amp;K1021&amp;" "&amp;L1021&amp;" "&amp;M1021&amp;" "&amp;N1021</f>
        <v>1431</v>
      </c>
      <c r="G1021" t="s">
        <f>TEXT(D1021,"mmm dd")</f>
        <v>1521</v>
      </c>
      <c r="I1021" t="s">
        <v>756</v>
      </c>
      <c r="J1021" t="s">
        <v>1195</v>
      </c>
    </row>
    <row r="1022" spans="1:23">
      <c r="A1022">
        <v>17</v>
      </c>
      <c r="B1022">
        <v>2</v>
      </c>
      <c r="C1022">
        <v>2010</v>
      </c>
      <c r="D1022" s="3" t="s">
        <f>B1022&amp;"/"&amp;A1022&amp;"/"&amp;C1022</f>
        <v>1520</v>
      </c>
      <c r="E1022">
        <v>0.29166666666666669</v>
      </c>
      <c r="F1022" t="str">
        <f>I1022&amp;" "&amp;J1022&amp;" "&amp;K1022&amp;" "&amp;L1022&amp;" "&amp;M1022&amp;" "&amp;N1022</f>
        <v>Shrove Tues    </v>
      </c>
      <c r="G1022" t="s">
        <f>TEXT(D1022,"mmm dd")</f>
        <v>1521</v>
      </c>
      <c r="I1022" t="s">
        <v>1523</v>
      </c>
      <c r="J1022" t="inlineStr">
        <is>
          <t>Tues</t>
        </is>
      </c>
      <c r="O1022" t="inlineStr">
        <is>
          <t>Holt?</t>
        </is>
      </c>
    </row>
    <row r="1023" spans="1:23">
      <c r="A1023">
        <v>18</v>
      </c>
      <c r="B1023">
        <v>2</v>
      </c>
      <c r="C1023">
        <v>2010</v>
      </c>
      <c r="D1023" s="3" t="str">
        <f>B1023&amp;"/"&amp;A1023&amp;"/"&amp;C1023</f>
        <v>2/18/2010</v>
      </c>
      <c r="E1023">
        <v>0.29166666666666669</v>
      </c>
      <c r="F1023" t="str">
        <f>I1023&amp;" "&amp;J1023&amp;" "&amp;K1023&amp;" "&amp;L1023&amp;" "&amp;M1023&amp;" "&amp;N1023</f>
        <v>Joint service @ Epiph  </v>
      </c>
      <c r="G1023" t="s">
        <f>TEXT(D1023,"mmm dd")</f>
        <v>1206</v>
      </c>
      <c r="I1023" t="inlineStr">
        <is>
          <t>Joint</t>
        </is>
      </c>
      <c r="J1023" t="s">
        <v>427</v>
      </c>
      <c r="K1023" t="s">
        <v>48</v>
      </c>
      <c r="L1023" t="inlineStr">
        <is>
          <t>Epiph</t>
        </is>
      </c>
    </row>
    <row r="1024" spans="1:23">
      <c r="A1024">
        <v>19</v>
      </c>
      <c r="B1024">
        <v>2</v>
      </c>
      <c r="C1024">
        <v>2010</v>
      </c>
      <c r="D1024" s="3" t="str">
        <f>B1024&amp;"/"&amp;A1024&amp;"/"&amp;C1024</f>
        <v>2/19/2010</v>
      </c>
      <c r="E1024">
        <v>0.3125</v>
      </c>
      <c r="F1024" t="s">
        <f>I1024&amp;" "&amp;J1024&amp;" "&amp;K1024&amp;" "&amp;L1024&amp;" "&amp;M1024&amp;" "&amp;N1024</f>
        <v>192</v>
      </c>
      <c r="G1024" t="s">
        <f>TEXT(D1024,"mmm dd")</f>
        <v>1209</v>
      </c>
      <c r="I1024" t="s">
        <v>194</v>
      </c>
    </row>
    <row r="1025" spans="1:23">
      <c r="A1025">
        <v>20</v>
      </c>
      <c r="B1025">
        <v>2</v>
      </c>
      <c r="C1025">
        <v>2010</v>
      </c>
      <c r="D1025" s="3" t="s">
        <f>B1025&amp;"/"&amp;A1025&amp;"/"&amp;C1025</f>
        <v>1524</v>
      </c>
      <c r="E1025">
        <v>1</v>
      </c>
      <c r="F1025" t="str">
        <f>I1025&amp;" "&amp;J1025&amp;" "&amp;K1025&amp;" "&amp;L1025&amp;" "&amp;M1025&amp;" "&amp;N1025</f>
        <v>Ada Lum @ Pacific Club </v>
      </c>
      <c r="G1025" t="s">
        <f>TEXT(D1025,"mmm dd")</f>
        <v>1525</v>
      </c>
      <c r="I1025" t="inlineStr">
        <is>
          <t>Ada</t>
        </is>
      </c>
      <c r="J1025" t="inlineStr">
        <is>
          <t>Lum</t>
        </is>
      </c>
      <c r="K1025" t="s">
        <v>48</v>
      </c>
      <c r="L1025" t="s">
        <v>1526</v>
      </c>
      <c r="M1025" t="s">
        <v>1527</v>
      </c>
    </row>
    <row r="1026" spans="1:23">
      <c r="A1026">
        <v>20</v>
      </c>
      <c r="B1026">
        <v>2</v>
      </c>
      <c r="C1026">
        <v>2010</v>
      </c>
      <c r="D1026" s="3" t="s">
        <f>B1026&amp;"/"&amp;A1026&amp;"/"&amp;C1026</f>
        <v>1524</v>
      </c>
      <c r="E1026">
        <v>0.29166666666666669</v>
      </c>
      <c r="F1026" t="str">
        <f>I1026&amp;" "&amp;J1026&amp;" "&amp;K1026&amp;" "&amp;L1026&amp;" "&amp;M1026&amp;" "&amp;N1026</f>
        <v>College Day at Priory  </v>
      </c>
      <c r="G1026" t="s">
        <f>TEXT(D1026,"mmm dd")</f>
        <v>1525</v>
      </c>
      <c r="I1026" t="inlineStr">
        <is>
          <t>College</t>
        </is>
      </c>
      <c r="J1026" t="s">
        <v>10</v>
      </c>
      <c r="K1026" t="s">
        <v>53</v>
      </c>
      <c r="L1026" t="s">
        <v>756</v>
      </c>
    </row>
    <row r="1027" spans="1:23">
      <c r="A1027">
        <v>20</v>
      </c>
      <c r="B1027">
        <v>2</v>
      </c>
      <c r="C1027">
        <v>2010</v>
      </c>
      <c r="D1027" s="3" t="s">
        <f>B1027&amp;"/"&amp;A1027&amp;"/"&amp;C1027</f>
        <v>1524</v>
      </c>
      <c r="E1027">
        <v>0.13541666666666666</v>
      </c>
      <c r="F1027" t="s">
        <f>I1027&amp;" "&amp;J1027&amp;" "&amp;K1027&amp;" "&amp;L1027&amp;" "&amp;M1027&amp;" "&amp;N1027</f>
        <v>1518</v>
      </c>
      <c r="G1027" t="s">
        <f>TEXT(D1027,"mmm dd")</f>
        <v>1525</v>
      </c>
      <c r="I1027" t="s">
        <v>1489</v>
      </c>
      <c r="J1027" t="s">
        <v>1519</v>
      </c>
    </row>
    <row r="1028" spans="1:23">
      <c r="A1028">
        <v>21</v>
      </c>
      <c r="B1028">
        <v>2</v>
      </c>
      <c r="C1028">
        <v>2010</v>
      </c>
      <c r="D1028" s="3" t="s">
        <f>B1028&amp;"/"&amp;A1028&amp;"/"&amp;C1028</f>
        <v>1528</v>
      </c>
      <c r="E1028" t="s">
        <v>42</v>
      </c>
      <c r="F1028" t="s">
        <f>I1028&amp;" "&amp;J1028&amp;" "&amp;K1028&amp;" "&amp;L1028&amp;" "&amp;M1028&amp;" "&amp;N1028</f>
        <v>1529</v>
      </c>
      <c r="G1028" t="s">
        <f>TEXT(D1028,"mmm dd")</f>
        <v>1530</v>
      </c>
      <c r="I1028" t="inlineStr">
        <is>
          <t>Julian's</t>
        </is>
      </c>
      <c r="J1028" t="s">
        <v>1531</v>
      </c>
    </row>
    <row r="1029" spans="1:23">
      <c r="A1029">
        <v>23</v>
      </c>
      <c r="B1029">
        <v>2</v>
      </c>
      <c r="C1029">
        <v>2010</v>
      </c>
      <c r="D1029" s="3" t="str">
        <f>B1029&amp;"/"&amp;A1029&amp;"/"&amp;C1029</f>
        <v>2/23/2010</v>
      </c>
      <c r="E1029">
        <v>0.97916666666666663</v>
      </c>
      <c r="F1029" t="str">
        <f>I1029&amp;" "&amp;J1029&amp;" "&amp;K1029&amp;" "&amp;L1029&amp;" "&amp;M1029&amp;" "&amp;N1029</f>
        <v>Lillian Nishimura funeral @ Punchbowl </v>
      </c>
      <c r="G1029" t="s">
        <f>TEXT(D1029,"mmm dd")</f>
        <v>1532</v>
      </c>
      <c r="I1029" t="inlineStr">
        <is>
          <t>Lillian</t>
        </is>
      </c>
      <c r="J1029" t="inlineStr">
        <is>
          <t>Nishimura</t>
        </is>
      </c>
      <c r="K1029" t="s">
        <v>1116</v>
      </c>
      <c r="L1029" t="s">
        <v>48</v>
      </c>
      <c r="M1029" t="inlineStr">
        <is>
          <t>Punchbowl</t>
        </is>
      </c>
    </row>
    <row r="1030" spans="1:23">
      <c r="A1030">
        <v>25</v>
      </c>
      <c r="B1030">
        <v>2</v>
      </c>
      <c r="C1030">
        <v>2010</v>
      </c>
      <c r="D1030" s="3" t="str">
        <f>B1030&amp;"/"&amp;A1030&amp;"/"&amp;C1030</f>
        <v>2/25/2010</v>
      </c>
      <c r="E1030" t="s">
        <v>42</v>
      </c>
      <c r="F1030" t="str">
        <f>I1030&amp;" "&amp;J1030&amp;" "&amp;K1030&amp;" "&amp;L1030&amp;" "&amp;M1030&amp;" "&amp;N1030</f>
        <v>Do Priory girls   </v>
      </c>
      <c r="G1030" t="s">
        <f>TEXT(D1030,"mmm dd")</f>
        <v>1216</v>
      </c>
      <c r="I1030" t="s">
        <v>852</v>
      </c>
      <c r="J1030" t="s">
        <v>756</v>
      </c>
      <c r="K1030" t="s">
        <v>822</v>
      </c>
    </row>
    <row r="1031" spans="1:23">
      <c r="A1031">
        <v>26</v>
      </c>
      <c r="B1031">
        <v>2</v>
      </c>
      <c r="C1031">
        <v>2010</v>
      </c>
      <c r="D1031" s="3" t="str">
        <f>B1031&amp;"/"&amp;A1031&amp;"/"&amp;C1031</f>
        <v>2/26/2010</v>
      </c>
      <c r="E1031">
        <v>0.45833333333333331</v>
      </c>
      <c r="F1031" t="str">
        <f>I1031&amp;" "&amp;J1031&amp;" "&amp;K1031&amp;" "&amp;L1031&amp;" "&amp;M1031&amp;" "&amp;N1031</f>
        <v>Friends of Sabeel @ Cathedral </v>
      </c>
      <c r="G1031" t="s">
        <f>TEXT(D1031,"mmm dd")</f>
        <v>1219</v>
      </c>
      <c r="I1031" t="inlineStr">
        <is>
          <t>Friends</t>
        </is>
      </c>
      <c r="J1031" t="s">
        <v>86</v>
      </c>
      <c r="K1031" t="inlineStr">
        <is>
          <t>Sabeel</t>
        </is>
      </c>
      <c r="L1031" t="s">
        <v>48</v>
      </c>
      <c r="M1031" t="s">
        <v>1533</v>
      </c>
    </row>
    <row r="1032" spans="1:23">
      <c r="A1032">
        <v>27</v>
      </c>
      <c r="B1032">
        <v>2</v>
      </c>
      <c r="C1032">
        <v>2010</v>
      </c>
      <c r="D1032" s="3" t="str">
        <f>B1032&amp;"/"&amp;A1032&amp;"/"&amp;C1032</f>
        <v>2/27/2010</v>
      </c>
      <c r="E1032">
        <v>1.0833333333333333</v>
      </c>
      <c r="F1032" t="s">
        <f>I1032&amp;" "&amp;J1032&amp;" "&amp;K1032&amp;" "&amp;L1032&amp;" "&amp;M1032&amp;" "&amp;N1032</f>
        <v>1495</v>
      </c>
      <c r="G1032" t="s">
        <f>TEXT(D1032,"mmm dd")</f>
        <v>1223</v>
      </c>
      <c r="I1032" t="s">
        <v>615</v>
      </c>
      <c r="J1032" t="s">
        <v>616</v>
      </c>
      <c r="K1032" t="s">
        <v>772</v>
      </c>
    </row>
    <row r="1033" spans="1:23">
      <c r="A1033">
        <v>2</v>
      </c>
      <c r="B1033">
        <v>3</v>
      </c>
      <c r="C1033">
        <v>2010</v>
      </c>
      <c r="D1033" s="3" t="str">
        <f>B1033&amp;"/"&amp;A1033&amp;"/"&amp;C1033</f>
        <v>3/2/2010</v>
      </c>
      <c r="E1033">
        <v>0.125</v>
      </c>
      <c r="F1033" t="s">
        <f>I1033&amp;" "&amp;J1033&amp;" "&amp;K1033&amp;" "&amp;L1033&amp;" "&amp;M1033&amp;" "&amp;N1033</f>
        <v>1534</v>
      </c>
      <c r="G1033" t="s">
        <f>TEXT(D1033,"mmm dd")</f>
        <v>1535</v>
      </c>
      <c r="I1033" t="s">
        <v>1536</v>
      </c>
    </row>
    <row r="1034" spans="1:23">
      <c r="A1034">
        <v>4</v>
      </c>
      <c r="B1034">
        <v>3</v>
      </c>
      <c r="C1034">
        <v>2010</v>
      </c>
      <c r="D1034" s="3" t="s">
        <f>B1034&amp;"/"&amp;A1034&amp;"/"&amp;C1034</f>
        <v>1537</v>
      </c>
      <c r="E1034" t="s">
        <v>42</v>
      </c>
      <c r="F1034" t="str">
        <f>I1034&amp;" "&amp;J1034&amp;" "&amp;K1034&amp;" "&amp;L1034&amp;" "&amp;M1034&amp;" "&amp;N1034</f>
        <v>HIM Conference    </v>
      </c>
      <c r="G1034" t="s">
        <f>TEXT(D1034,"mmm dd")</f>
        <v>1538</v>
      </c>
      <c r="I1034" t="s">
        <v>1245</v>
      </c>
      <c r="J1034" t="s">
        <v>264</v>
      </c>
    </row>
    <row r="1035" spans="1:23">
      <c r="A1035">
        <v>4</v>
      </c>
      <c r="B1035">
        <v>3</v>
      </c>
      <c r="C1035">
        <v>2010</v>
      </c>
      <c r="D1035" s="3" t="s">
        <f>B1035&amp;"/"&amp;A1035&amp;"/"&amp;C1035</f>
        <v>1537</v>
      </c>
      <c r="E1035">
        <v>0.125</v>
      </c>
      <c r="F1035" t="s">
        <f>I1035&amp;" "&amp;J1035&amp;" "&amp;K1035&amp;" "&amp;L1035&amp;" "&amp;M1035&amp;" "&amp;N1035</f>
        <v>1534</v>
      </c>
      <c r="G1035" t="s">
        <f>TEXT(D1035,"mmm dd")</f>
        <v>1538</v>
      </c>
      <c r="I1035" t="s">
        <v>1536</v>
      </c>
    </row>
    <row r="1036" spans="1:23">
      <c r="A1036">
        <v>5</v>
      </c>
      <c r="B1036">
        <v>3</v>
      </c>
      <c r="C1036">
        <v>2010</v>
      </c>
      <c r="D1036" s="3" t="str">
        <f>B1036&amp;"/"&amp;A1036&amp;"/"&amp;C1036</f>
        <v>3/5/2010</v>
      </c>
      <c r="E1036">
        <v>0.16666666666666666</v>
      </c>
      <c r="F1036" t="str">
        <f>I1036&amp;" "&amp;J1036&amp;" "&amp;K1036&amp;" "&amp;L1036&amp;" "&amp;M1036&amp;" "&amp;N1036</f>
        <v>June Naughton for chat  </v>
      </c>
      <c r="G1036" t="s">
        <f>TEXT(D1036,"mmm dd")</f>
        <v>1235</v>
      </c>
      <c r="I1036" t="s">
        <v>1539</v>
      </c>
      <c r="J1036" t="s">
        <v>1540</v>
      </c>
      <c r="K1036" t="s">
        <v>439</v>
      </c>
      <c r="L1036" t="s">
        <v>1541</v>
      </c>
    </row>
    <row r="1037" spans="1:23">
      <c r="A1037">
        <v>6</v>
      </c>
      <c r="B1037">
        <v>3</v>
      </c>
      <c r="C1037">
        <v>2010</v>
      </c>
      <c r="D1037" s="3" t="str">
        <f>B1037&amp;"/"&amp;A1037&amp;"/"&amp;C1037</f>
        <v>3/6/2010</v>
      </c>
      <c r="E1037">
        <v>0.1736111111111111</v>
      </c>
      <c r="F1037" t="s">
        <f>I1037&amp;" "&amp;J1037&amp;" "&amp;K1037&amp;" "&amp;L1037&amp;" "&amp;M1037&amp;" "&amp;N1037</f>
        <v>937</v>
      </c>
      <c r="G1037" t="s">
        <f>TEXT(D1037,"mmm dd")</f>
        <v>1237</v>
      </c>
      <c r="I1037" t="s">
        <v>847</v>
      </c>
      <c r="J1037" t="s">
        <v>918</v>
      </c>
    </row>
    <row r="1038" spans="1:23">
      <c r="A1038">
        <v>8</v>
      </c>
      <c r="B1038">
        <v>3</v>
      </c>
      <c r="C1038">
        <v>2010</v>
      </c>
      <c r="D1038" s="3" t="str">
        <f>B1038&amp;"/"&amp;A1038&amp;"/"&amp;C1038</f>
        <v>3/8/2010</v>
      </c>
      <c r="E1038">
        <v>0.27083333333333331</v>
      </c>
      <c r="F1038" t="str">
        <f>I1038&amp;" "&amp;J1038&amp;" "&amp;K1038&amp;" "&amp;L1038&amp;" "&amp;M1038&amp;" "&amp;N1038</f>
        <v>Evensong @ Cathedral   </v>
      </c>
      <c r="G1038" t="s">
        <f>TEXT(D1038,"mmm dd")</f>
        <v>1542</v>
      </c>
      <c r="I1038" t="s">
        <v>1543</v>
      </c>
      <c r="J1038" t="s">
        <v>48</v>
      </c>
      <c r="K1038" t="s">
        <v>1533</v>
      </c>
    </row>
    <row r="1039" spans="1:23">
      <c r="A1039">
        <v>9</v>
      </c>
      <c r="B1039">
        <v>3</v>
      </c>
      <c r="C1039">
        <v>2010</v>
      </c>
      <c r="D1039" s="3" t="s">
        <f>B1039&amp;"/"&amp;A1039&amp;"/"&amp;C1039</f>
        <v>1544</v>
      </c>
      <c r="E1039">
        <v>0.29166666666666669</v>
      </c>
      <c r="F1039" t="s">
        <f>I1039&amp;" "&amp;J1039&amp;" "&amp;K1039&amp;" "&amp;L1039&amp;" "&amp;M1039&amp;" "&amp;N1039</f>
        <v>1307</v>
      </c>
      <c r="G1039" t="s">
        <f>TEXT(D1039,"mmm dd")</f>
        <v>1545</v>
      </c>
      <c r="I1039" t="s">
        <v>674</v>
      </c>
      <c r="J1039" t="s">
        <v>675</v>
      </c>
    </row>
    <row r="1040" spans="1:23">
      <c r="A1040">
        <v>9</v>
      </c>
      <c r="B1040">
        <v>3</v>
      </c>
      <c r="C1040">
        <v>2010</v>
      </c>
      <c r="D1040" s="3" t="s">
        <f>B1040&amp;"/"&amp;A1040&amp;"/"&amp;C1040</f>
        <v>1544</v>
      </c>
      <c r="E1040">
        <v>0.125</v>
      </c>
      <c r="F1040" t="s">
        <f>I1040&amp;" "&amp;J1040&amp;" "&amp;K1040&amp;" "&amp;L1040&amp;" "&amp;M1040&amp;" "&amp;N1040</f>
        <v>1534</v>
      </c>
      <c r="G1040" t="s">
        <f>TEXT(D1040,"mmm dd")</f>
        <v>1545</v>
      </c>
      <c r="I1040" t="s">
        <v>1536</v>
      </c>
    </row>
    <row r="1041" spans="1:23">
      <c r="A1041">
        <v>10</v>
      </c>
      <c r="B1041">
        <v>3</v>
      </c>
      <c r="C1041">
        <v>2010</v>
      </c>
      <c r="D1041" s="3" t="s">
        <f>B1041&amp;"/"&amp;A1041&amp;"/"&amp;C1041</f>
        <v>1546</v>
      </c>
      <c r="E1041">
        <v>0.21875</v>
      </c>
      <c r="F1041" t="s">
        <f>I1041&amp;" "&amp;J1041&amp;" "&amp;K1041&amp;" "&amp;L1041&amp;" "&amp;M1041&amp;" "&amp;N1041</f>
        <v>1248</v>
      </c>
      <c r="G1041" t="s">
        <f>TEXT(D1041,"mmm dd")</f>
        <v>1241</v>
      </c>
      <c r="I1041" t="s">
        <v>847</v>
      </c>
      <c r="J1041" t="s">
        <v>647</v>
      </c>
    </row>
    <row r="1042" spans="1:23">
      <c r="A1042">
        <v>10</v>
      </c>
      <c r="B1042">
        <v>3</v>
      </c>
      <c r="C1042">
        <v>2010</v>
      </c>
      <c r="D1042" s="3" t="s">
        <f>B1042&amp;"/"&amp;A1042&amp;"/"&amp;C1042</f>
        <v>1546</v>
      </c>
      <c r="E1042" t="s">
        <v>42</v>
      </c>
      <c r="F1042" t="str">
        <f>I1042&amp;" "&amp;J1042&amp;" "&amp;K1042&amp;" "&amp;L1042&amp;" "&amp;M1042&amp;" "&amp;N1042</f>
        <v>Bldg Trade Show   </v>
      </c>
      <c r="G1042" t="s">
        <f>TEXT(D1042,"mmm dd")</f>
        <v>1241</v>
      </c>
      <c r="I1042" t="inlineStr">
        <is>
          <t>Bldg</t>
        </is>
      </c>
      <c r="J1042" t="inlineStr">
        <is>
          <t>Trade</t>
        </is>
      </c>
      <c r="K1042" t="s">
        <v>1547</v>
      </c>
    </row>
    <row r="1043" spans="1:23">
      <c r="A1043">
        <v>11</v>
      </c>
      <c r="B1043">
        <v>3</v>
      </c>
      <c r="C1043">
        <v>2010</v>
      </c>
      <c r="D1043" s="3" t="s">
        <f>B1043&amp;"/"&amp;A1043&amp;"/"&amp;C1043</f>
        <v>1548</v>
      </c>
      <c r="E1043" t="s">
        <v>42</v>
      </c>
      <c r="F1043" t="s">
        <f>I1043&amp;" "&amp;J1043&amp;" "&amp;K1043&amp;" "&amp;L1043&amp;" "&amp;M1043&amp;" "&amp;N1043</f>
        <v>1549</v>
      </c>
      <c r="G1043" t="s">
        <f>TEXT(D1043,"mmm dd")</f>
        <v>1550</v>
      </c>
      <c r="I1043" t="inlineStr">
        <is>
          <t>David's</t>
        </is>
      </c>
      <c r="J1043" t="s">
        <v>1531</v>
      </c>
    </row>
    <row r="1044" spans="1:23">
      <c r="A1044">
        <v>11</v>
      </c>
      <c r="B1044">
        <v>3</v>
      </c>
      <c r="C1044">
        <v>2010</v>
      </c>
      <c r="D1044" s="3" t="s">
        <f>B1044&amp;"/"&amp;A1044&amp;"/"&amp;C1044</f>
        <v>1548</v>
      </c>
      <c r="E1044">
        <v>0.125</v>
      </c>
      <c r="F1044" t="s">
        <f>I1044&amp;" "&amp;J1044&amp;" "&amp;K1044&amp;" "&amp;L1044&amp;" "&amp;M1044&amp;" "&amp;N1044</f>
        <v>1534</v>
      </c>
      <c r="G1044" t="s">
        <f>TEXT(D1044,"mmm dd")</f>
        <v>1550</v>
      </c>
      <c r="I1044" t="s">
        <v>1536</v>
      </c>
    </row>
    <row r="1045" spans="1:23">
      <c r="A1045">
        <v>12</v>
      </c>
      <c r="B1045">
        <v>3</v>
      </c>
      <c r="C1045">
        <v>2010</v>
      </c>
      <c r="D1045" s="3" t="str">
        <f>B1045&amp;"/"&amp;A1045&amp;"/"&amp;C1045</f>
        <v>3/12/2010</v>
      </c>
      <c r="E1045" t="s">
        <v>42</v>
      </c>
      <c r="F1045" t="str">
        <f>I1045&amp;" "&amp;J1045&amp;" "&amp;K1045&amp;" "&amp;L1045&amp;" "&amp;M1045&amp;" "&amp;N1045</f>
        <v>Marcus Borg @ St. Clement's </v>
      </c>
      <c r="G1045" t="s">
        <f>TEXT(D1045,"mmm dd")</f>
        <v>1244</v>
      </c>
      <c r="I1045" t="s">
        <v>1551</v>
      </c>
      <c r="J1045" t="inlineStr">
        <is>
          <t>Borg</t>
        </is>
      </c>
      <c r="K1045" t="s">
        <v>48</v>
      </c>
      <c r="L1045" t="s">
        <v>218</v>
      </c>
      <c r="M1045" t="inlineStr">
        <is>
          <t>Clement's</t>
        </is>
      </c>
    </row>
    <row r="1046" spans="1:23">
      <c r="A1046">
        <v>13</v>
      </c>
      <c r="B1046">
        <v>3</v>
      </c>
      <c r="C1046">
        <v>2010</v>
      </c>
      <c r="D1046" s="3" t="s">
        <f>B1046&amp;"/"&amp;A1046&amp;"/"&amp;C1046</f>
        <v>1552</v>
      </c>
      <c r="E1046">
        <v>0.29166666666666669</v>
      </c>
      <c r="F1046" t="s">
        <f>I1046&amp;" "&amp;J1046&amp;" "&amp;K1046&amp;" "&amp;L1046&amp;" "&amp;M1046&amp;" "&amp;N1046</f>
        <v>1292</v>
      </c>
      <c r="G1046" t="s">
        <f>TEXT(D1046,"mmm dd")</f>
        <v>1553</v>
      </c>
      <c r="I1046" t="s">
        <v>695</v>
      </c>
      <c r="J1046" t="s">
        <v>1036</v>
      </c>
      <c r="K1046" t="s">
        <v>1293</v>
      </c>
    </row>
    <row r="1047" spans="1:23">
      <c r="A1047">
        <v>13</v>
      </c>
      <c r="B1047">
        <v>3</v>
      </c>
      <c r="C1047">
        <v>2010</v>
      </c>
      <c r="D1047" s="3" t="s">
        <f>B1047&amp;"/"&amp;A1047&amp;"/"&amp;C1047</f>
        <v>1552</v>
      </c>
      <c r="E1047">
        <v>0.875</v>
      </c>
      <c r="F1047" t="str">
        <f>I1047&amp;" "&amp;J1047&amp;" "&amp;K1047&amp;" "&amp;L1047&amp;" "&amp;M1047&amp;" "&amp;N1047</f>
        <v>Meet Sumida's    </v>
      </c>
      <c r="G1047" t="s">
        <f>TEXT(D1047,"mmm dd")</f>
        <v>1553</v>
      </c>
      <c r="I1047" t="s">
        <v>300</v>
      </c>
      <c r="J1047" t="inlineStr">
        <is>
          <t>Sumida's</t>
        </is>
      </c>
    </row>
    <row r="1048" spans="1:23">
      <c r="A1048">
        <v>16</v>
      </c>
      <c r="B1048">
        <v>3</v>
      </c>
      <c r="C1048">
        <v>2010</v>
      </c>
      <c r="D1048" s="3" t="str">
        <f>B1048&amp;"/"&amp;A1048&amp;"/"&amp;C1048</f>
        <v>3/16/2010</v>
      </c>
      <c r="E1048">
        <v>0.13541666666666666</v>
      </c>
      <c r="F1048" t="s">
        <f>I1048&amp;" "&amp;J1048&amp;" "&amp;K1048&amp;" "&amp;L1048&amp;" "&amp;M1048&amp;" "&amp;N1048</f>
        <v>1534</v>
      </c>
      <c r="G1048" t="s">
        <f>TEXT(D1048,"mmm dd")</f>
        <v>1554</v>
      </c>
      <c r="I1048" t="s">
        <v>1536</v>
      </c>
    </row>
    <row r="1049" spans="1:23">
      <c r="A1049">
        <v>17</v>
      </c>
      <c r="B1049">
        <v>3</v>
      </c>
      <c r="C1049">
        <v>2010</v>
      </c>
      <c r="D1049" s="3" t="str">
        <f>B1049&amp;"/"&amp;A1049&amp;"/"&amp;C1049</f>
        <v>3/17/2010</v>
      </c>
      <c r="E1049">
        <v>0.92708333333333337</v>
      </c>
      <c r="F1049" t="str">
        <f>I1049&amp;" "&amp;J1049&amp;" "&amp;K1049&amp;" "&amp;L1049&amp;" "&amp;M1049&amp;" "&amp;N1049</f>
        <v>Ash Wed service @ Priory </v>
      </c>
      <c r="G1049" t="s">
        <f>TEXT(D1049,"mmm dd")</f>
        <v>1249</v>
      </c>
      <c r="I1049" t="s">
        <v>1217</v>
      </c>
      <c r="J1049" t="s">
        <v>1522</v>
      </c>
      <c r="K1049" t="s">
        <v>427</v>
      </c>
      <c r="L1049" t="s">
        <v>48</v>
      </c>
      <c r="M1049" t="s">
        <v>756</v>
      </c>
    </row>
    <row r="1050" spans="1:23">
      <c r="A1050">
        <v>18</v>
      </c>
      <c r="B1050">
        <v>3</v>
      </c>
      <c r="C1050">
        <v>2010</v>
      </c>
      <c r="D1050" s="3" t="s">
        <f>B1050&amp;"/"&amp;A1050&amp;"/"&amp;C1050</f>
        <v>1555</v>
      </c>
      <c r="E1050">
        <v>0.33333333333333331</v>
      </c>
      <c r="F1050" t="str">
        <f>I1050&amp;" "&amp;J1050&amp;" "&amp;K1050&amp;" "&amp;L1050&amp;" "&amp;M1050&amp;" "&amp;N1050</f>
        <v>Visit Lily AuHoy   </v>
      </c>
      <c r="G1050" t="s">
        <f>TEXT(D1050,"mmm dd")</f>
        <v>1251</v>
      </c>
      <c r="I1050" t="s">
        <v>1252</v>
      </c>
      <c r="J1050" t="inlineStr">
        <is>
          <t>Lily</t>
        </is>
      </c>
      <c r="K1050" t="s">
        <v>1556</v>
      </c>
    </row>
    <row r="1051" spans="1:23">
      <c r="A1051">
        <v>18</v>
      </c>
      <c r="B1051">
        <v>3</v>
      </c>
      <c r="C1051">
        <v>2010</v>
      </c>
      <c r="D1051" s="3" t="s">
        <f>B1051&amp;"/"&amp;A1051&amp;"/"&amp;C1051</f>
        <v>1555</v>
      </c>
      <c r="E1051">
        <v>0.89583333333333337</v>
      </c>
      <c r="F1051" t="str">
        <f>I1051&amp;" "&amp;J1051&amp;" "&amp;K1051&amp;" "&amp;L1051&amp;" "&amp;M1051&amp;" "&amp;N1051</f>
        <v>Angels' Chapel    </v>
      </c>
      <c r="G1051" t="s">
        <f>TEXT(D1051,"mmm dd")</f>
        <v>1251</v>
      </c>
      <c r="I1051" t="inlineStr">
        <is>
          <t>Angels'</t>
        </is>
      </c>
      <c r="J1051" t="s">
        <v>1195</v>
      </c>
    </row>
    <row r="1052" spans="1:23">
      <c r="A1052">
        <v>19</v>
      </c>
      <c r="B1052">
        <v>3</v>
      </c>
      <c r="C1052">
        <v>2010</v>
      </c>
      <c r="D1052" s="3" t="str">
        <f>B1052&amp;"/"&amp;A1052&amp;"/"&amp;C1052</f>
        <v>3/19/2010</v>
      </c>
      <c r="E1052">
        <v>1.09375</v>
      </c>
      <c r="F1052" t="str">
        <f>I1052&amp;" "&amp;J1052&amp;" "&amp;K1052&amp;" "&amp;L1052&amp;" "&amp;M1052&amp;" "&amp;N1052</f>
        <v>Parent Teacher    </v>
      </c>
      <c r="G1052" t="s">
        <f>TEXT(D1052,"mmm dd")</f>
        <v>1254</v>
      </c>
      <c r="I1052" t="s">
        <v>950</v>
      </c>
      <c r="J1052" t="s">
        <v>951</v>
      </c>
    </row>
    <row r="1053" spans="1:23">
      <c r="A1053">
        <v>24</v>
      </c>
      <c r="B1053">
        <v>3</v>
      </c>
      <c r="C1053">
        <v>2010</v>
      </c>
      <c r="D1053" s="3" t="s">
        <f>B1053&amp;"/"&amp;A1053&amp;"/"&amp;C1053</f>
        <v>1557</v>
      </c>
      <c r="E1053">
        <v>0.21875</v>
      </c>
      <c r="F1053" t="s">
        <f>I1053&amp;" "&amp;J1053&amp;" "&amp;K1053&amp;" "&amp;L1053&amp;" "&amp;M1053&amp;" "&amp;N1053</f>
        <v>1248</v>
      </c>
      <c r="G1053" t="s">
        <f>TEXT(D1053,"mmm dd")</f>
        <v>1265</v>
      </c>
      <c r="I1053" t="s">
        <v>847</v>
      </c>
      <c r="J1053" t="s">
        <v>647</v>
      </c>
    </row>
    <row r="1054" spans="1:23">
      <c r="A1054">
        <v>24</v>
      </c>
      <c r="B1054">
        <v>3</v>
      </c>
      <c r="C1054">
        <v>2010</v>
      </c>
      <c r="D1054" s="3" t="s">
        <f>B1054&amp;"/"&amp;A1054&amp;"/"&amp;C1054</f>
        <v>1557</v>
      </c>
      <c r="E1054">
        <v>0.25</v>
      </c>
      <c r="F1054" t="s">
        <f>I1054&amp;" "&amp;J1054&amp;" "&amp;K1054&amp;" "&amp;L1054&amp;" "&amp;M1054&amp;" "&amp;N1054</f>
        <v>1558</v>
      </c>
      <c r="G1054" t="s">
        <f>TEXT(D1054,"mmm dd")</f>
        <v>1265</v>
      </c>
      <c r="I1054" t="s">
        <v>907</v>
      </c>
    </row>
    <row r="1055" spans="1:23">
      <c r="A1055">
        <v>25</v>
      </c>
      <c r="B1055">
        <v>3</v>
      </c>
      <c r="C1055">
        <v>2010</v>
      </c>
      <c r="D1055" s="3" t="str">
        <f>B1055&amp;"/"&amp;A1055&amp;"/"&amp;C1055</f>
        <v>3/25/2010</v>
      </c>
      <c r="E1055">
        <v>0.91666666666666663</v>
      </c>
      <c r="F1055" t="str">
        <f>I1055&amp;" "&amp;J1055&amp;" "&amp;K1055&amp;" "&amp;L1055&amp;" "&amp;M1055&amp;" "&amp;N1055</f>
        <v>Clergy Day ChrIsm Mass  </v>
      </c>
      <c r="G1055" t="s">
        <f>TEXT(D1055,"mmm dd")</f>
        <v>1559</v>
      </c>
      <c r="I1055" t="s">
        <v>46</v>
      </c>
      <c r="J1055" t="s">
        <v>10</v>
      </c>
      <c r="K1055" t="inlineStr">
        <is>
          <t>ChrIsm</t>
        </is>
      </c>
      <c r="L1055" t="s">
        <v>1273</v>
      </c>
    </row>
    <row r="1056" spans="1:23">
      <c r="A1056">
        <v>26</v>
      </c>
      <c r="B1056">
        <v>3</v>
      </c>
      <c r="C1056">
        <v>2010</v>
      </c>
      <c r="D1056" s="3" t="str">
        <f>B1056&amp;"/"&amp;A1056&amp;"/"&amp;C1056</f>
        <v>3/26/2010</v>
      </c>
      <c r="E1056" t="s">
        <v>42</v>
      </c>
      <c r="F1056" t="str">
        <f>I1056&amp;" "&amp;J1056&amp;" "&amp;K1056&amp;" "&amp;L1056&amp;" "&amp;M1056&amp;" "&amp;N1056</f>
        <v>DJ 10    </v>
      </c>
      <c r="G1056" t="s">
        <f>TEXT(D1056,"mmm dd")</f>
        <v>1560</v>
      </c>
      <c r="I1056" t="inlineStr">
        <is>
          <t>DJ</t>
        </is>
      </c>
      <c r="J1056">
        <v>10</v>
      </c>
    </row>
    <row r="1057" spans="1:23">
      <c r="A1057">
        <v>28</v>
      </c>
      <c r="B1057">
        <v>3</v>
      </c>
      <c r="C1057">
        <v>2010</v>
      </c>
      <c r="D1057" s="3" t="str">
        <f>B1057&amp;"/"&amp;A1057&amp;"/"&amp;C1057</f>
        <v>3/28/2010</v>
      </c>
      <c r="E1057" t="s">
        <v>42</v>
      </c>
      <c r="F1057" t="s">
        <f>I1057&amp;" "&amp;J1057&amp;" "&amp;K1057&amp;" "&amp;L1057&amp;" "&amp;M1057&amp;" "&amp;N1057</f>
        <v>1561</v>
      </c>
      <c r="G1057" t="s">
        <f>TEXT(D1057,"mmm dd")</f>
        <v>1562</v>
      </c>
      <c r="I1057" t="s">
        <v>1563</v>
      </c>
      <c r="J1057" t="s">
        <v>341</v>
      </c>
    </row>
    <row r="1058" spans="1:23">
      <c r="A1058">
        <v>1</v>
      </c>
      <c r="B1058">
        <v>4</v>
      </c>
      <c r="C1058">
        <v>2010</v>
      </c>
      <c r="D1058" s="3" t="str">
        <f>B1058&amp;"/"&amp;A1058&amp;"/"&amp;C1058</f>
        <v>4/1/2010</v>
      </c>
      <c r="E1058" t="s">
        <v>42</v>
      </c>
      <c r="F1058" t="str">
        <f>I1058&amp;" "&amp;J1058&amp;" "&amp;K1058&amp;" "&amp;L1058&amp;" "&amp;M1058&amp;" "&amp;N1058</f>
        <v>Maundy Thurs    </v>
      </c>
      <c r="G1058" t="s">
        <f>TEXT(D1058,"mmm dd")</f>
        <v>43</v>
      </c>
      <c r="I1058" t="s">
        <v>1564</v>
      </c>
      <c r="J1058" t="inlineStr">
        <is>
          <t>Thurs</t>
        </is>
      </c>
    </row>
    <row r="1059" spans="1:23">
      <c r="A1059">
        <v>2</v>
      </c>
      <c r="B1059">
        <v>4</v>
      </c>
      <c r="C1059">
        <v>2010</v>
      </c>
      <c r="D1059" s="3" t="s">
        <f>B1059&amp;"/"&amp;A1059&amp;"/"&amp;C1059</f>
        <v>1565</v>
      </c>
      <c r="E1059" t="s">
        <v>42</v>
      </c>
      <c r="F1059" t="str">
        <f>I1059&amp;" "&amp;J1059&amp;" "&amp;K1059&amp;" "&amp;L1059&amp;" "&amp;M1059&amp;" "&amp;N1059</f>
        <v>Good Fri    </v>
      </c>
      <c r="G1059" t="s">
        <f>TEXT(D1059,"mmm dd")</f>
        <v>65</v>
      </c>
      <c r="I1059" t="s">
        <v>1268</v>
      </c>
      <c r="J1059" t="inlineStr">
        <is>
          <t>Fri</t>
        </is>
      </c>
    </row>
    <row r="1060" spans="1:23">
      <c r="A1060">
        <v>2</v>
      </c>
      <c r="B1060">
        <v>4</v>
      </c>
      <c r="C1060">
        <v>2010</v>
      </c>
      <c r="D1060" s="3" t="s">
        <f>B1060&amp;"/"&amp;A1060&amp;"/"&amp;C1060</f>
        <v>1565</v>
      </c>
      <c r="E1060">
        <v>0.33333333333333331</v>
      </c>
      <c r="F1060" t="str">
        <f>I1060&amp;" "&amp;J1060&amp;" "&amp;K1060&amp;" "&amp;L1060&amp;" "&amp;M1060&amp;" "&amp;N1060</f>
        <v>Send Ellen &amp;c re Pang </v>
      </c>
      <c r="G1060" t="s">
        <f>TEXT(D1060,"mmm dd")</f>
        <v>65</v>
      </c>
      <c r="I1060" t="s">
        <v>1566</v>
      </c>
      <c r="J1060" t="inlineStr">
        <is>
          <t>Ellen</t>
        </is>
      </c>
      <c r="K1060" t="inlineStr">
        <is>
          <t>&amp;c</t>
        </is>
      </c>
      <c r="L1060" t="s">
        <v>594</v>
      </c>
      <c r="M1060" t="s">
        <v>1475</v>
      </c>
    </row>
    <row r="1061" spans="1:23">
      <c r="A1061">
        <v>3</v>
      </c>
      <c r="B1061">
        <v>4</v>
      </c>
      <c r="C1061">
        <v>2010</v>
      </c>
      <c r="D1061" s="3" t="str">
        <f>B1061&amp;"/"&amp;A1061&amp;"/"&amp;C1061</f>
        <v>4/3/2010</v>
      </c>
      <c r="E1061">
        <v>0.20833333333333334</v>
      </c>
      <c r="F1061" t="str">
        <f>I1061&amp;" "&amp;J1061&amp;" "&amp;K1061&amp;" "&amp;L1061&amp;" "&amp;M1061&amp;" "&amp;N1061</f>
        <v>Chuukese @ chapel   </v>
      </c>
      <c r="G1061" t="s">
        <f>TEXT(D1061,"mmm dd")</f>
        <v>83</v>
      </c>
      <c r="I1061" t="s">
        <v>1567</v>
      </c>
      <c r="J1061" t="s">
        <v>48</v>
      </c>
      <c r="K1061" t="s">
        <v>55</v>
      </c>
    </row>
    <row r="1062" spans="1:23">
      <c r="A1062">
        <v>4</v>
      </c>
      <c r="B1062">
        <v>4</v>
      </c>
      <c r="C1062">
        <v>2010</v>
      </c>
      <c r="D1062" s="3" t="str">
        <f>B1062&amp;"/"&amp;A1062&amp;"/"&amp;C1062</f>
        <v>4/4/2010</v>
      </c>
      <c r="E1062" t="s">
        <v>42</v>
      </c>
      <c r="F1062" t="str">
        <f>I1062&amp;" "&amp;J1062&amp;" "&amp;K1062&amp;" "&amp;L1062&amp;" "&amp;M1062&amp;" "&amp;N1062</f>
        <v>Easter     </v>
      </c>
      <c r="G1062" t="s">
        <f>TEXT(D1062,"mmm dd")</f>
        <v>91</v>
      </c>
      <c r="I1062" t="s">
        <v>1568</v>
      </c>
    </row>
    <row r="1063" spans="1:23">
      <c r="A1063">
        <v>5</v>
      </c>
      <c r="B1063">
        <v>4</v>
      </c>
      <c r="C1063">
        <v>2010</v>
      </c>
      <c r="D1063" s="3" t="str">
        <f>B1063&amp;"/"&amp;A1063&amp;"/"&amp;C1063</f>
        <v>4/5/2010</v>
      </c>
      <c r="E1063">
        <v>0.27083333333333331</v>
      </c>
      <c r="F1063" t="s">
        <f>I1063&amp;" "&amp;J1063&amp;" "&amp;K1063&amp;" "&amp;L1063&amp;" "&amp;M1063&amp;" "&amp;N1063</f>
        <v>1569</v>
      </c>
      <c r="G1063" t="s">
        <f>TEXT(D1063,"mmm dd")</f>
        <v>108</v>
      </c>
      <c r="I1063" t="s">
        <v>1543</v>
      </c>
    </row>
    <row r="1064" spans="1:23">
      <c r="A1064">
        <v>6</v>
      </c>
      <c r="B1064">
        <v>4</v>
      </c>
      <c r="C1064">
        <v>2010</v>
      </c>
      <c r="D1064" s="3" t="s">
        <f>B1064&amp;"/"&amp;A1064&amp;"/"&amp;C1064</f>
        <v>1570</v>
      </c>
      <c r="E1064">
        <v>0.875</v>
      </c>
      <c r="F1064" t="s">
        <f>I1064&amp;" "&amp;J1064&amp;" "&amp;K1064&amp;" "&amp;L1064&amp;" "&amp;M1064&amp;" "&amp;N1064</f>
        <v>1431</v>
      </c>
      <c r="G1064" t="s">
        <f>TEXT(D1064,"mmm dd")</f>
        <v>118</v>
      </c>
      <c r="I1064" t="s">
        <v>756</v>
      </c>
      <c r="J1064" t="s">
        <v>1195</v>
      </c>
    </row>
    <row r="1065" spans="1:23">
      <c r="A1065">
        <v>6</v>
      </c>
      <c r="B1065">
        <v>4</v>
      </c>
      <c r="C1065">
        <v>2010</v>
      </c>
      <c r="D1065" s="3" t="s">
        <f>B1065&amp;"/"&amp;A1065&amp;"/"&amp;C1065</f>
        <v>1570</v>
      </c>
      <c r="E1065">
        <v>0.875</v>
      </c>
      <c r="F1065" t="s">
        <f>I1065&amp;" "&amp;J1065&amp;" "&amp;K1065&amp;" "&amp;L1065&amp;" "&amp;M1065&amp;" "&amp;N1065</f>
        <v>1431</v>
      </c>
      <c r="G1065" t="s">
        <f>TEXT(D1065,"mmm dd")</f>
        <v>118</v>
      </c>
      <c r="I1065" t="s">
        <v>756</v>
      </c>
      <c r="J1065" t="s">
        <v>1195</v>
      </c>
    </row>
    <row r="1066" spans="1:23">
      <c r="A1066">
        <v>6</v>
      </c>
      <c r="B1066">
        <v>4</v>
      </c>
      <c r="C1066">
        <v>2010</v>
      </c>
      <c r="D1066" s="3" t="s">
        <f>B1066&amp;"/"&amp;A1066&amp;"/"&amp;C1066</f>
        <v>1570</v>
      </c>
      <c r="E1066">
        <v>0.875</v>
      </c>
      <c r="F1066" t="s">
        <f>I1066&amp;" "&amp;J1066&amp;" "&amp;K1066&amp;" "&amp;L1066&amp;" "&amp;M1066&amp;" "&amp;N1066</f>
        <v>1431</v>
      </c>
      <c r="G1066" t="s">
        <f>TEXT(D1066,"mmm dd")</f>
        <v>118</v>
      </c>
      <c r="I1066" t="s">
        <v>756</v>
      </c>
      <c r="J1066" t="s">
        <v>1195</v>
      </c>
    </row>
    <row r="1067" spans="1:23">
      <c r="A1067">
        <v>6</v>
      </c>
      <c r="B1067">
        <v>4</v>
      </c>
      <c r="C1067">
        <v>2010</v>
      </c>
      <c r="D1067" s="3" t="s">
        <f>B1067&amp;"/"&amp;A1067&amp;"/"&amp;C1067</f>
        <v>1570</v>
      </c>
      <c r="E1067">
        <v>0.875</v>
      </c>
      <c r="F1067" t="s">
        <f>I1067&amp;" "&amp;J1067&amp;" "&amp;K1067&amp;" "&amp;L1067&amp;" "&amp;M1067&amp;" "&amp;N1067</f>
        <v>1431</v>
      </c>
      <c r="G1067" t="s">
        <f>TEXT(D1067,"mmm dd")</f>
        <v>118</v>
      </c>
      <c r="I1067" t="s">
        <v>756</v>
      </c>
      <c r="J1067" t="s">
        <v>1195</v>
      </c>
    </row>
    <row r="1068" spans="1:23">
      <c r="A1068">
        <v>10</v>
      </c>
      <c r="B1068">
        <v>4</v>
      </c>
      <c r="C1068">
        <v>2010</v>
      </c>
      <c r="D1068" s="3" t="s">
        <f>B1068&amp;"/"&amp;A1068&amp;"/"&amp;C1068</f>
        <v>1571</v>
      </c>
      <c r="E1068">
        <v>0.1736111111111111</v>
      </c>
      <c r="F1068" t="s">
        <f>I1068&amp;" "&amp;J1068&amp;" "&amp;K1068&amp;" "&amp;L1068&amp;" "&amp;M1068&amp;" "&amp;N1068</f>
        <v>937</v>
      </c>
      <c r="G1068" t="s">
        <f>TEXT(D1068,"mmm dd")</f>
        <v>153</v>
      </c>
      <c r="I1068" t="s">
        <v>847</v>
      </c>
      <c r="J1068" t="s">
        <v>918</v>
      </c>
    </row>
    <row r="1069" spans="1:23">
      <c r="A1069">
        <v>10</v>
      </c>
      <c r="B1069">
        <v>4</v>
      </c>
      <c r="C1069">
        <v>2010</v>
      </c>
      <c r="D1069" s="3" t="s">
        <f>B1069&amp;"/"&amp;A1069&amp;"/"&amp;C1069</f>
        <v>1571</v>
      </c>
      <c r="E1069">
        <v>0.91666666666666663</v>
      </c>
      <c r="F1069" t="s">
        <f>I1069&amp;" "&amp;J1069&amp;" "&amp;K1069&amp;" "&amp;L1069&amp;" "&amp;M1069&amp;" "&amp;N1069</f>
        <v>1572</v>
      </c>
      <c r="G1069" t="s">
        <f>TEXT(D1069,"mmm dd")</f>
        <v>153</v>
      </c>
      <c r="I1069" t="s">
        <v>1573</v>
      </c>
      <c r="J1069" t="s">
        <v>1574</v>
      </c>
      <c r="K1069" t="s">
        <v>439</v>
      </c>
      <c r="L1069" t="s">
        <v>1121</v>
      </c>
      <c r="M1069" t="s">
        <v>1061</v>
      </c>
      <c r="N1069" t="s">
        <v>591</v>
      </c>
    </row>
    <row r="1070" spans="1:23">
      <c r="A1070">
        <v>10</v>
      </c>
      <c r="B1070">
        <v>4</v>
      </c>
      <c r="C1070">
        <v>2010</v>
      </c>
      <c r="D1070" s="3" t="s">
        <f>B1070&amp;"/"&amp;A1070&amp;"/"&amp;C1070</f>
        <v>1571</v>
      </c>
      <c r="E1070">
        <v>1.0208333333333333</v>
      </c>
      <c r="F1070" t="str">
        <f>I1070&amp;" "&amp;J1070&amp;" "&amp;K1070&amp;" "&amp;L1070&amp;" "&amp;M1070&amp;" "&amp;N1070</f>
        <v>Meet Chris re A V </v>
      </c>
      <c r="G1070" t="s">
        <f>TEXT(D1070,"mmm dd")</f>
        <v>153</v>
      </c>
      <c r="I1070" t="s">
        <v>300</v>
      </c>
      <c r="J1070" t="inlineStr">
        <is>
          <t>Chris</t>
        </is>
      </c>
      <c r="K1070" t="s">
        <v>594</v>
      </c>
      <c r="L1070" t="s">
        <v>1575</v>
      </c>
      <c r="M1070" t="inlineStr">
        <is>
          <t>V</t>
        </is>
      </c>
    </row>
    <row r="1071" spans="1:23">
      <c r="A1071">
        <v>14</v>
      </c>
      <c r="B1071">
        <v>4</v>
      </c>
      <c r="C1071">
        <v>2010</v>
      </c>
      <c r="D1071" s="3" t="str">
        <f>B1071&amp;"/"&amp;A1071&amp;"/"&amp;C1071</f>
        <v>4/14/2010</v>
      </c>
      <c r="E1071">
        <v>0.25</v>
      </c>
      <c r="F1071" t="str">
        <f>I1071&amp;" "&amp;J1071&amp;" "&amp;K1071&amp;" "&amp;L1071&amp;" "&amp;M1071&amp;" "&amp;N1071</f>
        <v>Altar Guild for Bill Miller </v>
      </c>
      <c r="G1071" t="s">
        <f>TEXT(D1071,"mmm dd")</f>
        <v>1576</v>
      </c>
      <c r="I1071" t="s">
        <v>887</v>
      </c>
      <c r="J1071" t="s">
        <v>888</v>
      </c>
      <c r="K1071" t="s">
        <v>439</v>
      </c>
      <c r="L1071" t="s">
        <v>814</v>
      </c>
      <c r="M1071" t="s">
        <v>1577</v>
      </c>
    </row>
    <row r="1072" spans="1:23">
      <c r="A1072">
        <v>15</v>
      </c>
      <c r="B1072">
        <v>4</v>
      </c>
      <c r="C1072">
        <v>2010</v>
      </c>
      <c r="D1072" s="3" t="s">
        <f>B1072&amp;"/"&amp;A1072&amp;"/"&amp;C1072</f>
        <v>1578</v>
      </c>
      <c r="E1072">
        <v>0.1875</v>
      </c>
      <c r="F1072" t="str">
        <f>I1072&amp;" "&amp;J1072&amp;" "&amp;K1072&amp;" "&amp;L1072&amp;" "&amp;M1072&amp;" "&amp;N1072</f>
        <v>St. Tim's ministry lady  </v>
      </c>
      <c r="G1072" t="s">
        <f>TEXT(D1072,"mmm dd")</f>
        <v>179</v>
      </c>
      <c r="I1072" t="s">
        <v>218</v>
      </c>
      <c r="J1072" t="s">
        <v>219</v>
      </c>
      <c r="K1072" t="s">
        <v>1016</v>
      </c>
      <c r="L1072" t="s">
        <v>1579</v>
      </c>
    </row>
    <row r="1073" spans="1:23">
      <c r="A1073">
        <v>15</v>
      </c>
      <c r="B1073">
        <v>4</v>
      </c>
      <c r="C1073">
        <v>2010</v>
      </c>
      <c r="D1073" s="3" t="s">
        <f>B1073&amp;"/"&amp;A1073&amp;"/"&amp;C1073</f>
        <v>1578</v>
      </c>
      <c r="E1073">
        <v>1</v>
      </c>
      <c r="F1073" t="str">
        <f>I1073&amp;" "&amp;J1073&amp;" "&amp;K1073&amp;" "&amp;L1073&amp;" "&amp;M1073&amp;" "&amp;N1073</f>
        <v>Pangs     </v>
      </c>
      <c r="G1073" t="s">
        <f>TEXT(D1073,"mmm dd")</f>
        <v>179</v>
      </c>
      <c r="I1073" t="inlineStr">
        <is>
          <t>Pangs</t>
        </is>
      </c>
    </row>
    <row r="1074" spans="1:23">
      <c r="A1074">
        <v>15</v>
      </c>
      <c r="B1074">
        <v>4</v>
      </c>
      <c r="C1074">
        <v>2010</v>
      </c>
      <c r="D1074" s="3" t="s">
        <f>B1074&amp;"/"&amp;A1074&amp;"/"&amp;C1074</f>
        <v>1578</v>
      </c>
      <c r="E1074">
        <v>0.875</v>
      </c>
      <c r="F1074" t="str">
        <f>I1074&amp;" "&amp;J1074&amp;" "&amp;K1074&amp;" "&amp;L1074&amp;" "&amp;M1074&amp;" "&amp;N1074</f>
        <v>Girls to frm school  </v>
      </c>
      <c r="G1074" t="s">
        <f>TEXT(D1074,"mmm dd")</f>
        <v>179</v>
      </c>
      <c r="I1074" t="s">
        <v>1494</v>
      </c>
      <c r="J1074" t="s">
        <v>449</v>
      </c>
      <c r="K1074" t="inlineStr">
        <is>
          <t>frm</t>
        </is>
      </c>
      <c r="L1074" t="s">
        <v>778</v>
      </c>
    </row>
    <row r="1075" spans="1:23">
      <c r="A1075">
        <v>15</v>
      </c>
      <c r="B1075">
        <v>4</v>
      </c>
      <c r="C1075">
        <v>2010</v>
      </c>
      <c r="D1075" s="3" t="s">
        <f>B1075&amp;"/"&amp;A1075&amp;"/"&amp;C1075</f>
        <v>1578</v>
      </c>
      <c r="E1075">
        <v>0.29166666666666669</v>
      </c>
      <c r="F1075" t="str">
        <f>I1075&amp;" "&amp;J1075&amp;" "&amp;K1075&amp;" "&amp;L1075&amp;" "&amp;M1075&amp;" "&amp;N1075</f>
        <v>Tim Dombeck dinner   </v>
      </c>
      <c r="G1075" t="s">
        <f>TEXT(D1075,"mmm dd")</f>
        <v>179</v>
      </c>
      <c r="I1075" t="s">
        <v>1423</v>
      </c>
      <c r="J1075" t="inlineStr">
        <is>
          <t>Dombeck</t>
        </is>
      </c>
      <c r="K1075" t="s">
        <v>517</v>
      </c>
    </row>
    <row r="1076" spans="1:23">
      <c r="A1076">
        <v>16</v>
      </c>
      <c r="B1076">
        <v>4</v>
      </c>
      <c r="C1076">
        <v>2010</v>
      </c>
      <c r="D1076" s="3" t="s">
        <f>B1076&amp;"/"&amp;A1076&amp;"/"&amp;C1076</f>
        <v>1580</v>
      </c>
      <c r="E1076" t="s">
        <v>42</v>
      </c>
      <c r="F1076" t="str">
        <f>I1076&amp;" "&amp;J1076&amp;" "&amp;K1076&amp;" "&amp;L1076&amp;" "&amp;M1076&amp;" "&amp;N1076</f>
        <v>DJ10 @ Holy Nativity  </v>
      </c>
      <c r="G1076" t="s">
        <f>TEXT(D1076,"mmm dd")</f>
        <v>184</v>
      </c>
      <c r="I1076" t="inlineStr">
        <is>
          <t>DJ10</t>
        </is>
      </c>
      <c r="J1076" t="s">
        <v>48</v>
      </c>
      <c r="K1076" t="s">
        <v>412</v>
      </c>
      <c r="L1076" t="s">
        <v>454</v>
      </c>
    </row>
    <row r="1077" spans="1:23">
      <c r="A1077">
        <v>16</v>
      </c>
      <c r="B1077">
        <v>4</v>
      </c>
      <c r="C1077">
        <v>2010</v>
      </c>
      <c r="D1077" s="3" t="s">
        <f>B1077&amp;"/"&amp;A1077&amp;"/"&amp;C1077</f>
        <v>1580</v>
      </c>
      <c r="E1077" t="s">
        <v>42</v>
      </c>
      <c r="F1077" t="str">
        <f>I1077&amp;" "&amp;J1077&amp;" "&amp;K1077&amp;" "&amp;L1077&amp;" "&amp;M1077&amp;" "&amp;N1077</f>
        <v>Lockup chUrch    </v>
      </c>
      <c r="G1077" t="s">
        <f>TEXT(D1077,"mmm dd")</f>
        <v>184</v>
      </c>
      <c r="I1077" t="s">
        <v>1581</v>
      </c>
      <c r="J1077" t="inlineStr">
        <is>
          <t>chUrch</t>
        </is>
      </c>
    </row>
    <row r="1078" spans="1:23">
      <c r="A1078">
        <v>20</v>
      </c>
      <c r="B1078">
        <v>4</v>
      </c>
      <c r="C1078">
        <v>2010</v>
      </c>
      <c r="D1078" s="3" t="s">
        <f>B1078&amp;"/"&amp;A1078&amp;"/"&amp;C1078</f>
        <v>1582</v>
      </c>
      <c r="E1078">
        <v>0.20833333333333334</v>
      </c>
      <c r="F1078" t="s">
        <f>I1078&amp;" "&amp;J1078&amp;" "&amp;K1078&amp;" "&amp;L1078&amp;" "&amp;M1078&amp;" "&amp;N1078</f>
        <v>1248</v>
      </c>
      <c r="G1078" t="s">
        <f>TEXT(D1078,"mmm dd")</f>
        <v>204</v>
      </c>
      <c r="I1078" t="s">
        <v>847</v>
      </c>
      <c r="J1078" t="s">
        <v>647</v>
      </c>
    </row>
    <row r="1079" spans="1:23">
      <c r="A1079">
        <v>20</v>
      </c>
      <c r="B1079">
        <v>4</v>
      </c>
      <c r="C1079">
        <v>2010</v>
      </c>
      <c r="D1079" s="3" t="s">
        <f>B1079&amp;"/"&amp;A1079&amp;"/"&amp;C1079</f>
        <v>1582</v>
      </c>
      <c r="E1079">
        <v>1</v>
      </c>
      <c r="F1079" t="s">
        <f>I1079&amp;" "&amp;J1079&amp;" "&amp;K1079&amp;" "&amp;L1079&amp;" "&amp;M1079&amp;" "&amp;N1079</f>
        <v>643</v>
      </c>
      <c r="G1079" t="s">
        <f>TEXT(D1079,"mmm dd")</f>
        <v>204</v>
      </c>
      <c r="I1079" t="s">
        <v>451</v>
      </c>
      <c r="J1079" t="s">
        <v>609</v>
      </c>
    </row>
    <row r="1080" spans="1:23">
      <c r="A1080">
        <v>22</v>
      </c>
      <c r="B1080">
        <v>4</v>
      </c>
      <c r="C1080">
        <v>2010</v>
      </c>
      <c r="D1080" s="3" t="s">
        <f>B1080&amp;"/"&amp;A1080&amp;"/"&amp;C1080</f>
        <v>1583</v>
      </c>
      <c r="E1080">
        <v>0.875</v>
      </c>
      <c r="F1080" t="s">
        <f>I1080&amp;" "&amp;J1080&amp;" "&amp;K1080&amp;" "&amp;L1080&amp;" "&amp;M1080&amp;" "&amp;N1080</f>
        <v>1584</v>
      </c>
      <c r="G1080" t="s">
        <f>TEXT(D1080,"mmm dd")</f>
        <v>215</v>
      </c>
      <c r="I1080" t="s">
        <v>291</v>
      </c>
      <c r="J1080" t="s">
        <v>1195</v>
      </c>
    </row>
    <row r="1081" spans="1:23">
      <c r="A1081">
        <v>22</v>
      </c>
      <c r="B1081">
        <v>4</v>
      </c>
      <c r="C1081">
        <v>2010</v>
      </c>
      <c r="D1081" s="3" t="s">
        <f>B1081&amp;"/"&amp;A1081&amp;"/"&amp;C1081</f>
        <v>1583</v>
      </c>
      <c r="E1081">
        <v>0.95833333333333337</v>
      </c>
      <c r="F1081" t="str">
        <f>I1081&amp;" "&amp;J1081&amp;" "&amp;K1081&amp;" "&amp;L1081&amp;" "&amp;M1081&amp;" "&amp;N1081</f>
        <v>Lunch w  Michael  </v>
      </c>
      <c r="G1081" t="s">
        <f>TEXT(D1081,"mmm dd")</f>
        <v>215</v>
      </c>
      <c r="I1081" t="s">
        <v>813</v>
      </c>
      <c r="J1081" t="s">
        <v>591</v>
      </c>
      <c r="L1081" t="s">
        <v>745</v>
      </c>
    </row>
    <row r="1082" spans="1:23">
      <c r="A1082">
        <v>23</v>
      </c>
      <c r="B1082">
        <v>4</v>
      </c>
      <c r="C1082">
        <v>2010</v>
      </c>
      <c r="D1082" s="3" t="str">
        <f>B1082&amp;"/"&amp;A1082&amp;"/"&amp;C1082</f>
        <v>4/23/2010</v>
      </c>
      <c r="E1082">
        <v>0.3125</v>
      </c>
      <c r="F1082" t="str">
        <f>I1082&amp;" "&amp;J1082&amp;" "&amp;K1082&amp;" "&amp;L1082&amp;" "&amp;M1082&amp;" "&amp;N1082</f>
        <v>Vestry (resched)    </v>
      </c>
      <c r="G1082" t="s">
        <f>TEXT(D1082,"mmm dd")</f>
        <v>221</v>
      </c>
      <c r="I1082" t="s">
        <v>194</v>
      </c>
      <c r="J1082" t="s">
        <v>1585</v>
      </c>
    </row>
    <row r="1083" spans="1:23">
      <c r="A1083">
        <v>24</v>
      </c>
      <c r="B1083">
        <v>4</v>
      </c>
      <c r="C1083">
        <v>2010</v>
      </c>
      <c r="D1083" s="3" t="str">
        <f>B1083&amp;"/"&amp;A1083&amp;"/"&amp;C1083</f>
        <v>4/24/2010</v>
      </c>
      <c r="E1083">
        <v>0.95833333333333337</v>
      </c>
      <c r="F1083" t="str">
        <f>I1083&amp;" "&amp;J1083&amp;" "&amp;K1083&amp;" "&amp;L1083&amp;" "&amp;M1083&amp;" "&amp;N1083</f>
        <v>AuHoy funeral    </v>
      </c>
      <c r="G1083" t="s">
        <f>TEXT(D1083,"mmm dd")</f>
        <v>224</v>
      </c>
      <c r="I1083" t="s">
        <v>1556</v>
      </c>
      <c r="J1083" t="s">
        <v>1116</v>
      </c>
    </row>
    <row r="1084" spans="1:23">
      <c r="A1084">
        <v>28</v>
      </c>
      <c r="B1084">
        <v>4</v>
      </c>
      <c r="C1084">
        <v>2010</v>
      </c>
      <c r="D1084" s="3" t="str">
        <f>B1084&amp;"/"&amp;A1084&amp;"/"&amp;C1084</f>
        <v>4/28/2010</v>
      </c>
      <c r="E1084">
        <v>0.25</v>
      </c>
      <c r="F1084" t="s">
        <f>I1084&amp;" "&amp;J1084&amp;" "&amp;K1084&amp;" "&amp;L1084&amp;" "&amp;M1084&amp;" "&amp;N1084</f>
        <v>1558</v>
      </c>
      <c r="G1084" t="s">
        <f>TEXT(D1084,"mmm dd")</f>
        <v>236</v>
      </c>
      <c r="I1084" t="s">
        <v>907</v>
      </c>
    </row>
    <row r="1085" spans="1:23">
      <c r="A1085">
        <v>29</v>
      </c>
      <c r="B1085">
        <v>4</v>
      </c>
      <c r="C1085">
        <v>2010</v>
      </c>
      <c r="D1085" s="3" t="str">
        <f>B1085&amp;"/"&amp;A1085&amp;"/"&amp;C1085</f>
        <v>4/29/2010</v>
      </c>
      <c r="E1085">
        <v>0.14583333333333334</v>
      </c>
      <c r="F1085" t="str">
        <f>I1085&amp;" "&amp;J1085&amp;" "&amp;K1085&amp;" "&amp;L1085&amp;" "&amp;M1085&amp;" "&amp;N1085</f>
        <v>Halaki     </v>
      </c>
      <c r="G1085" t="s">
        <f>TEXT(D1085,"mmm dd")</f>
        <v>239</v>
      </c>
      <c r="I1085" t="inlineStr">
        <is>
          <t>Halaki</t>
        </is>
      </c>
    </row>
    <row r="1086" spans="1:23">
      <c r="A1086">
        <v>30</v>
      </c>
      <c r="B1086">
        <v>4</v>
      </c>
      <c r="C1086">
        <v>2010</v>
      </c>
      <c r="D1086" s="3" t="str">
        <f>B1086&amp;"/"&amp;A1086&amp;"/"&amp;C1086</f>
        <v>4/30/2010</v>
      </c>
      <c r="E1086">
        <v>0.875</v>
      </c>
      <c r="F1086" t="s">
        <f>I1086&amp;" "&amp;J1086&amp;" "&amp;K1086&amp;" "&amp;L1086&amp;" "&amp;M1086&amp;" "&amp;N1086</f>
        <v>823</v>
      </c>
      <c r="G1086" t="s">
        <f>TEXT(D1086,"mmm dd")</f>
        <v>246</v>
      </c>
      <c r="I1086" t="s">
        <v>825</v>
      </c>
    </row>
    <row r="1087" spans="1:23">
      <c r="A1087">
        <v>1</v>
      </c>
      <c r="B1087">
        <v>5</v>
      </c>
      <c r="C1087">
        <v>2010</v>
      </c>
      <c r="D1087" s="3" t="str">
        <f>B1087&amp;"/"&amp;A1087&amp;"/"&amp;C1087</f>
        <v>5/1/2010</v>
      </c>
      <c r="E1087">
        <v>0.95833333333333337</v>
      </c>
      <c r="F1087" t="s">
        <f>I1087&amp;" "&amp;J1087&amp;" "&amp;K1087&amp;" "&amp;L1087&amp;" "&amp;M1087&amp;" "&amp;N1087</f>
        <v>1586</v>
      </c>
      <c r="G1087" t="s">
        <f>TEXT(D1087,"mmm dd")</f>
        <v>249</v>
      </c>
      <c r="I1087" t="s">
        <v>1587</v>
      </c>
      <c r="J1087" t="s">
        <v>898</v>
      </c>
    </row>
    <row r="1088" spans="1:23">
      <c r="A1088">
        <v>3</v>
      </c>
      <c r="B1088">
        <v>5</v>
      </c>
      <c r="C1088">
        <v>2010</v>
      </c>
      <c r="D1088" s="3" t="str">
        <f>B1088&amp;"/"&amp;A1088&amp;"/"&amp;C1088</f>
        <v>5/3/2010</v>
      </c>
      <c r="E1088">
        <v>0.20833333333333334</v>
      </c>
      <c r="F1088" t="str">
        <f>I1088&amp;" "&amp;J1088&amp;" "&amp;K1088&amp;" "&amp;L1088&amp;" "&amp;M1088&amp;" "&amp;N1088</f>
        <v>Lydia CTL graduation   </v>
      </c>
      <c r="G1088" t="s">
        <f>TEXT(D1088,"mmm dd")</f>
        <v>262</v>
      </c>
      <c r="I1088" t="s">
        <v>772</v>
      </c>
      <c r="J1088" t="s">
        <v>1396</v>
      </c>
      <c r="K1088" t="s">
        <v>403</v>
      </c>
    </row>
    <row r="1089" spans="1:23">
      <c r="A1089">
        <v>4</v>
      </c>
      <c r="B1089">
        <v>5</v>
      </c>
      <c r="C1089">
        <v>2010</v>
      </c>
      <c r="D1089" s="3" t="str">
        <f>B1089&amp;"/"&amp;A1089&amp;"/"&amp;C1089</f>
        <v>5/4/2010</v>
      </c>
      <c r="E1089">
        <v>1.0416666666666667</v>
      </c>
      <c r="F1089" t="str">
        <f>I1089&amp;" "&amp;J1089&amp;" "&amp;K1089&amp;" "&amp;L1089&amp;" "&amp;M1089&amp;" "&amp;N1089</f>
        <v>Cass @ St. Christophers  </v>
      </c>
      <c r="G1089" t="s">
        <f>TEXT(D1089,"mmm dd")</f>
        <v>268</v>
      </c>
      <c r="I1089" t="inlineStr">
        <is>
          <t>Cass</t>
        </is>
      </c>
      <c r="J1089" t="s">
        <v>48</v>
      </c>
      <c r="K1089" t="s">
        <v>218</v>
      </c>
      <c r="L1089" t="inlineStr">
        <is>
          <t>Christophers</t>
        </is>
      </c>
    </row>
    <row r="1090" spans="1:23">
      <c r="A1090">
        <v>6</v>
      </c>
      <c r="B1090">
        <v>5</v>
      </c>
      <c r="C1090">
        <v>2010</v>
      </c>
      <c r="D1090" s="3" t="s">
        <f>B1090&amp;"/"&amp;A1090&amp;"/"&amp;C1090</f>
        <v>1588</v>
      </c>
      <c r="E1090">
        <v>0.20833333333333334</v>
      </c>
      <c r="F1090" t="str">
        <f>I1090&amp;" "&amp;J1090&amp;" "&amp;K1090&amp;" "&amp;L1090&amp;" "&amp;M1090&amp;" "&amp;N1090</f>
        <v>Russell Quinilla et al  </v>
      </c>
      <c r="G1090" t="s">
        <f>TEXT(D1090,"mmm dd")</f>
        <v>277</v>
      </c>
      <c r="I1090" t="inlineStr">
        <is>
          <t>Russell</t>
        </is>
      </c>
      <c r="J1090" t="inlineStr">
        <is>
          <t>Quinilla</t>
        </is>
      </c>
      <c r="K1090" t="s">
        <v>1589</v>
      </c>
      <c r="L1090" t="s">
        <v>1590</v>
      </c>
    </row>
    <row r="1091" spans="1:23">
      <c r="A1091">
        <v>6</v>
      </c>
      <c r="B1091">
        <v>5</v>
      </c>
      <c r="C1091">
        <v>2010</v>
      </c>
      <c r="D1091" s="3" t="s">
        <f>B1091&amp;"/"&amp;A1091&amp;"/"&amp;C1091</f>
        <v>1588</v>
      </c>
      <c r="E1091">
        <v>0.875</v>
      </c>
      <c r="F1091" t="s">
        <f>I1091&amp;" "&amp;J1091&amp;" "&amp;K1091&amp;" "&amp;L1091&amp;" "&amp;M1091&amp;" "&amp;N1091</f>
        <v>939</v>
      </c>
      <c r="G1091" t="s">
        <f>TEXT(D1091,"mmm dd")</f>
        <v>277</v>
      </c>
      <c r="I1091" t="s">
        <v>52</v>
      </c>
      <c r="J1091" t="s">
        <v>55</v>
      </c>
    </row>
    <row r="1092" spans="1:23">
      <c r="A1092">
        <v>7</v>
      </c>
      <c r="B1092">
        <v>5</v>
      </c>
      <c r="C1092">
        <v>2010</v>
      </c>
      <c r="D1092" s="3" t="str">
        <f>B1092&amp;"/"&amp;A1092&amp;"/"&amp;C1092</f>
        <v>5/7/2010</v>
      </c>
      <c r="E1092">
        <v>0.1736111111111111</v>
      </c>
      <c r="F1092" t="str">
        <f>I1092&amp;" "&amp;J1092&amp;" "&amp;K1092&amp;" "&amp;L1092&amp;" "&amp;M1092&amp;" "&amp;N1092</f>
        <v>Lydia conf @ Priory  </v>
      </c>
      <c r="G1092" t="s">
        <f>TEXT(D1092,"mmm dd")</f>
        <v>279</v>
      </c>
      <c r="I1092" t="s">
        <v>772</v>
      </c>
      <c r="J1092" t="inlineStr">
        <is>
          <t>conf</t>
        </is>
      </c>
      <c r="K1092" t="s">
        <v>48</v>
      </c>
      <c r="L1092" t="s">
        <v>756</v>
      </c>
    </row>
    <row r="1093" spans="1:23">
      <c r="A1093">
        <v>8</v>
      </c>
      <c r="B1093">
        <v>5</v>
      </c>
      <c r="C1093">
        <v>2010</v>
      </c>
      <c r="D1093" s="3" t="s">
        <f>B1093&amp;"/"&amp;A1093&amp;"/"&amp;C1093</f>
        <v>1591</v>
      </c>
      <c r="E1093">
        <v>0.20833333333333334</v>
      </c>
      <c r="F1093" t="str">
        <f>I1093&amp;" "&amp;J1093&amp;" "&amp;K1093&amp;" "&amp;L1093&amp;" "&amp;M1093&amp;" "&amp;N1093</f>
        <v>New Event    </v>
      </c>
      <c r="G1093" t="s">
        <f>TEXT(D1093,"mmm dd")</f>
        <v>282</v>
      </c>
      <c r="I1093" t="s">
        <v>164</v>
      </c>
      <c r="J1093" t="s">
        <v>1457</v>
      </c>
    </row>
    <row r="1094" spans="1:23">
      <c r="A1094">
        <v>8</v>
      </c>
      <c r="B1094">
        <v>5</v>
      </c>
      <c r="C1094">
        <v>2010</v>
      </c>
      <c r="D1094" s="3" t="s">
        <f>B1094&amp;"/"&amp;A1094&amp;"/"&amp;C1094</f>
        <v>1591</v>
      </c>
      <c r="E1094">
        <v>0.91666666666666663</v>
      </c>
      <c r="F1094" t="s">
        <f>I1094&amp;" "&amp;J1094&amp;" "&amp;K1094&amp;" "&amp;L1094&amp;" "&amp;M1094&amp;" "&amp;N1094</f>
        <v>1572</v>
      </c>
      <c r="G1094" t="s">
        <f>TEXT(D1094,"mmm dd")</f>
        <v>282</v>
      </c>
      <c r="I1094" t="s">
        <v>1573</v>
      </c>
      <c r="J1094" t="s">
        <v>1574</v>
      </c>
      <c r="K1094" t="s">
        <v>439</v>
      </c>
      <c r="L1094" t="s">
        <v>1121</v>
      </c>
      <c r="M1094" t="s">
        <v>1061</v>
      </c>
      <c r="N1094" t="s">
        <v>591</v>
      </c>
    </row>
    <row r="1095" spans="1:23">
      <c r="A1095">
        <v>9</v>
      </c>
      <c r="B1095">
        <v>5</v>
      </c>
      <c r="C1095">
        <v>2010</v>
      </c>
      <c r="D1095" s="3" t="str">
        <f>B1095&amp;"/"&amp;A1095&amp;"/"&amp;C1095</f>
        <v>5/9/2010</v>
      </c>
      <c r="E1095">
        <v>0.875</v>
      </c>
      <c r="F1095" t="s">
        <f>I1095&amp;" "&amp;J1095&amp;" "&amp;K1095&amp;" "&amp;L1095&amp;" "&amp;M1095&amp;" "&amp;N1095</f>
        <v>1402</v>
      </c>
      <c r="G1095" t="s">
        <f>TEXT(D1095,"mmm dd")</f>
        <v>295</v>
      </c>
      <c r="I1095" t="s">
        <v>1403</v>
      </c>
    </row>
    <row r="1096" spans="1:23">
      <c r="A1096">
        <v>10</v>
      </c>
      <c r="B1096">
        <v>5</v>
      </c>
      <c r="C1096">
        <v>2010</v>
      </c>
      <c r="D1096" s="3" t="s">
        <f>B1096&amp;"/"&amp;A1096&amp;"/"&amp;C1096</f>
        <v>1592</v>
      </c>
      <c r="E1096">
        <v>1</v>
      </c>
      <c r="F1096" t="str">
        <f>I1096&amp;" "&amp;J1096&amp;" "&amp;K1096&amp;" "&amp;L1096&amp;" "&amp;M1096&amp;" "&amp;N1096</f>
        <v>Lunch wichael    </v>
      </c>
      <c r="G1096" t="s">
        <f>TEXT(D1096,"mmm dd")</f>
        <v>304</v>
      </c>
      <c r="I1096" t="s">
        <v>813</v>
      </c>
      <c r="J1096" t="inlineStr">
        <is>
          <t>wichael</t>
        </is>
      </c>
    </row>
    <row r="1097" spans="1:23">
      <c r="A1097">
        <v>10</v>
      </c>
      <c r="B1097">
        <v>5</v>
      </c>
      <c r="C1097">
        <v>2010</v>
      </c>
      <c r="D1097" s="3" t="s">
        <f>B1097&amp;"/"&amp;A1097&amp;"/"&amp;C1097</f>
        <v>1592</v>
      </c>
      <c r="E1097">
        <v>0.875</v>
      </c>
      <c r="F1097" t="str">
        <f>I1097&amp;" "&amp;J1097&amp;" "&amp;K1097&amp;" "&amp;L1097&amp;" "&amp;M1097&amp;" "&amp;N1097</f>
        <v>Dr.Masunaga     </v>
      </c>
      <c r="G1097" t="s">
        <f>TEXT(D1097,"mmm dd")</f>
        <v>304</v>
      </c>
      <c r="I1097" t="inlineStr">
        <is>
          <t>Dr.Masunaga</t>
        </is>
      </c>
    </row>
    <row r="1098" spans="1:23">
      <c r="A1098">
        <v>11</v>
      </c>
      <c r="B1098">
        <v>5</v>
      </c>
      <c r="C1098">
        <v>2010</v>
      </c>
      <c r="D1098" s="3" t="str">
        <f>B1098&amp;"/"&amp;A1098&amp;"/"&amp;C1098</f>
        <v>5/11/2010</v>
      </c>
      <c r="E1098">
        <v>1.0833333333333333</v>
      </c>
      <c r="F1098" t="s">
        <f>I1098&amp;" "&amp;J1098&amp;" "&amp;K1098&amp;" "&amp;L1098&amp;" "&amp;M1098&amp;" "&amp;N1098</f>
        <v>1558</v>
      </c>
      <c r="G1098" t="s">
        <f>TEXT(D1098,"mmm dd")</f>
        <v>308</v>
      </c>
      <c r="I1098" t="s">
        <v>907</v>
      </c>
      <c r="P1098" t="s">
        <v>706</v>
      </c>
      <c r="Q1098" t="s">
        <v>537</v>
      </c>
    </row>
    <row r="1099" spans="1:23">
      <c r="A1099">
        <v>12</v>
      </c>
      <c r="B1099">
        <v>5</v>
      </c>
      <c r="C1099">
        <v>2010</v>
      </c>
      <c r="D1099" s="3" t="str">
        <f>B1099&amp;"/"&amp;A1099&amp;"/"&amp;C1099</f>
        <v>5/12/2010</v>
      </c>
      <c r="E1099">
        <v>0.58333333333333337</v>
      </c>
      <c r="F1099" t="str">
        <f>I1099&amp;" "&amp;J1099&amp;" "&amp;K1099&amp;" "&amp;L1099&amp;" "&amp;M1099&amp;" "&amp;N1099</f>
        <v>Neighborhood lunch    </v>
      </c>
      <c r="G1099" t="s">
        <f>TEXT(D1099,"mmm dd")</f>
        <v>317</v>
      </c>
      <c r="I1099" t="s">
        <v>102</v>
      </c>
      <c r="J1099" t="s">
        <v>440</v>
      </c>
    </row>
    <row r="1100" spans="1:23">
      <c r="A1100">
        <v>17</v>
      </c>
      <c r="B1100">
        <v>5</v>
      </c>
      <c r="C1100">
        <v>2010</v>
      </c>
      <c r="D1100" s="3" t="str">
        <f>B1100&amp;"/"&amp;A1100&amp;"/"&amp;C1100</f>
        <v>5/17/2010</v>
      </c>
      <c r="E1100" t="s">
        <v>42</v>
      </c>
      <c r="F1100" t="s">
        <f>I1100&amp;" "&amp;J1100&amp;" "&amp;K1100&amp;" "&amp;L1100&amp;" "&amp;M1100&amp;" "&amp;N1100</f>
        <v>717</v>
      </c>
      <c r="G1100" t="s">
        <f>TEXT(D1100,"mmm dd")</f>
        <v>335</v>
      </c>
      <c r="I1100" t="s">
        <v>456</v>
      </c>
      <c r="J1100" t="s">
        <v>718</v>
      </c>
    </row>
    <row r="1101" spans="1:23">
      <c r="A1101">
        <v>18</v>
      </c>
      <c r="B1101">
        <v>5</v>
      </c>
      <c r="C1101">
        <v>2010</v>
      </c>
      <c r="D1101" s="3" t="s">
        <f>B1101&amp;"/"&amp;A1101&amp;"/"&amp;C1101</f>
        <v>1593</v>
      </c>
      <c r="E1101">
        <v>1</v>
      </c>
      <c r="F1101" t="str">
        <f>I1101&amp;" "&amp;J1101&amp;" "&amp;K1101&amp;" "&amp;L1101&amp;" "&amp;M1101&amp;" "&amp;N1101</f>
        <v>Honolulu region @ Iolani  </v>
      </c>
      <c r="G1101" t="s">
        <f>TEXT(D1101,"mmm dd")</f>
        <v>339</v>
      </c>
      <c r="I1101" t="s">
        <v>609</v>
      </c>
      <c r="J1101" t="inlineStr">
        <is>
          <t>region</t>
        </is>
      </c>
      <c r="K1101" t="s">
        <v>48</v>
      </c>
      <c r="L1101" t="s">
        <v>833</v>
      </c>
    </row>
    <row r="1102" spans="1:23">
      <c r="A1102">
        <v>18</v>
      </c>
      <c r="B1102">
        <v>5</v>
      </c>
      <c r="C1102">
        <v>2010</v>
      </c>
      <c r="D1102" s="3" t="s">
        <f>B1102&amp;"/"&amp;A1102&amp;"/"&amp;C1102</f>
        <v>1593</v>
      </c>
      <c r="E1102">
        <v>0.875</v>
      </c>
      <c r="F1102" t="str">
        <f>I1102&amp;" "&amp;J1102&amp;" "&amp;K1102&amp;" "&amp;L1102&amp;" "&amp;M1102&amp;" "&amp;N1102</f>
        <v>Meet June chat   </v>
      </c>
      <c r="G1102" t="s">
        <f>TEXT(D1102,"mmm dd")</f>
        <v>339</v>
      </c>
      <c r="I1102" t="s">
        <v>300</v>
      </c>
      <c r="J1102" t="s">
        <v>1539</v>
      </c>
      <c r="K1102" t="s">
        <v>1541</v>
      </c>
    </row>
    <row r="1103" spans="1:23">
      <c r="A1103">
        <v>5</v>
      </c>
      <c r="B1103">
        <v>6</v>
      </c>
      <c r="C1103">
        <v>2010</v>
      </c>
      <c r="D1103" s="3" t="str">
        <f>B1103&amp;"/"&amp;A1103&amp;"/"&amp;C1103</f>
        <v>6/5/2010</v>
      </c>
      <c r="E1103">
        <v>0.29166666666666669</v>
      </c>
      <c r="F1103" t="s">
        <f>I1103&amp;" "&amp;J1103&amp;" "&amp;K1103&amp;" "&amp;L1103&amp;" "&amp;M1103&amp;" "&amp;N1103</f>
        <v>1292</v>
      </c>
      <c r="G1103" t="s">
        <f>TEXT(D1103,"mmm dd")</f>
        <v>446</v>
      </c>
      <c r="I1103" t="s">
        <v>695</v>
      </c>
      <c r="J1103" t="s">
        <v>1036</v>
      </c>
      <c r="K1103" t="s">
        <v>1293</v>
      </c>
    </row>
    <row r="1104" spans="1:23">
      <c r="A1104">
        <v>6</v>
      </c>
      <c r="B1104">
        <v>6</v>
      </c>
      <c r="C1104">
        <v>2010</v>
      </c>
      <c r="D1104" s="3" t="s">
        <f>B1104&amp;"/"&amp;A1104&amp;"/"&amp;C1104</f>
        <v>1594</v>
      </c>
      <c r="E1104">
        <v>0.22916666666666666</v>
      </c>
      <c r="F1104" t="str">
        <f>I1104&amp;" "&amp;J1104&amp;" "&amp;K1104&amp;" "&amp;L1104&amp;" "&amp;M1104&amp;" "&amp;N1104</f>
        <v>Tim Sexton reception   </v>
      </c>
      <c r="G1104" t="s">
        <f>TEXT(D1104,"mmm dd")</f>
        <v>462</v>
      </c>
      <c r="I1104" t="s">
        <v>1423</v>
      </c>
      <c r="J1104" t="inlineStr">
        <is>
          <t>Sexton</t>
        </is>
      </c>
      <c r="K1104" t="s">
        <v>1595</v>
      </c>
    </row>
    <row r="1105" spans="1:23">
      <c r="A1105">
        <v>6</v>
      </c>
      <c r="B1105">
        <v>6</v>
      </c>
      <c r="C1105">
        <v>2010</v>
      </c>
      <c r="D1105" s="3" t="s">
        <f>B1105&amp;"/"&amp;A1105&amp;"/"&amp;C1105</f>
        <v>1594</v>
      </c>
      <c r="E1105">
        <v>0.875</v>
      </c>
      <c r="F1105" t="str">
        <f>I1105&amp;" "&amp;J1105&amp;" "&amp;K1105&amp;" "&amp;L1105&amp;" "&amp;M1105&amp;" "&amp;N1105</f>
        <v>Food  fair   </v>
      </c>
      <c r="G1105" t="s">
        <f>TEXT(D1105,"mmm dd")</f>
        <v>462</v>
      </c>
      <c r="I1105" t="s">
        <v>1324</v>
      </c>
      <c r="K1105" t="s">
        <v>1596</v>
      </c>
    </row>
    <row r="1106" spans="1:23">
      <c r="A1106">
        <v>6</v>
      </c>
      <c r="B1106">
        <v>6</v>
      </c>
      <c r="C1106">
        <v>2010</v>
      </c>
      <c r="D1106" s="3" t="s">
        <f>B1106&amp;"/"&amp;A1106&amp;"/"&amp;C1106</f>
        <v>1594</v>
      </c>
      <c r="E1106">
        <v>0.27083333333333331</v>
      </c>
      <c r="F1106" t="str">
        <f>I1106&amp;" "&amp;J1106&amp;" "&amp;K1106&amp;" "&amp;L1106&amp;" "&amp;M1106&amp;" "&amp;N1106</f>
        <v>Kim's graduation    </v>
      </c>
      <c r="G1106" t="s">
        <f>TEXT(D1106,"mmm dd")</f>
        <v>462</v>
      </c>
      <c r="I1106" t="inlineStr">
        <is>
          <t>Kim's</t>
        </is>
      </c>
      <c r="J1106" t="s">
        <v>403</v>
      </c>
    </row>
    <row r="1107" spans="1:23">
      <c r="A1107">
        <v>9</v>
      </c>
      <c r="B1107">
        <v>6</v>
      </c>
      <c r="C1107">
        <v>2010</v>
      </c>
      <c r="D1107" s="3" t="str">
        <f>B1107&amp;"/"&amp;A1107&amp;"/"&amp;C1107</f>
        <v>6/9/2010</v>
      </c>
      <c r="E1107">
        <v>1.09375</v>
      </c>
      <c r="F1107" t="str">
        <f>I1107&amp;" "&amp;J1107&amp;" "&amp;K1107&amp;" "&amp;L1107&amp;" "&amp;M1107&amp;" "&amp;N1107</f>
        <v>Consultation @ Straub   </v>
      </c>
      <c r="G1107" t="s">
        <f>TEXT(D1107,"mmm dd")</f>
        <v>467</v>
      </c>
      <c r="I1107" t="s">
        <v>1597</v>
      </c>
      <c r="J1107" t="s">
        <v>48</v>
      </c>
      <c r="K1107" t="s">
        <v>651</v>
      </c>
    </row>
    <row r="1108" spans="1:23">
      <c r="A1108">
        <v>11</v>
      </c>
      <c r="B1108">
        <v>6</v>
      </c>
      <c r="C1108">
        <v>2010</v>
      </c>
      <c r="D1108" s="3" t="s">
        <f>B1108&amp;"/"&amp;A1108&amp;"/"&amp;C1108</f>
        <v>1598</v>
      </c>
      <c r="E1108">
        <v>0.91666666666666663</v>
      </c>
      <c r="F1108" t="str">
        <f>I1108&amp;" "&amp;J1108&amp;" "&amp;K1108&amp;" "&amp;L1108&amp;" "&amp;M1108&amp;" "&amp;N1108</f>
        <v>faculty meeting time?   </v>
      </c>
      <c r="G1108" t="s">
        <f>TEXT(D1108,"mmm dd")</f>
        <v>487</v>
      </c>
      <c r="I1108" t="s">
        <v>1599</v>
      </c>
      <c r="J1108" t="s">
        <v>842</v>
      </c>
      <c r="K1108" t="s">
        <v>537</v>
      </c>
    </row>
    <row r="1109" spans="1:23">
      <c r="A1109">
        <v>11</v>
      </c>
      <c r="B1109">
        <v>6</v>
      </c>
      <c r="C1109">
        <v>2010</v>
      </c>
      <c r="D1109" s="3" t="s">
        <f>B1109&amp;"/"&amp;A1109&amp;"/"&amp;C1109</f>
        <v>1598</v>
      </c>
      <c r="E1109">
        <v>0.875</v>
      </c>
      <c r="F1109" t="s">
        <f>I1109&amp;" "&amp;J1109&amp;" "&amp;K1109&amp;" "&amp;L1109&amp;" "&amp;M1109&amp;" "&amp;N1109</f>
        <v>1326</v>
      </c>
      <c r="G1109" t="s">
        <f>TEXT(D1109,"mmm dd")</f>
        <v>487</v>
      </c>
      <c r="I1109" t="s">
        <v>1327</v>
      </c>
    </row>
    <row r="1110" spans="1:23">
      <c r="A1110">
        <v>12</v>
      </c>
      <c r="B1110">
        <v>6</v>
      </c>
      <c r="C1110">
        <v>2010</v>
      </c>
      <c r="D1110" s="3" t="str">
        <f>B1110&amp;"/"&amp;A1110&amp;"/"&amp;C1110</f>
        <v>6/12/2010</v>
      </c>
      <c r="E1110">
        <v>0.91666666666666663</v>
      </c>
      <c r="F1110" t="s">
        <f>I1110&amp;" "&amp;J1110&amp;" "&amp;K1110&amp;" "&amp;L1110&amp;" "&amp;M1110&amp;" "&amp;N1110</f>
        <v>1572</v>
      </c>
      <c r="G1110" t="s">
        <f>TEXT(D1110,"mmm dd")</f>
        <v>501</v>
      </c>
      <c r="I1110" t="s">
        <v>1573</v>
      </c>
      <c r="J1110" t="s">
        <v>1574</v>
      </c>
      <c r="K1110" t="s">
        <v>439</v>
      </c>
      <c r="L1110" t="s">
        <v>1121</v>
      </c>
      <c r="M1110" t="s">
        <v>1061</v>
      </c>
      <c r="N1110" t="s">
        <v>591</v>
      </c>
    </row>
    <row r="1111" spans="1:23">
      <c r="A1111">
        <v>14</v>
      </c>
      <c r="B1111">
        <v>6</v>
      </c>
      <c r="C1111">
        <v>2010</v>
      </c>
      <c r="D1111" s="3" t="str">
        <f>B1111&amp;"/"&amp;A1111&amp;"/"&amp;C1111</f>
        <v>6/14/2010</v>
      </c>
      <c r="E1111" t="s">
        <v>42</v>
      </c>
      <c r="F1111" t="str">
        <f>I1111&amp;" "&amp;J1111&amp;" "&amp;K1111&amp;" "&amp;L1111&amp;" "&amp;M1111&amp;" "&amp;N1111</f>
        <v>Iolani begins    </v>
      </c>
      <c r="G1111" t="s">
        <f>TEXT(D1111,"mmm dd")</f>
        <v>524</v>
      </c>
      <c r="I1111" t="s">
        <v>833</v>
      </c>
      <c r="J1111" t="s">
        <v>1600</v>
      </c>
    </row>
    <row r="1112" spans="1:23">
      <c r="A1112">
        <v>17</v>
      </c>
      <c r="B1112">
        <v>7</v>
      </c>
      <c r="C1112">
        <v>2010</v>
      </c>
      <c r="D1112" s="3" t="s">
        <f>B1112&amp;"/"&amp;A1112&amp;"/"&amp;C1112</f>
        <v>1601</v>
      </c>
      <c r="E1112">
        <v>0.875</v>
      </c>
      <c r="F1112" t="s">
        <f>I1112&amp;" "&amp;J1112&amp;" "&amp;K1112&amp;" "&amp;L1112&amp;" "&amp;M1112&amp;" "&amp;N1112</f>
        <v>1602</v>
      </c>
      <c r="G1112" t="s">
        <f>TEXT(D1112,"mmm dd")</f>
        <v>653</v>
      </c>
      <c r="I1112" t="s">
        <v>1121</v>
      </c>
      <c r="J1112" t="s">
        <v>1081</v>
      </c>
    </row>
    <row r="1113" spans="1:23">
      <c r="A1113">
        <v>17</v>
      </c>
      <c r="B1113">
        <v>7</v>
      </c>
      <c r="C1113">
        <v>2010</v>
      </c>
      <c r="D1113" s="3" t="s">
        <f>B1113&amp;"/"&amp;A1113&amp;"/"&amp;C1113</f>
        <v>1601</v>
      </c>
      <c r="E1113">
        <v>0.1736111111111111</v>
      </c>
      <c r="F1113" t="str">
        <f>I1113&amp;" "&amp;J1113&amp;" "&amp;K1113&amp;" "&amp;L1113&amp;" "&amp;M1113&amp;" "&amp;N1113</f>
        <v>Emma to Masunaga   </v>
      </c>
      <c r="G1113" t="s">
        <f>TEXT(D1113,"mmm dd")</f>
        <v>653</v>
      </c>
      <c r="I1113" t="s">
        <v>170</v>
      </c>
      <c r="J1113" t="s">
        <v>449</v>
      </c>
      <c r="K1113" t="s">
        <v>918</v>
      </c>
      <c r="P1113" t="s">
        <v>706</v>
      </c>
      <c r="Q1113" t="s">
        <v>537</v>
      </c>
    </row>
    <row r="1114" spans="1:23">
      <c r="A1114">
        <v>23</v>
      </c>
      <c r="B1114">
        <v>7</v>
      </c>
      <c r="C1114">
        <v>2010</v>
      </c>
      <c r="D1114" s="3" t="str">
        <f>B1114&amp;"/"&amp;A1114&amp;"/"&amp;C1114</f>
        <v>7/23/2010</v>
      </c>
      <c r="E1114" t="s">
        <v>42</v>
      </c>
      <c r="F1114" t="str">
        <f>I1114&amp;" "&amp;J1114&amp;" "&amp;K1114&amp;" "&amp;L1114&amp;" "&amp;M1114&amp;" "&amp;N1114</f>
        <v>Iolani ends    </v>
      </c>
      <c r="G1114" t="s">
        <f>TEXT(D1114,"mmm dd")</f>
        <v>681</v>
      </c>
      <c r="I1114" t="s">
        <v>833</v>
      </c>
      <c r="J1114" t="inlineStr">
        <is>
          <t>ends</t>
        </is>
      </c>
      <c r="P1114" t="s">
        <v>706</v>
      </c>
      <c r="Q1114" t="s">
        <v>537</v>
      </c>
    </row>
    <row r="1115" spans="1:23">
      <c r="A1115">
        <v>4</v>
      </c>
      <c r="B1115">
        <v>8</v>
      </c>
      <c r="C1115">
        <v>2010</v>
      </c>
      <c r="D1115" s="3" t="str">
        <f>B1115&amp;"/"&amp;A1115&amp;"/"&amp;C1115</f>
        <v>8/4/2010</v>
      </c>
      <c r="E1115">
        <v>0.16666666666666666</v>
      </c>
      <c r="F1115" t="s">
        <f>I1115&amp;" "&amp;J1115&amp;" "&amp;K1115&amp;" "&amp;L1115&amp;" "&amp;M1115&amp;" "&amp;N1115</f>
        <v>1248</v>
      </c>
      <c r="G1115" t="s">
        <f>TEXT(D1115,"mmm dd")</f>
        <v>1603</v>
      </c>
      <c r="I1115" t="s">
        <v>847</v>
      </c>
      <c r="J1115" t="s">
        <v>647</v>
      </c>
    </row>
    <row r="1116" spans="1:23">
      <c r="A1116">
        <v>7</v>
      </c>
      <c r="B1116">
        <v>8</v>
      </c>
      <c r="C1116">
        <v>2010</v>
      </c>
      <c r="D1116" s="3" t="s">
        <f>B1116&amp;"/"&amp;A1116&amp;"/"&amp;C1116</f>
        <v>1604</v>
      </c>
      <c r="E1116" t="s">
        <v>42</v>
      </c>
      <c r="F1116" t="str">
        <f>I1116&amp;" "&amp;J1116&amp;" "&amp;K1116&amp;" "&amp;L1116&amp;" "&amp;M1116&amp;" "&amp;N1116</f>
        <v>DH devotions for SC  </v>
      </c>
      <c r="G1116" t="s">
        <f>TEXT(D1116,"mmm dd")</f>
        <v>1605</v>
      </c>
      <c r="I1116" t="s">
        <v>1606</v>
      </c>
      <c r="J1116" t="s">
        <v>1177</v>
      </c>
      <c r="K1116" t="s">
        <v>439</v>
      </c>
      <c r="L1116" t="s">
        <v>1301</v>
      </c>
    </row>
    <row r="1117" spans="1:23">
      <c r="A1117">
        <v>7</v>
      </c>
      <c r="B1117">
        <v>8</v>
      </c>
      <c r="C1117">
        <v>2010</v>
      </c>
      <c r="D1117" s="3" t="s">
        <f>B1117&amp;"/"&amp;A1117&amp;"/"&amp;C1117</f>
        <v>1604</v>
      </c>
      <c r="E1117">
        <v>0.91666666666666663</v>
      </c>
      <c r="F1117" t="s">
        <f>I1117&amp;" "&amp;J1117&amp;" "&amp;K1117&amp;" "&amp;L1117&amp;" "&amp;M1117&amp;" "&amp;N1117</f>
        <v>1300</v>
      </c>
      <c r="G1117" t="s">
        <f>TEXT(D1117,"mmm dd")</f>
        <v>1605</v>
      </c>
      <c r="I1117" t="s">
        <v>1301</v>
      </c>
      <c r="J1117" t="s">
        <v>1302</v>
      </c>
    </row>
    <row r="1118" spans="1:23">
      <c r="A1118">
        <v>20</v>
      </c>
      <c r="B1118">
        <v>8</v>
      </c>
      <c r="C1118">
        <v>2010</v>
      </c>
      <c r="D1118" s="3" t="s">
        <f>B1118&amp;"/"&amp;A1118&amp;"/"&amp;C1118</f>
        <v>1607</v>
      </c>
      <c r="E1118" t="s">
        <v>42</v>
      </c>
      <c r="F1118" t="s">
        <f>I1118&amp;" "&amp;J1118&amp;" "&amp;K1118&amp;" "&amp;L1118&amp;" "&amp;M1118&amp;" "&amp;N1118</f>
        <v>1608</v>
      </c>
      <c r="G1118" t="s">
        <f>TEXT(D1118,"mmm dd")</f>
        <v>812</v>
      </c>
      <c r="I1118" t="inlineStr">
        <is>
          <t>Statehood</t>
        </is>
      </c>
      <c r="J1118" t="s">
        <v>10</v>
      </c>
    </row>
    <row r="1119" spans="1:23">
      <c r="A1119">
        <v>21</v>
      </c>
      <c r="B1119">
        <v>8</v>
      </c>
      <c r="C1119">
        <v>2010</v>
      </c>
      <c r="D1119" s="3" t="s">
        <f>B1119&amp;"/"&amp;A1119&amp;"/"&amp;C1119</f>
        <v>1609</v>
      </c>
      <c r="E1119">
        <v>1.0416666666666667</v>
      </c>
      <c r="F1119" t="str">
        <f>I1119&amp;" "&amp;J1119&amp;" "&amp;K1119&amp;" "&amp;L1119&amp;" "&amp;M1119&amp;" "&amp;N1119</f>
        <v>SC to 7th   </v>
      </c>
      <c r="G1119" t="s">
        <f>TEXT(D1119,"mmm dd")</f>
        <v>818</v>
      </c>
      <c r="I1119" t="s">
        <v>1301</v>
      </c>
      <c r="J1119" t="s">
        <v>449</v>
      </c>
      <c r="K1119" t="inlineStr">
        <is>
          <t>7th</t>
        </is>
      </c>
    </row>
    <row r="1120" spans="1:23">
      <c r="A1120">
        <v>21</v>
      </c>
      <c r="B1120">
        <v>8</v>
      </c>
      <c r="C1120">
        <v>2010</v>
      </c>
      <c r="D1120" s="3" t="s">
        <f>B1120&amp;"/"&amp;A1120&amp;"/"&amp;C1120</f>
        <v>1609</v>
      </c>
      <c r="E1120">
        <v>0.875</v>
      </c>
      <c r="F1120" t="str">
        <f>I1120&amp;" "&amp;J1120&amp;" "&amp;K1120&amp;" "&amp;L1120&amp;" "&amp;M1120&amp;" "&amp;N1120</f>
        <v>Parish Cleanup    </v>
      </c>
      <c r="G1120" t="s">
        <f>TEXT(D1120,"mmm dd")</f>
        <v>818</v>
      </c>
      <c r="I1120" t="s">
        <v>1587</v>
      </c>
      <c r="J1120" t="inlineStr">
        <is>
          <t>Cleanup</t>
        </is>
      </c>
    </row>
    <row r="1121" spans="1:23">
      <c r="A1121">
        <v>11</v>
      </c>
      <c r="B1121">
        <v>9</v>
      </c>
      <c r="C1121">
        <v>2010</v>
      </c>
      <c r="D1121" s="3" t="str">
        <f>B1121&amp;"/"&amp;A1121&amp;"/"&amp;C1121</f>
        <v>9/11/2010</v>
      </c>
      <c r="E1121">
        <v>0.91666666666666663</v>
      </c>
      <c r="F1121" t="s">
        <f>I1121&amp;" "&amp;J1121&amp;" "&amp;K1121&amp;" "&amp;L1121&amp;" "&amp;M1121&amp;" "&amp;N1121</f>
        <v>1300</v>
      </c>
      <c r="G1121" t="s">
        <f>TEXT(D1121,"mmm dd")</f>
        <v>1383</v>
      </c>
      <c r="I1121" t="s">
        <v>1301</v>
      </c>
      <c r="J1121" t="s">
        <v>1302</v>
      </c>
    </row>
    <row r="1122" spans="1:23">
      <c r="A1122">
        <v>18</v>
      </c>
      <c r="B1122">
        <v>9</v>
      </c>
      <c r="C1122">
        <v>2010</v>
      </c>
      <c r="D1122" s="3" t="str">
        <f>B1122&amp;"/"&amp;A1122&amp;"/"&amp;C1122</f>
        <v>9/18/2010</v>
      </c>
      <c r="E1122">
        <v>1.0416666666666667</v>
      </c>
      <c r="F1122" t="str">
        <f>I1122&amp;" "&amp;J1122&amp;" "&amp;K1122&amp;" "&amp;L1122&amp;" "&amp;M1122&amp;" "&amp;N1122</f>
        <v>SC to 11th   </v>
      </c>
      <c r="G1122" t="s">
        <f>TEXT(D1122,"mmm dd")</f>
        <v>875</v>
      </c>
      <c r="I1122" t="s">
        <v>1301</v>
      </c>
      <c r="J1122" t="s">
        <v>449</v>
      </c>
      <c r="K1122" t="inlineStr">
        <is>
          <t>11th</t>
        </is>
      </c>
    </row>
    <row r="1123" spans="1:23">
      <c r="A1123">
        <v>3</v>
      </c>
      <c r="B1123">
        <v>10</v>
      </c>
      <c r="C1123">
        <v>2010</v>
      </c>
      <c r="D1123" s="3" t="str">
        <f>B1123&amp;"/"&amp;A1123&amp;"/"&amp;C1123</f>
        <v>10/3/2010</v>
      </c>
      <c r="E1123">
        <v>0.28125</v>
      </c>
      <c r="F1123" t="str">
        <f>I1123&amp;" "&amp;J1123&amp;" "&amp;K1123&amp;" "&amp;L1123&amp;" "&amp;M1123&amp;" "&amp;N1123</f>
        <v>Arrival     </v>
      </c>
      <c r="G1123" t="s">
        <f>TEXT(D1123,"mmm dd")</f>
        <v>920</v>
      </c>
      <c r="I1123" t="s">
        <v>1610</v>
      </c>
    </row>
    <row r="1124" spans="1:23">
      <c r="A1124">
        <v>5</v>
      </c>
      <c r="B1124">
        <v>10</v>
      </c>
      <c r="C1124">
        <v>2010</v>
      </c>
      <c r="D1124" s="3" t="s">
        <f>B1124&amp;"/"&amp;A1124&amp;"/"&amp;C1124</f>
        <v>1611</v>
      </c>
      <c r="E1124">
        <v>0.93055555555555558</v>
      </c>
      <c r="F1124" t="str">
        <f>I1124&amp;" "&amp;J1124&amp;" "&amp;K1124&amp;" "&amp;L1124&amp;" "&amp;M1124&amp;" "&amp;N1124</f>
        <v>Assist animal blessing   </v>
      </c>
      <c r="G1124" t="s">
        <f>TEXT(D1124,"mmm dd")</f>
        <v>1612</v>
      </c>
      <c r="I1124" t="inlineStr">
        <is>
          <t>Assist</t>
        </is>
      </c>
      <c r="J1124" t="inlineStr">
        <is>
          <t>animal</t>
        </is>
      </c>
      <c r="K1124" t="s">
        <v>853</v>
      </c>
    </row>
    <row r="1125" spans="1:23">
      <c r="A1125">
        <v>5</v>
      </c>
      <c r="B1125">
        <v>10</v>
      </c>
      <c r="C1125">
        <v>2010</v>
      </c>
      <c r="D1125" s="3" t="s">
        <f>B1125&amp;"/"&amp;A1125&amp;"/"&amp;C1125</f>
        <v>1611</v>
      </c>
      <c r="E1125">
        <v>1.054861111111111</v>
      </c>
      <c r="F1125" t="str">
        <f>I1125&amp;" "&amp;J1125&amp;" "&amp;K1125&amp;" "&amp;L1125&amp;" "&amp;M1125&amp;" "&amp;N1125</f>
        <v>Aiko     </v>
      </c>
      <c r="G1125" t="s">
        <f>TEXT(D1125,"mmm dd")</f>
        <v>1612</v>
      </c>
      <c r="I1125" t="s">
        <v>1613</v>
      </c>
    </row>
    <row r="1126" spans="1:23">
      <c r="A1126">
        <v>6</v>
      </c>
      <c r="B1126">
        <v>10</v>
      </c>
      <c r="C1126">
        <v>2010</v>
      </c>
      <c r="D1126" s="3" t="s">
        <f>B1126&amp;"/"&amp;A1126&amp;"/"&amp;C1126</f>
        <v>1614</v>
      </c>
      <c r="E1126">
        <v>0.16666666666666666</v>
      </c>
      <c r="F1126" t="str">
        <f>I1126&amp;" "&amp;J1126&amp;" "&amp;K1126&amp;" "&amp;L1126&amp;" "&amp;M1126&amp;" "&amp;N1126</f>
        <v>JAR ?    </v>
      </c>
      <c r="G1126" t="s">
        <f>TEXT(D1126,"mmm dd")</f>
        <v>1615</v>
      </c>
      <c r="I1126" t="inlineStr">
        <is>
          <t>JAR</t>
        </is>
      </c>
      <c r="J1126" t="s">
        <v>1616</v>
      </c>
    </row>
    <row r="1127" spans="1:23">
      <c r="A1127">
        <v>6</v>
      </c>
      <c r="B1127">
        <v>10</v>
      </c>
      <c r="C1127">
        <v>2010</v>
      </c>
      <c r="D1127" s="3" t="s">
        <f>B1127&amp;"/"&amp;A1127&amp;"/"&amp;C1127</f>
        <v>1614</v>
      </c>
      <c r="E1127">
        <v>1.0833333333333333</v>
      </c>
      <c r="F1127" t="str">
        <f>I1127&amp;" "&amp;J1127&amp;" "&amp;K1127&amp;" "&amp;L1127&amp;" "&amp;M1127&amp;" "&amp;N1127</f>
        <v>Aiko baptism    </v>
      </c>
      <c r="G1127" t="s">
        <f>TEXT(D1127,"mmm dd")</f>
        <v>1615</v>
      </c>
      <c r="I1127" t="s">
        <v>1613</v>
      </c>
      <c r="J1127" t="s">
        <v>886</v>
      </c>
    </row>
    <row r="1128" spans="1:23">
      <c r="A1128">
        <v>8</v>
      </c>
      <c r="B1128">
        <v>10</v>
      </c>
      <c r="C1128">
        <v>2010</v>
      </c>
      <c r="D1128" s="3" t="str">
        <f>B1128&amp;"/"&amp;A1128&amp;"/"&amp;C1128</f>
        <v>10/8/2010</v>
      </c>
      <c r="E1128">
        <v>0.91666666666666663</v>
      </c>
      <c r="F1128" t="str">
        <f>I1128&amp;" "&amp;J1128&amp;" "&amp;K1128&amp;" "&amp;L1128&amp;" "&amp;M1128&amp;" "&amp;N1128</f>
        <v>Ezekiel     </v>
      </c>
      <c r="G1128" t="s">
        <f>TEXT(D1128,"mmm dd")</f>
        <v>1617</v>
      </c>
      <c r="I1128" t="inlineStr">
        <is>
          <t>Ezekiel</t>
        </is>
      </c>
    </row>
    <row r="1129" spans="1:23">
      <c r="A1129">
        <v>11</v>
      </c>
      <c r="B1129">
        <v>10</v>
      </c>
      <c r="C1129">
        <v>2010</v>
      </c>
      <c r="D1129" s="3" t="str">
        <f>B1129&amp;"/"&amp;A1129&amp;"/"&amp;C1129</f>
        <v>10/11/2010</v>
      </c>
      <c r="E1129">
        <v>0.25</v>
      </c>
      <c r="F1129" t="str">
        <f>I1129&amp;" "&amp;J1129&amp;" "&amp;K1129&amp;" "&amp;L1129&amp;" "&amp;M1129&amp;" "&amp;N1129</f>
        <v>Lockup  for  Devan </v>
      </c>
      <c r="G1129" t="s">
        <f>TEXT(D1129,"mmm dd")</f>
        <v>933</v>
      </c>
      <c r="I1129" t="s">
        <v>1581</v>
      </c>
      <c r="K1129" t="s">
        <v>439</v>
      </c>
      <c r="M1129" t="inlineStr">
        <is>
          <t>Devan</t>
        </is>
      </c>
    </row>
    <row r="1130" spans="1:23">
      <c r="A1130">
        <v>12</v>
      </c>
      <c r="B1130">
        <v>10</v>
      </c>
      <c r="C1130">
        <v>2010</v>
      </c>
      <c r="D1130" s="3" t="s">
        <f>B1130&amp;"/"&amp;A1130&amp;"/"&amp;C1130</f>
        <v>1618</v>
      </c>
      <c r="E1130">
        <v>1</v>
      </c>
      <c r="F1130" t="str">
        <f>I1130&amp;" "&amp;J1130&amp;" "&amp;K1130&amp;" "&amp;L1130&amp;" "&amp;M1130&amp;" "&amp;N1130</f>
        <v>Lunch with clericus at Epiphany </v>
      </c>
      <c r="G1130" t="s">
        <f>TEXT(D1130,"mmm dd")</f>
        <v>1619</v>
      </c>
      <c r="I1130" t="s">
        <v>813</v>
      </c>
      <c r="J1130" t="s">
        <v>755</v>
      </c>
      <c r="K1130" t="s">
        <v>1620</v>
      </c>
      <c r="L1130" t="s">
        <v>53</v>
      </c>
      <c r="M1130" t="s">
        <v>1317</v>
      </c>
    </row>
    <row r="1131" spans="1:23">
      <c r="A1131">
        <v>12</v>
      </c>
      <c r="B1131">
        <v>10</v>
      </c>
      <c r="C1131">
        <v>2010</v>
      </c>
      <c r="D1131" s="3" t="s">
        <f>B1131&amp;"/"&amp;A1131&amp;"/"&amp;C1131</f>
        <v>1618</v>
      </c>
      <c r="E1131">
        <v>0.72916666666666663</v>
      </c>
      <c r="F1131" t="s">
        <f>I1131&amp;" "&amp;J1131&amp;" "&amp;K1131&amp;" "&amp;L1131&amp;" "&amp;M1131&amp;" "&amp;N1131</f>
        <v>1621</v>
      </c>
      <c r="G1131" t="s">
        <f>TEXT(D1131,"mmm dd")</f>
        <v>1619</v>
      </c>
      <c r="I1131" t="s">
        <v>1622</v>
      </c>
      <c r="J1131" t="s">
        <v>439</v>
      </c>
      <c r="K1131" t="s">
        <v>1623</v>
      </c>
      <c r="L1131" t="s">
        <v>857</v>
      </c>
    </row>
    <row r="1132" spans="1:23">
      <c r="A1132">
        <v>14</v>
      </c>
      <c r="B1132">
        <v>10</v>
      </c>
      <c r="C1132">
        <v>2010</v>
      </c>
      <c r="D1132" s="3" t="s">
        <f>B1132&amp;"/"&amp;A1132&amp;"/"&amp;C1132</f>
        <v>1624</v>
      </c>
      <c r="E1132">
        <v>1.0833333333333333</v>
      </c>
      <c r="F1132" t="str">
        <f>I1132&amp;" "&amp;J1132&amp;" "&amp;K1132&amp;" "&amp;L1132&amp;" "&amp;M1132&amp;" "&amp;N1132</f>
        <v>Walter Stephens    </v>
      </c>
      <c r="G1132" t="s">
        <f>TEXT(D1132,"mmm dd")</f>
        <v>938</v>
      </c>
      <c r="I1132" t="s">
        <v>1427</v>
      </c>
      <c r="J1132" t="inlineStr">
        <is>
          <t>Stephens</t>
        </is>
      </c>
    </row>
    <row r="1133" spans="1:23">
      <c r="A1133">
        <v>14</v>
      </c>
      <c r="B1133">
        <v>10</v>
      </c>
      <c r="C1133">
        <v>2010</v>
      </c>
      <c r="D1133" s="3" t="s">
        <f>B1133&amp;"/"&amp;A1133&amp;"/"&amp;C1133</f>
        <v>1624</v>
      </c>
      <c r="E1133">
        <v>0.21875</v>
      </c>
      <c r="F1133" t="str">
        <f>I1133&amp;" "&amp;J1133&amp;" "&amp;K1133&amp;" "&amp;L1133&amp;" "&amp;M1133&amp;" "&amp;N1133</f>
        <v>Convention Plans Committee   </v>
      </c>
      <c r="G1133" t="s">
        <f>TEXT(D1133,"mmm dd")</f>
        <v>938</v>
      </c>
      <c r="I1133" t="s">
        <v>1338</v>
      </c>
      <c r="J1133" t="inlineStr">
        <is>
          <t>Plans</t>
        </is>
      </c>
      <c r="K1133" t="s">
        <v>1081</v>
      </c>
    </row>
    <row r="1134" spans="1:23">
      <c r="A1134">
        <v>14</v>
      </c>
      <c r="B1134">
        <v>10</v>
      </c>
      <c r="C1134">
        <v>2010</v>
      </c>
      <c r="D1134" s="3" t="s">
        <f>B1134&amp;"/"&amp;A1134&amp;"/"&amp;C1134</f>
        <v>1624</v>
      </c>
      <c r="E1134">
        <v>0.89583333333333337</v>
      </c>
      <c r="F1134" t="s">
        <f>I1134&amp;" "&amp;J1134&amp;" "&amp;K1134&amp;" "&amp;L1134&amp;" "&amp;M1134&amp;" "&amp;N1134</f>
        <v>1584</v>
      </c>
      <c r="G1134" t="s">
        <f>TEXT(D1134,"mmm dd")</f>
        <v>938</v>
      </c>
      <c r="I1134" t="s">
        <v>291</v>
      </c>
      <c r="J1134" t="s">
        <v>1195</v>
      </c>
    </row>
    <row r="1135" spans="1:23">
      <c r="A1135">
        <v>15</v>
      </c>
      <c r="B1135">
        <v>10</v>
      </c>
      <c r="C1135">
        <v>2010</v>
      </c>
      <c r="D1135" s="3" t="str">
        <f>B1135&amp;"/"&amp;A1135&amp;"/"&amp;C1135</f>
        <v>10/15/2010</v>
      </c>
      <c r="E1135">
        <v>0.16666666666666666</v>
      </c>
      <c r="F1135" t="str">
        <f>I1135&amp;" "&amp;J1135&amp;" "&amp;K1135&amp;" "&amp;L1135&amp;" "&amp;M1135&amp;" "&amp;N1135</f>
        <v>Take girls to to haircut </v>
      </c>
      <c r="G1135" t="s">
        <f>TEXT(D1135,"mmm dd")</f>
        <v>942</v>
      </c>
      <c r="I1135" t="s">
        <v>821</v>
      </c>
      <c r="J1135" t="s">
        <v>822</v>
      </c>
      <c r="K1135" t="s">
        <v>449</v>
      </c>
      <c r="L1135" t="s">
        <v>449</v>
      </c>
      <c r="M1135" t="s">
        <v>1625</v>
      </c>
    </row>
    <row r="1136" spans="1:23">
      <c r="A1136">
        <v>16</v>
      </c>
      <c r="B1136">
        <v>10</v>
      </c>
      <c r="C1136">
        <v>2010</v>
      </c>
      <c r="D1136" s="3" t="str">
        <f>B1136&amp;"/"&amp;A1136&amp;"/"&amp;C1136</f>
        <v>10/16/2010</v>
      </c>
      <c r="E1136">
        <v>0.875</v>
      </c>
      <c r="F1136" t="s">
        <f>I1136&amp;" "&amp;J1136&amp;" "&amp;K1136&amp;" "&amp;L1136&amp;" "&amp;M1136&amp;" "&amp;N1136</f>
        <v>1602</v>
      </c>
      <c r="G1136" t="s">
        <f>TEXT(D1136,"mmm dd")</f>
        <v>1404</v>
      </c>
      <c r="I1136" t="s">
        <v>1121</v>
      </c>
      <c r="J1136" t="s">
        <v>1081</v>
      </c>
    </row>
    <row r="1137" spans="1:23">
      <c r="A1137">
        <v>19</v>
      </c>
      <c r="B1137">
        <v>10</v>
      </c>
      <c r="C1137">
        <v>2010</v>
      </c>
      <c r="D1137" s="3" t="str">
        <f>B1137&amp;"/"&amp;A1137&amp;"/"&amp;C1137</f>
        <v>10/19/2010</v>
      </c>
      <c r="E1137">
        <v>0.95833333333333337</v>
      </c>
      <c r="F1137" t="str">
        <f>I1137&amp;" "&amp;J1137&amp;" "&amp;K1137&amp;" "&amp;L1137&amp;" "&amp;M1137&amp;" "&amp;N1137</f>
        <v>Toru     </v>
      </c>
      <c r="G1137" t="s">
        <f>TEXT(D1137,"mmm dd")</f>
        <v>1626</v>
      </c>
      <c r="I1137" t="s">
        <v>1627</v>
      </c>
    </row>
    <row r="1138" spans="1:23">
      <c r="A1138">
        <v>20</v>
      </c>
      <c r="B1138">
        <v>10</v>
      </c>
      <c r="C1138">
        <v>2010</v>
      </c>
      <c r="D1138" s="3" t="str">
        <f>B1138&amp;"/"&amp;A1138&amp;"/"&amp;C1138</f>
        <v>10/20/2010</v>
      </c>
      <c r="E1138">
        <v>0.91666666666666663</v>
      </c>
      <c r="F1138" t="s">
        <f>I1138&amp;" "&amp;J1138&amp;" "&amp;K1138&amp;" "&amp;L1138&amp;" "&amp;M1138&amp;" "&amp;N1138</f>
        <v>1628</v>
      </c>
      <c r="G1138" t="s">
        <f>TEXT(D1138,"mmm dd")</f>
        <v>1408</v>
      </c>
      <c r="I1138" t="s">
        <v>1282</v>
      </c>
      <c r="J1138" t="s">
        <v>1283</v>
      </c>
    </row>
    <row r="1139" spans="1:23">
      <c r="A1139">
        <v>21</v>
      </c>
      <c r="B1139">
        <v>10</v>
      </c>
      <c r="C1139">
        <v>2010</v>
      </c>
      <c r="D1139" s="3" t="str">
        <f>B1139&amp;"/"&amp;A1139&amp;"/"&amp;C1139</f>
        <v>10/21/2010</v>
      </c>
      <c r="E1139">
        <v>0.875</v>
      </c>
      <c r="F1139" t="str">
        <f>I1139&amp;" "&amp;J1139&amp;" "&amp;K1139&amp;" "&amp;L1139&amp;" "&amp;M1139&amp;" "&amp;N1139</f>
        <v>Elizabeth     </v>
      </c>
      <c r="G1139" t="s">
        <f>TEXT(D1139,"mmm dd")</f>
        <v>1629</v>
      </c>
      <c r="I1139" t="s">
        <v>664</v>
      </c>
    </row>
    <row r="1140" spans="1:23">
      <c r="A1140">
        <v>22</v>
      </c>
      <c r="B1140">
        <v>10</v>
      </c>
      <c r="C1140">
        <v>2010</v>
      </c>
      <c r="D1140" s="3" t="str">
        <f>B1140&amp;"/"&amp;A1140&amp;"/"&amp;C1140</f>
        <v>10/22/2010</v>
      </c>
      <c r="E1140">
        <v>0.875</v>
      </c>
      <c r="F1140" t="str">
        <f>I1140&amp;" "&amp;J1140&amp;" "&amp;K1140&amp;" "&amp;L1140&amp;" "&amp;M1140&amp;" "&amp;N1140</f>
        <v>Bridget surgery    </v>
      </c>
      <c r="G1140" t="s">
        <f>TEXT(D1140,"mmm dd")</f>
        <v>1410</v>
      </c>
      <c r="I1140" t="s">
        <v>156</v>
      </c>
      <c r="J1140" t="s">
        <v>1448</v>
      </c>
    </row>
    <row r="1141" spans="1:23">
      <c r="A1141">
        <v>23</v>
      </c>
      <c r="B1141">
        <v>10</v>
      </c>
      <c r="C1141">
        <v>2010</v>
      </c>
      <c r="D1141" s="3" t="s">
        <f>B1141&amp;"/"&amp;A1141&amp;"/"&amp;C1141</f>
        <v>1630</v>
      </c>
      <c r="E1141">
        <v>0.91666666666666663</v>
      </c>
      <c r="F1141" t="str">
        <f>I1141&amp;" "&amp;J1141&amp;" "&amp;K1141&amp;" "&amp;L1141&amp;" "&amp;M1141&amp;" "&amp;N1141</f>
        <v>End of life workshop  </v>
      </c>
      <c r="G1141" t="s">
        <f>TEXT(D1141,"mmm dd")</f>
        <v>953</v>
      </c>
      <c r="I1141" t="s">
        <v>1631</v>
      </c>
      <c r="J1141" t="s">
        <v>86</v>
      </c>
      <c r="K1141" t="s">
        <v>1632</v>
      </c>
      <c r="L1141" t="s">
        <v>908</v>
      </c>
    </row>
    <row r="1142" spans="1:23">
      <c r="A1142">
        <v>23</v>
      </c>
      <c r="B1142">
        <v>10</v>
      </c>
      <c r="C1142">
        <v>2010</v>
      </c>
      <c r="D1142" s="3" t="s">
        <f>B1142&amp;"/"&amp;A1142&amp;"/"&amp;C1142</f>
        <v>1630</v>
      </c>
      <c r="E1142">
        <v>0.91666666666666663</v>
      </c>
      <c r="F1142" t="str">
        <f>I1142&amp;" "&amp;J1142&amp;" "&amp;K1142&amp;" "&amp;L1142&amp;" "&amp;M1142&amp;" "&amp;N1142</f>
        <v>End of Life Workshop  </v>
      </c>
      <c r="G1142" t="s">
        <f>TEXT(D1142,"mmm dd")</f>
        <v>953</v>
      </c>
      <c r="I1142" t="s">
        <v>1631</v>
      </c>
      <c r="J1142" t="s">
        <v>86</v>
      </c>
      <c r="K1142" t="s">
        <v>1303</v>
      </c>
      <c r="L1142" t="s">
        <v>1147</v>
      </c>
    </row>
    <row r="1143" spans="1:23">
      <c r="A1143">
        <v>24</v>
      </c>
      <c r="B1143">
        <v>10</v>
      </c>
      <c r="C1143">
        <v>2010</v>
      </c>
      <c r="D1143" s="3" t="str">
        <f>B1143&amp;"/"&amp;A1143&amp;"/"&amp;C1143</f>
        <v>10/24/2010</v>
      </c>
      <c r="E1143">
        <v>0.9375</v>
      </c>
      <c r="F1143" t="str">
        <f>I1143&amp;" "&amp;J1143&amp;" "&amp;K1143&amp;" "&amp;L1143&amp;" "&amp;M1143&amp;" "&amp;N1143</f>
        <v>Food fair    </v>
      </c>
      <c r="G1143" t="s">
        <f>TEXT(D1143,"mmm dd")</f>
        <v>956</v>
      </c>
      <c r="I1143" t="s">
        <v>1324</v>
      </c>
      <c r="J1143" t="s">
        <v>1596</v>
      </c>
    </row>
    <row r="1144" spans="1:23">
      <c r="A1144">
        <v>26</v>
      </c>
      <c r="B1144">
        <v>10</v>
      </c>
      <c r="C1144">
        <v>2010</v>
      </c>
      <c r="D1144" s="3" t="str">
        <f>B1144&amp;"/"&amp;A1144&amp;"/"&amp;C1144</f>
        <v>10/26/2010</v>
      </c>
      <c r="E1144">
        <v>1.0833333333333333</v>
      </c>
      <c r="F1144" t="s">
        <f>I1144&amp;" "&amp;J1144&amp;" "&amp;K1144&amp;" "&amp;L1144&amp;" "&amp;M1144&amp;" "&amp;N1144</f>
        <v>1621</v>
      </c>
      <c r="G1144" t="s">
        <f>TEXT(D1144,"mmm dd")</f>
        <v>1633</v>
      </c>
      <c r="I1144" t="s">
        <v>1622</v>
      </c>
      <c r="J1144" t="s">
        <v>439</v>
      </c>
      <c r="K1144" t="s">
        <v>1623</v>
      </c>
      <c r="L1144" t="s">
        <v>857</v>
      </c>
    </row>
    <row r="1145" spans="1:23">
      <c r="A1145">
        <v>29</v>
      </c>
      <c r="B1145">
        <v>10</v>
      </c>
      <c r="C1145">
        <v>2010</v>
      </c>
      <c r="D1145" s="3" t="s">
        <f>B1145&amp;"/"&amp;A1145&amp;"/"&amp;C1145</f>
        <v>1634</v>
      </c>
      <c r="E1145">
        <v>0.94791666666666663</v>
      </c>
      <c r="F1145" t="str">
        <f>I1145&amp;" "&amp;J1145&amp;" "&amp;K1145&amp;" "&amp;L1145&amp;" "&amp;M1145&amp;" "&amp;N1145</f>
        <v>Par Teach Conf   </v>
      </c>
      <c r="G1145" t="s">
        <f>TEXT(D1145,"mmm dd")</f>
        <v>962</v>
      </c>
      <c r="I1145" t="inlineStr">
        <is>
          <t>Par</t>
        </is>
      </c>
      <c r="J1145" t="inlineStr">
        <is>
          <t>Teach</t>
        </is>
      </c>
      <c r="K1145" t="s">
        <v>880</v>
      </c>
    </row>
    <row r="1146" spans="1:23">
      <c r="A1146">
        <v>29</v>
      </c>
      <c r="B1146">
        <v>10</v>
      </c>
      <c r="C1146">
        <v>2010</v>
      </c>
      <c r="D1146" s="3" t="s">
        <f>B1146&amp;"/"&amp;A1146&amp;"/"&amp;C1146</f>
        <v>1634</v>
      </c>
      <c r="E1146" t="s">
        <v>42</v>
      </c>
      <c r="F1146" t="str">
        <f>I1146&amp;" "&amp;J1146&amp;" "&amp;K1146&amp;" "&amp;L1146&amp;" "&amp;M1146&amp;" "&amp;N1146</f>
        <v>Diocese leadership day   </v>
      </c>
      <c r="G1146" t="s">
        <f>TEXT(D1146,"mmm dd")</f>
        <v>962</v>
      </c>
      <c r="I1146" t="s">
        <v>1635</v>
      </c>
      <c r="J1146" t="s">
        <v>1636</v>
      </c>
      <c r="K1146" t="s">
        <v>502</v>
      </c>
    </row>
    <row r="1147" spans="1:23">
      <c r="A1147">
        <v>29</v>
      </c>
      <c r="B1147">
        <v>10</v>
      </c>
      <c r="C1147">
        <v>2010</v>
      </c>
      <c r="D1147" s="3" t="s">
        <f>B1147&amp;"/"&amp;A1147&amp;"/"&amp;C1147</f>
        <v>1634</v>
      </c>
      <c r="E1147">
        <v>0.16666666666666666</v>
      </c>
      <c r="F1147" t="str">
        <f>I1147&amp;" "&amp;J1147&amp;" "&amp;K1147&amp;" "&amp;L1147&amp;" "&amp;M1147&amp;" "&amp;N1147</f>
        <v>M  Rivera   </v>
      </c>
      <c r="G1147" t="s">
        <f>TEXT(D1147,"mmm dd")</f>
        <v>962</v>
      </c>
      <c r="I1147" t="inlineStr">
        <is>
          <t>M</t>
        </is>
      </c>
      <c r="K1147" t="inlineStr">
        <is>
          <t>Rivera</t>
        </is>
      </c>
    </row>
    <row r="1148" spans="1:23">
      <c r="A1148">
        <v>29</v>
      </c>
      <c r="B1148">
        <v>10</v>
      </c>
      <c r="C1148">
        <v>2010</v>
      </c>
      <c r="D1148" s="3" t="s">
        <f>B1148&amp;"/"&amp;A1148&amp;"/"&amp;C1148</f>
        <v>1634</v>
      </c>
      <c r="E1148">
        <v>0.89583333333333337</v>
      </c>
      <c r="F1148" t="str">
        <f>I1148&amp;" "&amp;J1148&amp;" "&amp;K1148&amp;" "&amp;L1148&amp;" "&amp;M1148&amp;" "&amp;N1148</f>
        <v>Angels parade    </v>
      </c>
      <c r="G1148" t="s">
        <f>TEXT(D1148,"mmm dd")</f>
        <v>962</v>
      </c>
      <c r="I1148" t="s">
        <v>52</v>
      </c>
      <c r="J1148" t="s">
        <v>1414</v>
      </c>
    </row>
    <row r="1149" spans="1:23">
      <c r="A1149">
        <v>30</v>
      </c>
      <c r="B1149">
        <v>10</v>
      </c>
      <c r="C1149">
        <v>2010</v>
      </c>
      <c r="D1149" s="3" t="str">
        <f>B1149&amp;"/"&amp;A1149&amp;"/"&amp;C1149</f>
        <v>10/30/2010</v>
      </c>
      <c r="E1149">
        <v>0.875</v>
      </c>
      <c r="F1149" t="str">
        <f>I1149&amp;" "&amp;J1149&amp;" "&amp;K1149&amp;" "&amp;L1149&amp;" "&amp;M1149&amp;" "&amp;N1149</f>
        <v>Convention     </v>
      </c>
      <c r="G1149" t="s">
        <f>TEXT(D1149,"mmm dd")</f>
        <v>967</v>
      </c>
      <c r="I1149" t="s">
        <v>1338</v>
      </c>
    </row>
    <row r="1150" spans="1:23">
      <c r="A1150">
        <v>4</v>
      </c>
      <c r="B1150">
        <v>11</v>
      </c>
      <c r="C1150">
        <v>2010</v>
      </c>
      <c r="D1150" s="3" t="str">
        <f>B1150&amp;"/"&amp;A1150&amp;"/"&amp;C1150</f>
        <v>11/4/2010</v>
      </c>
      <c r="E1150">
        <v>0.16666666666666666</v>
      </c>
      <c r="F1150" t="str">
        <f>I1150&amp;" "&amp;J1150&amp;" "&amp;K1150&amp;" "&amp;L1150&amp;" "&amp;M1150&amp;" "&amp;N1150</f>
        <v>Ms  Costa   </v>
      </c>
      <c r="G1150" t="s">
        <f>TEXT(D1150,"mmm dd")</f>
        <v>34</v>
      </c>
      <c r="I1150" t="inlineStr">
        <is>
          <t>Ms</t>
        </is>
      </c>
      <c r="K1150" t="s">
        <v>1637</v>
      </c>
    </row>
    <row r="1151" spans="1:23">
      <c r="A1151">
        <v>5</v>
      </c>
      <c r="B1151">
        <v>11</v>
      </c>
      <c r="C1151">
        <v>2010</v>
      </c>
      <c r="D1151" s="3" t="s">
        <f>B1151&amp;"/"&amp;A1151&amp;"/"&amp;C1151</f>
        <v>1638</v>
      </c>
      <c r="E1151">
        <v>0.33333333333333331</v>
      </c>
      <c r="F1151" t="s">
        <f>I1151&amp;" "&amp;J1151&amp;" "&amp;K1151&amp;" "&amp;L1151&amp;" "&amp;M1151&amp;" "&amp;N1151</f>
        <v>1639</v>
      </c>
      <c r="G1151" t="s">
        <f>TEXT(D1151,"mmm dd")</f>
        <v>35</v>
      </c>
      <c r="I1151" t="s">
        <v>968</v>
      </c>
      <c r="J1151" t="s">
        <v>1640</v>
      </c>
    </row>
    <row r="1152" spans="1:23">
      <c r="A1152">
        <v>5</v>
      </c>
      <c r="B1152">
        <v>11</v>
      </c>
      <c r="C1152">
        <v>2010</v>
      </c>
      <c r="D1152" s="3" t="s">
        <f>B1152&amp;"/"&amp;A1152&amp;"/"&amp;C1152</f>
        <v>1638</v>
      </c>
      <c r="E1152">
        <v>0.91666666666666663</v>
      </c>
      <c r="F1152" t="s">
        <f>I1152&amp;" "&amp;J1152&amp;" "&amp;K1152&amp;" "&amp;L1152&amp;" "&amp;M1152&amp;" "&amp;N1152</f>
        <v>1641</v>
      </c>
      <c r="G1152" t="s">
        <f>TEXT(D1152,"mmm dd")</f>
        <v>35</v>
      </c>
      <c r="I1152" t="s">
        <v>1642</v>
      </c>
      <c r="J1152" t="s">
        <v>439</v>
      </c>
      <c r="K1152" t="s">
        <v>1643</v>
      </c>
      <c r="L1152" t="s">
        <v>880</v>
      </c>
      <c r="M1152" t="s">
        <v>48</v>
      </c>
      <c r="N1152" t="s">
        <v>609</v>
      </c>
    </row>
    <row r="1153" spans="1:23">
      <c r="A1153">
        <v>5</v>
      </c>
      <c r="B1153">
        <v>11</v>
      </c>
      <c r="C1153">
        <v>2010</v>
      </c>
      <c r="D1153" s="3" t="s">
        <f>B1153&amp;"/"&amp;A1153&amp;"/"&amp;C1153</f>
        <v>1638</v>
      </c>
      <c r="E1153">
        <v>0.9375</v>
      </c>
      <c r="F1153" t="s">
        <f>I1153&amp;" "&amp;J1153&amp;" "&amp;K1153&amp;" "&amp;L1153&amp;" "&amp;M1153&amp;" "&amp;N1153</f>
        <v>1644</v>
      </c>
      <c r="G1153" t="s">
        <f>TEXT(D1153,"mmm dd")</f>
        <v>35</v>
      </c>
      <c r="I1153" t="s">
        <v>1640</v>
      </c>
    </row>
    <row r="1154" spans="1:23">
      <c r="A1154">
        <v>5</v>
      </c>
      <c r="B1154">
        <v>11</v>
      </c>
      <c r="C1154">
        <v>2010</v>
      </c>
      <c r="D1154" s="3" t="s">
        <f>B1154&amp;"/"&amp;A1154&amp;"/"&amp;C1154</f>
        <v>1638</v>
      </c>
      <c r="E1154">
        <v>0.33333333333333331</v>
      </c>
      <c r="F1154" t="s">
        <f>I1154&amp;" "&amp;J1154&amp;" "&amp;K1154&amp;" "&amp;L1154&amp;" "&amp;M1154&amp;" "&amp;N1154</f>
        <v>1639</v>
      </c>
      <c r="G1154" t="s">
        <f>TEXT(D1154,"mmm dd")</f>
        <v>35</v>
      </c>
      <c r="I1154" t="s">
        <v>968</v>
      </c>
      <c r="J1154" t="s">
        <v>1640</v>
      </c>
    </row>
    <row r="1155" spans="1:23">
      <c r="A1155">
        <v>5</v>
      </c>
      <c r="B1155">
        <v>11</v>
      </c>
      <c r="C1155">
        <v>2010</v>
      </c>
      <c r="D1155" s="3" t="s">
        <f>B1155&amp;"/"&amp;A1155&amp;"/"&amp;C1155</f>
        <v>1638</v>
      </c>
      <c r="E1155">
        <v>0.875</v>
      </c>
      <c r="F1155" t="s">
        <f>I1155&amp;" "&amp;J1155&amp;" "&amp;K1155&amp;" "&amp;L1155&amp;" "&amp;M1155&amp;" "&amp;N1155</f>
        <v>1641</v>
      </c>
      <c r="G1155" t="s">
        <f>TEXT(D1155,"mmm dd")</f>
        <v>35</v>
      </c>
      <c r="I1155" t="s">
        <v>1642</v>
      </c>
      <c r="J1155" t="s">
        <v>439</v>
      </c>
      <c r="K1155" t="s">
        <v>1643</v>
      </c>
      <c r="L1155" t="s">
        <v>880</v>
      </c>
      <c r="M1155" t="s">
        <v>48</v>
      </c>
      <c r="N1155" t="s">
        <v>609</v>
      </c>
    </row>
    <row r="1156" spans="1:23">
      <c r="A1156">
        <v>5</v>
      </c>
      <c r="B1156">
        <v>11</v>
      </c>
      <c r="C1156">
        <v>2010</v>
      </c>
      <c r="D1156" s="3" t="s">
        <f>B1156&amp;"/"&amp;A1156&amp;"/"&amp;C1156</f>
        <v>1638</v>
      </c>
      <c r="E1156">
        <v>0.20833333333333334</v>
      </c>
      <c r="F1156" t="str">
        <f>I1156&amp;" "&amp;J1156&amp;" "&amp;K1156&amp;" "&amp;L1156&amp;" "&amp;M1156&amp;" "&amp;N1156</f>
        <v>Planning for Tomorrow   </v>
      </c>
      <c r="G1156" t="s">
        <f>TEXT(D1156,"mmm dd")</f>
        <v>35</v>
      </c>
      <c r="I1156" t="s">
        <v>1642</v>
      </c>
      <c r="J1156" t="s">
        <v>439</v>
      </c>
      <c r="K1156" t="s">
        <v>1643</v>
      </c>
    </row>
    <row r="1157" spans="1:23">
      <c r="A1157">
        <v>5</v>
      </c>
      <c r="B1157">
        <v>11</v>
      </c>
      <c r="C1157">
        <v>2010</v>
      </c>
      <c r="D1157" s="3" t="s">
        <f>B1157&amp;"/"&amp;A1157&amp;"/"&amp;C1157</f>
        <v>1638</v>
      </c>
      <c r="E1157">
        <v>0.20833333333333334</v>
      </c>
      <c r="F1157" t="str">
        <f>I1157&amp;" "&amp;J1157&amp;" "&amp;K1157&amp;" "&amp;L1157&amp;" "&amp;M1157&amp;" "&amp;N1157</f>
        <v>Planning for Tomorrow Conf  </v>
      </c>
      <c r="G1157" t="s">
        <f>TEXT(D1157,"mmm dd")</f>
        <v>35</v>
      </c>
      <c r="I1157" t="s">
        <v>1642</v>
      </c>
      <c r="J1157" t="s">
        <v>439</v>
      </c>
      <c r="K1157" t="s">
        <v>1643</v>
      </c>
      <c r="L1157" t="s">
        <v>880</v>
      </c>
    </row>
    <row r="1158" spans="1:23">
      <c r="A1158">
        <v>6</v>
      </c>
      <c r="B1158">
        <v>11</v>
      </c>
      <c r="C1158">
        <v>2010</v>
      </c>
      <c r="D1158" s="3" t="str">
        <f>B1158&amp;"/"&amp;A1158&amp;"/"&amp;C1158</f>
        <v>11/6/2010</v>
      </c>
      <c r="E1158">
        <v>0.9375</v>
      </c>
      <c r="F1158" t="s">
        <f>I1158&amp;" "&amp;J1158&amp;" "&amp;K1158&amp;" "&amp;L1158&amp;" "&amp;M1158&amp;" "&amp;N1158</f>
        <v>1644</v>
      </c>
      <c r="G1158" t="s">
        <f>TEXT(D1158,"mmm dd")</f>
        <v>1645</v>
      </c>
      <c r="I1158" t="s">
        <v>1640</v>
      </c>
    </row>
    <row r="1159" spans="1:23">
      <c r="A1159">
        <v>7</v>
      </c>
      <c r="B1159">
        <v>11</v>
      </c>
      <c r="C1159">
        <v>2010</v>
      </c>
      <c r="D1159" s="3" t="str">
        <f>B1159&amp;"/"&amp;A1159&amp;"/"&amp;C1159</f>
        <v>11/7/2010</v>
      </c>
      <c r="E1159">
        <v>0.29166666666666669</v>
      </c>
      <c r="F1159" t="str">
        <f>I1159&amp;" "&amp;J1159&amp;" "&amp;K1159&amp;" "&amp;L1159&amp;" "&amp;M1159&amp;" "&amp;N1159</f>
        <v>Closing Luau BILAC   </v>
      </c>
      <c r="G1159" t="s">
        <f>TEXT(D1159,"mmm dd")</f>
        <v>1417</v>
      </c>
      <c r="I1159" t="inlineStr">
        <is>
          <t>Closing</t>
        </is>
      </c>
      <c r="J1159" t="s">
        <v>739</v>
      </c>
      <c r="K1159" t="s">
        <v>1640</v>
      </c>
    </row>
    <row r="1160" spans="1:23">
      <c r="A1160">
        <v>8</v>
      </c>
      <c r="B1160">
        <v>11</v>
      </c>
      <c r="C1160">
        <v>2010</v>
      </c>
      <c r="D1160" s="3" t="str">
        <f>B1160&amp;"/"&amp;A1160&amp;"/"&amp;C1160</f>
        <v>11/8/2010</v>
      </c>
      <c r="E1160">
        <v>0.4375</v>
      </c>
      <c r="F1160" t="str">
        <f>I1160&amp;" "&amp;J1160&amp;" "&amp;K1160&amp;" "&amp;L1160&amp;" "&amp;M1160&amp;" "&amp;N1160</f>
        <v>flight leaves for New Mexico </v>
      </c>
      <c r="G1160" t="s">
        <f>TEXT(D1160,"mmm dd")</f>
        <v>36</v>
      </c>
      <c r="I1160" t="s">
        <v>1646</v>
      </c>
      <c r="J1160" t="s">
        <v>1322</v>
      </c>
      <c r="K1160" t="s">
        <v>439</v>
      </c>
      <c r="L1160" t="s">
        <v>164</v>
      </c>
      <c r="M1160" t="s">
        <v>1647</v>
      </c>
    </row>
    <row r="1161" spans="1:23">
      <c r="A1161">
        <v>9</v>
      </c>
      <c r="B1161">
        <v>11</v>
      </c>
      <c r="C1161">
        <v>2010</v>
      </c>
      <c r="D1161" s="3" t="str">
        <f>B1161&amp;"/"&amp;A1161&amp;"/"&amp;C1161</f>
        <v>11/9/2010</v>
      </c>
      <c r="E1161" t="s">
        <v>42</v>
      </c>
      <c r="F1161" t="str">
        <f>I1161&amp;" "&amp;J1161&amp;" "&amp;K1161&amp;" "&amp;L1161&amp;" "&amp;M1161&amp;" "&amp;N1161</f>
        <v>Clericus @  Gyotaku  </v>
      </c>
      <c r="G1161" t="s">
        <f>TEXT(D1161,"mmm dd")</f>
        <v>1421</v>
      </c>
      <c r="I1161" t="s">
        <v>1409</v>
      </c>
      <c r="J1161" t="s">
        <v>48</v>
      </c>
      <c r="L1161" t="inlineStr">
        <is>
          <t>Gyotaku</t>
        </is>
      </c>
    </row>
    <row r="1162" spans="1:23">
      <c r="A1162">
        <v>10</v>
      </c>
      <c r="B1162">
        <v>11</v>
      </c>
      <c r="C1162">
        <v>2010</v>
      </c>
      <c r="D1162" s="3" t="str">
        <f>B1162&amp;"/"&amp;A1162&amp;"/"&amp;C1162</f>
        <v>11/10/2010</v>
      </c>
      <c r="E1162">
        <v>0.29166666666666669</v>
      </c>
      <c r="F1162" t="str">
        <f>I1162&amp;" "&amp;J1162&amp;" "&amp;K1162&amp;" "&amp;L1162&amp;" "&amp;M1162&amp;" "&amp;N1162</f>
        <v>Property Committee (R)   </v>
      </c>
      <c r="G1162" t="s">
        <f>TEXT(D1162,"mmm dd")</f>
        <v>983</v>
      </c>
      <c r="I1162" t="s">
        <v>587</v>
      </c>
      <c r="J1162" t="s">
        <v>1081</v>
      </c>
      <c r="K1162" t="s">
        <v>1314</v>
      </c>
    </row>
    <row r="1163" spans="1:23">
      <c r="A1163">
        <v>11</v>
      </c>
      <c r="B1163">
        <v>11</v>
      </c>
      <c r="C1163">
        <v>2010</v>
      </c>
      <c r="D1163" s="3" t="s">
        <f>B1163&amp;"/"&amp;A1163&amp;"/"&amp;C1163</f>
        <v>1648</v>
      </c>
      <c r="E1163" t="s">
        <v>42</v>
      </c>
      <c r="F1163" t="str">
        <f>I1163&amp;" "&amp;J1163&amp;" "&amp;K1163&amp;" "&amp;L1163&amp;" "&amp;M1163&amp;" "&amp;N1163</f>
        <v>Veteran's Day    </v>
      </c>
      <c r="G1163" t="s">
        <f>TEXT(D1163,"mmm dd")</f>
        <v>986</v>
      </c>
      <c r="I1163" t="inlineStr">
        <is>
          <t>Veteran's</t>
        </is>
      </c>
      <c r="J1163" t="s">
        <v>10</v>
      </c>
    </row>
    <row r="1164" spans="1:23">
      <c r="A1164">
        <v>11</v>
      </c>
      <c r="B1164">
        <v>11</v>
      </c>
      <c r="C1164">
        <v>2010</v>
      </c>
      <c r="D1164" s="3" t="s">
        <f>B1164&amp;"/"&amp;A1164&amp;"/"&amp;C1164</f>
        <v>1648</v>
      </c>
      <c r="E1164">
        <v>0.375</v>
      </c>
      <c r="F1164" t="str">
        <f>I1164&amp;" "&amp;J1164&amp;" "&amp;K1164&amp;" "&amp;L1164&amp;" "&amp;M1164&amp;" "&amp;N1164</f>
        <v>Lydia leaves for Florida  </v>
      </c>
      <c r="G1164" t="s">
        <f>TEXT(D1164,"mmm dd")</f>
        <v>986</v>
      </c>
      <c r="I1164" t="s">
        <v>772</v>
      </c>
      <c r="J1164" t="s">
        <v>1322</v>
      </c>
      <c r="K1164" t="s">
        <v>439</v>
      </c>
      <c r="L1164" t="s">
        <v>1649</v>
      </c>
    </row>
    <row r="1165" spans="1:23">
      <c r="A1165">
        <v>12</v>
      </c>
      <c r="B1165">
        <v>11</v>
      </c>
      <c r="C1165">
        <v>2010</v>
      </c>
      <c r="D1165" s="3" t="str">
        <f>B1165&amp;"/"&amp;A1165&amp;"/"&amp;C1165</f>
        <v>11/12/2010</v>
      </c>
      <c r="E1165">
        <v>0.85416666666666663</v>
      </c>
      <c r="F1165" t="str">
        <f>I1165&amp;" "&amp;J1165&amp;" "&amp;K1165&amp;" "&amp;L1165&amp;" "&amp;M1165&amp;" "&amp;N1165</f>
        <v>Breakfast w  Bp  </v>
      </c>
      <c r="G1165" t="s">
        <f>TEXT(D1165,"mmm dd")</f>
        <v>993</v>
      </c>
      <c r="I1165" t="s">
        <v>1650</v>
      </c>
      <c r="J1165" t="s">
        <v>591</v>
      </c>
      <c r="L1165" t="s">
        <v>1349</v>
      </c>
    </row>
    <row r="1166" spans="1:23">
      <c r="A1166">
        <v>13</v>
      </c>
      <c r="B1166">
        <v>11</v>
      </c>
      <c r="C1166">
        <v>2010</v>
      </c>
      <c r="D1166" s="3" t="s">
        <f>B1166&amp;"/"&amp;A1166&amp;"/"&amp;C1166</f>
        <v>1651</v>
      </c>
      <c r="E1166">
        <v>0.85416666666666663</v>
      </c>
      <c r="F1166" t="str">
        <f>I1166&amp;" "&amp;J1166&amp;" "&amp;K1166&amp;" "&amp;L1166&amp;" "&amp;M1166&amp;" "&amp;N1166</f>
        <v>flight leaves New Mexico  </v>
      </c>
      <c r="G1166" t="s">
        <f>TEXT(D1166,"mmm dd")</f>
        <v>37</v>
      </c>
      <c r="I1166" t="s">
        <v>1646</v>
      </c>
      <c r="J1166" t="s">
        <v>1322</v>
      </c>
      <c r="K1166" t="s">
        <v>164</v>
      </c>
      <c r="L1166" t="s">
        <v>1647</v>
      </c>
    </row>
    <row r="1167" spans="1:23">
      <c r="A1167">
        <v>13</v>
      </c>
      <c r="B1167">
        <v>11</v>
      </c>
      <c r="C1167">
        <v>2010</v>
      </c>
      <c r="D1167" s="3" t="s">
        <f>B1167&amp;"/"&amp;A1167&amp;"/"&amp;C1167</f>
        <v>1651</v>
      </c>
      <c r="E1167">
        <v>0.35416666666666669</v>
      </c>
      <c r="F1167" t="str">
        <f>I1167&amp;" "&amp;J1167&amp;" "&amp;K1167&amp;" "&amp;L1167&amp;" "&amp;M1167&amp;" "&amp;N1167</f>
        <v>Emma to Mokule'ia   </v>
      </c>
      <c r="G1167" t="s">
        <f>TEXT(D1167,"mmm dd")</f>
        <v>37</v>
      </c>
      <c r="I1167" t="s">
        <v>170</v>
      </c>
      <c r="J1167" t="s">
        <v>449</v>
      </c>
      <c r="K1167" t="s">
        <v>1652</v>
      </c>
    </row>
    <row r="1168" spans="1:23">
      <c r="A1168">
        <v>13</v>
      </c>
      <c r="B1168">
        <v>11</v>
      </c>
      <c r="C1168">
        <v>2010</v>
      </c>
      <c r="D1168" s="3" t="s">
        <f>B1168&amp;"/"&amp;A1168&amp;"/"&amp;C1168</f>
        <v>1651</v>
      </c>
      <c r="E1168">
        <v>0.91666666666666663</v>
      </c>
      <c r="F1168" t="str">
        <f>I1168&amp;" "&amp;J1168&amp;" "&amp;K1168&amp;" "&amp;L1168&amp;" "&amp;M1168&amp;" "&amp;N1168</f>
        <v>Shoebox Ministry    </v>
      </c>
      <c r="G1168" t="s">
        <f>TEXT(D1168,"mmm dd")</f>
        <v>37</v>
      </c>
      <c r="I1168" t="s">
        <v>1015</v>
      </c>
      <c r="J1168" t="s">
        <v>943</v>
      </c>
    </row>
    <row r="1169" spans="1:23">
      <c r="A1169">
        <v>14</v>
      </c>
      <c r="B1169">
        <v>11</v>
      </c>
      <c r="C1169">
        <v>2010</v>
      </c>
      <c r="D1169" s="3" t="str">
        <f>B1169&amp;"/"&amp;A1169&amp;"/"&amp;C1169</f>
        <v>11/14/2010</v>
      </c>
      <c r="E1169">
        <v>0.22916666666666666</v>
      </c>
      <c r="F1169" t="str">
        <f>I1169&amp;" "&amp;J1169&amp;" "&amp;K1169&amp;" "&amp;L1169&amp;" "&amp;M1169&amp;" "&amp;N1169</f>
        <v>Return from New Mexico  </v>
      </c>
      <c r="G1169" t="s">
        <f>TEXT(D1169,"mmm dd")</f>
        <v>1007</v>
      </c>
      <c r="I1169" t="s">
        <v>548</v>
      </c>
      <c r="J1169" t="s">
        <v>874</v>
      </c>
      <c r="K1169" t="s">
        <v>164</v>
      </c>
      <c r="L1169" t="s">
        <v>1647</v>
      </c>
    </row>
    <row r="1170" spans="1:23">
      <c r="A1170">
        <v>15</v>
      </c>
      <c r="B1170">
        <v>11</v>
      </c>
      <c r="C1170">
        <v>2010</v>
      </c>
      <c r="D1170" s="3" t="str">
        <f>B1170&amp;"/"&amp;A1170&amp;"/"&amp;C1170</f>
        <v>11/15/2010</v>
      </c>
      <c r="E1170">
        <v>0.16666666666666666</v>
      </c>
      <c r="F1170" t="str">
        <f>I1170&amp;" "&amp;J1170&amp;" "&amp;K1170&amp;" "&amp;L1170&amp;" "&amp;M1170&amp;" "&amp;N1170</f>
        <v>Emma return from Mokule'ia  </v>
      </c>
      <c r="G1170" t="s">
        <f>TEXT(D1170,"mmm dd")</f>
        <v>1012</v>
      </c>
      <c r="I1170" t="s">
        <v>170</v>
      </c>
      <c r="J1170" t="inlineStr">
        <is>
          <t>return</t>
        </is>
      </c>
      <c r="K1170" t="s">
        <v>874</v>
      </c>
      <c r="L1170" t="s">
        <v>1652</v>
      </c>
    </row>
    <row r="1171" spans="1:23">
      <c r="A1171">
        <v>16</v>
      </c>
      <c r="B1171">
        <v>11</v>
      </c>
      <c r="C1171">
        <v>2010</v>
      </c>
      <c r="D1171" s="3" t="s">
        <f>B1171&amp;"/"&amp;A1171&amp;"/"&amp;C1171</f>
        <v>1653</v>
      </c>
      <c r="E1171">
        <v>0.88541666666666663</v>
      </c>
      <c r="F1171" t="str">
        <f>I1171&amp;" "&amp;J1171&amp;" "&amp;K1171&amp;" "&amp;L1171&amp;" "&amp;M1171&amp;" "&amp;N1171</f>
        <v>Dr. Chong fasting blood  </v>
      </c>
      <c r="G1171" t="s">
        <f>TEXT(D1171,"mmm dd")</f>
        <v>1654</v>
      </c>
      <c r="I1171" t="s">
        <v>847</v>
      </c>
      <c r="J1171" t="s">
        <v>770</v>
      </c>
      <c r="K1171" t="s">
        <v>767</v>
      </c>
      <c r="L1171" t="s">
        <v>1655</v>
      </c>
    </row>
    <row r="1172" spans="1:23">
      <c r="A1172">
        <v>16</v>
      </c>
      <c r="B1172">
        <v>11</v>
      </c>
      <c r="C1172">
        <v>2010</v>
      </c>
      <c r="D1172" s="3" t="s">
        <f>B1172&amp;"/"&amp;A1172&amp;"/"&amp;C1172</f>
        <v>1653</v>
      </c>
      <c r="E1172">
        <v>0.22916666666666666</v>
      </c>
      <c r="F1172" t="str">
        <f>I1172&amp;" "&amp;J1172&amp;" "&amp;K1172&amp;" "&amp;L1172&amp;" "&amp;M1172&amp;" "&amp;N1172</f>
        <v>Rae Costa    </v>
      </c>
      <c r="G1172" t="s">
        <f>TEXT(D1172,"mmm dd")</f>
        <v>1654</v>
      </c>
      <c r="I1172" t="inlineStr">
        <is>
          <t>Rae</t>
        </is>
      </c>
      <c r="J1172" t="s">
        <v>1637</v>
      </c>
    </row>
    <row r="1173" spans="1:23">
      <c r="A1173">
        <v>17</v>
      </c>
      <c r="B1173">
        <v>11</v>
      </c>
      <c r="C1173">
        <v>2010</v>
      </c>
      <c r="D1173" s="3" t="str">
        <f>B1173&amp;"/"&amp;A1173&amp;"/"&amp;C1173</f>
        <v>11/17/2010</v>
      </c>
      <c r="E1173">
        <v>0.20833333333333334</v>
      </c>
      <c r="F1173" t="str">
        <f>I1173&amp;" "&amp;J1173&amp;" "&amp;K1173&amp;" "&amp;L1173&amp;" "&amp;M1173&amp;" "&amp;N1173</f>
        <v>Chuukese women    </v>
      </c>
      <c r="G1173" t="s">
        <f>TEXT(D1173,"mmm dd")</f>
        <v>1019</v>
      </c>
      <c r="I1173" t="s">
        <v>1567</v>
      </c>
      <c r="J1173" t="inlineStr">
        <is>
          <t>women</t>
        </is>
      </c>
    </row>
    <row r="1174" spans="1:23">
      <c r="A1174">
        <v>18</v>
      </c>
      <c r="B1174">
        <v>11</v>
      </c>
      <c r="C1174">
        <v>2010</v>
      </c>
      <c r="D1174" s="3" t="s">
        <f>B1174&amp;"/"&amp;A1174&amp;"/"&amp;C1174</f>
        <v>1656</v>
      </c>
      <c r="E1174">
        <v>0.875</v>
      </c>
      <c r="F1174" t="s">
        <f>I1174&amp;" "&amp;J1174&amp;" "&amp;K1174&amp;" "&amp;L1174&amp;" "&amp;M1174&amp;" "&amp;N1174</f>
        <v>1584</v>
      </c>
      <c r="G1174" t="s">
        <f>TEXT(D1174,"mmm dd")</f>
        <v>1024</v>
      </c>
      <c r="I1174" t="s">
        <v>291</v>
      </c>
      <c r="J1174" t="s">
        <v>1195</v>
      </c>
    </row>
    <row r="1175" spans="1:23">
      <c r="A1175">
        <v>18</v>
      </c>
      <c r="B1175">
        <v>11</v>
      </c>
      <c r="C1175">
        <v>2010</v>
      </c>
      <c r="D1175" s="3" t="s">
        <f>B1175&amp;"/"&amp;A1175&amp;"/"&amp;C1175</f>
        <v>1656</v>
      </c>
      <c r="E1175" t="s">
        <v>42</v>
      </c>
      <c r="F1175" t="s">
        <f>I1175&amp;" "&amp;J1175&amp;" "&amp;K1175&amp;" "&amp;L1175&amp;" "&amp;M1175&amp;" "&amp;N1175</f>
        <v>155</v>
      </c>
      <c r="G1175" t="s">
        <f>TEXT(D1175,"mmm dd")</f>
        <v>1024</v>
      </c>
      <c r="I1175" t="s">
        <v>156</v>
      </c>
      <c r="J1175" t="s">
        <v>157</v>
      </c>
    </row>
    <row r="1176" spans="1:23">
      <c r="A1176">
        <v>19</v>
      </c>
      <c r="B1176">
        <v>11</v>
      </c>
      <c r="C1176">
        <v>2010</v>
      </c>
      <c r="D1176" s="3" t="str">
        <f>B1176&amp;"/"&amp;A1176&amp;"/"&amp;C1176</f>
        <v>11/19/2010</v>
      </c>
      <c r="E1176">
        <v>0.91666666666666663</v>
      </c>
      <c r="F1176" t="str">
        <f>I1176&amp;" "&amp;J1176&amp;" "&amp;K1176&amp;" "&amp;L1176&amp;" "&amp;M1176&amp;" "&amp;N1176</f>
        <v>Meet with  Bishop  </v>
      </c>
      <c r="G1176" t="s">
        <f>TEXT(D1176,"mmm dd")</f>
        <v>1426</v>
      </c>
      <c r="I1176" t="s">
        <v>300</v>
      </c>
      <c r="J1176" t="s">
        <v>755</v>
      </c>
      <c r="L1176" t="s">
        <v>85</v>
      </c>
    </row>
    <row r="1177" spans="1:23">
      <c r="A1177">
        <v>22</v>
      </c>
      <c r="B1177">
        <v>11</v>
      </c>
      <c r="C1177">
        <v>2010</v>
      </c>
      <c r="D1177" s="3" t="str">
        <f>B1177&amp;"/"&amp;A1177&amp;"/"&amp;C1177</f>
        <v>11/22/2010</v>
      </c>
      <c r="E1177">
        <v>0.27083333333333331</v>
      </c>
      <c r="F1177" t="s">
        <f>I1177&amp;" "&amp;J1177&amp;" "&amp;K1177&amp;" "&amp;L1177&amp;" "&amp;M1177&amp;" "&amp;N1177</f>
        <v>1569</v>
      </c>
      <c r="G1177" t="s">
        <f>TEXT(D1177,"mmm dd")</f>
        <v>1428</v>
      </c>
      <c r="I1177" t="s">
        <v>1543</v>
      </c>
    </row>
    <row r="1178" spans="1:23">
      <c r="A1178">
        <v>23</v>
      </c>
      <c r="B1178">
        <v>11</v>
      </c>
      <c r="C1178">
        <v>2010</v>
      </c>
      <c r="D1178" s="3" t="str">
        <f>B1178&amp;"/"&amp;A1178&amp;"/"&amp;C1178</f>
        <v>11/23/2010</v>
      </c>
      <c r="E1178">
        <v>0.13541666666666666</v>
      </c>
      <c r="F1178" t="str">
        <f>I1178&amp;" "&amp;J1178&amp;" "&amp;K1178&amp;" "&amp;L1178&amp;" "&amp;M1178&amp;" "&amp;N1178</f>
        <v>Dr. Yamada #601   </v>
      </c>
      <c r="G1178" t="s">
        <f>TEXT(D1178,"mmm dd")</f>
        <v>1035</v>
      </c>
      <c r="I1178" t="s">
        <v>847</v>
      </c>
      <c r="J1178" t="s">
        <v>1657</v>
      </c>
      <c r="K1178" t="inlineStr">
        <is>
          <t>#601</t>
        </is>
      </c>
    </row>
    <row r="1179" spans="1:23">
      <c r="A1179">
        <v>24</v>
      </c>
      <c r="B1179">
        <v>11</v>
      </c>
      <c r="C1179">
        <v>2010</v>
      </c>
      <c r="D1179" s="3" t="str">
        <f>B1179&amp;"/"&amp;A1179&amp;"/"&amp;C1179</f>
        <v>11/24/2010</v>
      </c>
      <c r="E1179">
        <v>0.91666666666666663</v>
      </c>
      <c r="F1179" t="str">
        <f>I1179&amp;" "&amp;J1179&amp;" "&amp;K1179&amp;" "&amp;L1179&amp;" "&amp;M1179&amp;" "&amp;N1179</f>
        <v>Meet Bp etc.   </v>
      </c>
      <c r="G1179" t="s">
        <f>TEXT(D1179,"mmm dd")</f>
        <v>1039</v>
      </c>
      <c r="I1179" t="s">
        <v>300</v>
      </c>
      <c r="J1179" t="s">
        <v>1349</v>
      </c>
      <c r="K1179" t="s">
        <v>1658</v>
      </c>
    </row>
    <row r="1180" spans="1:23">
      <c r="A1180">
        <v>25</v>
      </c>
      <c r="B1180">
        <v>11</v>
      </c>
      <c r="C1180">
        <v>2010</v>
      </c>
      <c r="D1180" s="3" t="s">
        <f>B1180&amp;"/"&amp;A1180&amp;"/"&amp;C1180</f>
        <v>1659</v>
      </c>
      <c r="E1180">
        <v>1</v>
      </c>
      <c r="F1180" t="str">
        <f>I1180&amp;" "&amp;J1180&amp;" "&amp;K1180&amp;" "&amp;L1180&amp;" "&amp;M1180&amp;" "&amp;N1180</f>
        <v>Parish dinner    </v>
      </c>
      <c r="G1180" t="s">
        <f>TEXT(D1180,"mmm dd")</f>
        <v>1433</v>
      </c>
      <c r="I1180" t="s">
        <v>1587</v>
      </c>
      <c r="J1180" t="s">
        <v>517</v>
      </c>
    </row>
    <row r="1181" spans="1:23">
      <c r="A1181">
        <v>25</v>
      </c>
      <c r="B1181">
        <v>11</v>
      </c>
      <c r="C1181">
        <v>2010</v>
      </c>
      <c r="D1181" s="3" t="s">
        <f>B1181&amp;"/"&amp;A1181&amp;"/"&amp;C1181</f>
        <v>1659</v>
      </c>
      <c r="E1181">
        <v>0.95833333333333337</v>
      </c>
      <c r="F1181" t="str">
        <f>I1181&amp;" "&amp;J1181&amp;" "&amp;K1181&amp;" "&amp;L1181&amp;" "&amp;M1181&amp;" "&amp;N1181</f>
        <v>Thanksgiving     </v>
      </c>
      <c r="G1181" t="s">
        <f>TEXT(D1181,"mmm dd")</f>
        <v>1433</v>
      </c>
      <c r="I1181" t="s">
        <v>1660</v>
      </c>
    </row>
    <row r="1182" spans="1:23">
      <c r="A1182">
        <v>26</v>
      </c>
      <c r="B1182">
        <v>11</v>
      </c>
      <c r="C1182">
        <v>2010</v>
      </c>
      <c r="D1182" s="3" t="str">
        <f>B1182&amp;"/"&amp;A1182&amp;"/"&amp;C1182</f>
        <v>11/26/2010</v>
      </c>
      <c r="E1182" t="s">
        <v>42</v>
      </c>
      <c r="F1182" t="str">
        <f>I1182&amp;" "&amp;J1182&amp;" "&amp;K1182&amp;" "&amp;L1182&amp;" "&amp;M1182&amp;" "&amp;N1182</f>
        <v>Tenting of Church   </v>
      </c>
      <c r="G1182" t="s">
        <f>TEXT(D1182,"mmm dd")</f>
        <v>1661</v>
      </c>
      <c r="I1182" t="inlineStr">
        <is>
          <t>Tenting</t>
        </is>
      </c>
      <c r="J1182" t="s">
        <v>86</v>
      </c>
      <c r="K1182" t="s">
        <v>964</v>
      </c>
    </row>
    <row r="1183" spans="1:23">
      <c r="A1183">
        <v>2</v>
      </c>
      <c r="B1183">
        <v>12</v>
      </c>
      <c r="C1183">
        <v>2010</v>
      </c>
      <c r="D1183" s="3" t="str">
        <f>B1183&amp;"/"&amp;A1183&amp;"/"&amp;C1183</f>
        <v>12/2/2010</v>
      </c>
      <c r="E1183">
        <v>0.14583333333333334</v>
      </c>
      <c r="F1183" t="str">
        <f>I1183&amp;" "&amp;J1183&amp;" "&amp;K1183&amp;" "&amp;L1183&amp;" "&amp;M1183&amp;" "&amp;N1183</f>
        <v>Dr. Yamada consult   </v>
      </c>
      <c r="G1183" t="s">
        <f>TEXT(D1183,"mmm dd")</f>
        <v>1438</v>
      </c>
      <c r="I1183" t="s">
        <v>847</v>
      </c>
      <c r="J1183" t="s">
        <v>1657</v>
      </c>
      <c r="K1183" t="inlineStr">
        <is>
          <t>consult</t>
        </is>
      </c>
    </row>
    <row r="1184" spans="1:23">
      <c r="A1184">
        <v>3</v>
      </c>
      <c r="B1184">
        <v>12</v>
      </c>
      <c r="C1184">
        <v>2010</v>
      </c>
      <c r="D1184" s="3" t="str">
        <f>B1184&amp;"/"&amp;A1184&amp;"/"&amp;C1184</f>
        <v>12/3/2010</v>
      </c>
      <c r="E1184">
        <v>0.25</v>
      </c>
      <c r="F1184" t="str">
        <f>I1184&amp;" "&amp;J1184&amp;" "&amp;K1184&amp;" "&amp;L1184&amp;" "&amp;M1184&amp;" "&amp;N1184</f>
        <v>Stewardship meeting    </v>
      </c>
      <c r="G1184" t="s">
        <f>TEXT(D1184,"mmm dd")</f>
        <v>1662</v>
      </c>
      <c r="I1184" t="s">
        <v>907</v>
      </c>
      <c r="J1184" t="s">
        <v>842</v>
      </c>
    </row>
    <row r="1185" spans="1:23">
      <c r="A1185">
        <v>4</v>
      </c>
      <c r="B1185">
        <v>12</v>
      </c>
      <c r="C1185">
        <v>2010</v>
      </c>
      <c r="D1185" s="3" t="str">
        <f>B1185&amp;"/"&amp;A1185&amp;"/"&amp;C1185</f>
        <v>12/4/2010</v>
      </c>
      <c r="E1185">
        <v>0.875</v>
      </c>
      <c r="F1185" t="str">
        <f>I1185&amp;" "&amp;J1185&amp;" "&amp;K1185&amp;" "&amp;L1185&amp;" "&amp;M1185&amp;" "&amp;N1185</f>
        <v>Work Paint Day   </v>
      </c>
      <c r="G1185" t="s">
        <f>TEXT(D1185,"mmm dd")</f>
        <v>1057</v>
      </c>
      <c r="I1185" t="s">
        <v>1663</v>
      </c>
      <c r="J1185" t="inlineStr">
        <is>
          <t>Paint</t>
        </is>
      </c>
      <c r="K1185" t="s">
        <v>10</v>
      </c>
    </row>
    <row r="1186" spans="1:23">
      <c r="A1186">
        <v>6</v>
      </c>
      <c r="B1186">
        <v>12</v>
      </c>
      <c r="C1186">
        <v>2010</v>
      </c>
      <c r="D1186" s="3" t="str">
        <f>B1186&amp;"/"&amp;A1186&amp;"/"&amp;C1186</f>
        <v>12/6/2010</v>
      </c>
      <c r="E1186">
        <v>1.0208333333333333</v>
      </c>
      <c r="F1186" t="str">
        <f>I1186&amp;" "&amp;J1186&amp;" "&amp;K1186&amp;" "&amp;L1186&amp;" "&amp;M1186&amp;" "&amp;N1186</f>
        <v>MP for lunch   </v>
      </c>
      <c r="G1186" t="s">
        <f>TEXT(D1186,"mmm dd")</f>
        <v>1445</v>
      </c>
      <c r="I1186" t="s">
        <v>1664</v>
      </c>
      <c r="J1186" t="s">
        <v>439</v>
      </c>
      <c r="K1186" t="s">
        <v>440</v>
      </c>
    </row>
    <row r="1187" spans="1:23">
      <c r="A1187">
        <v>7</v>
      </c>
      <c r="B1187">
        <v>12</v>
      </c>
      <c r="C1187">
        <v>2010</v>
      </c>
      <c r="D1187" s="3" t="str">
        <f>B1187&amp;"/"&amp;A1187&amp;"/"&amp;C1187</f>
        <v>12/7/2010</v>
      </c>
      <c r="E1187">
        <v>0.25</v>
      </c>
      <c r="F1187" t="s">
        <f>I1187&amp;" "&amp;J1187&amp;" "&amp;K1187&amp;" "&amp;L1187&amp;" "&amp;M1187&amp;" "&amp;N1187</f>
        <v>1307</v>
      </c>
      <c r="G1187" t="s">
        <f>TEXT(D1187,"mmm dd")</f>
        <v>1447</v>
      </c>
      <c r="I1187" t="s">
        <v>674</v>
      </c>
      <c r="J1187" t="s">
        <v>675</v>
      </c>
    </row>
    <row r="1188" spans="1:23">
      <c r="A1188">
        <v>9</v>
      </c>
      <c r="B1188">
        <v>12</v>
      </c>
      <c r="C1188">
        <v>2010</v>
      </c>
      <c r="D1188" s="3" t="str">
        <f>B1188&amp;"/"&amp;A1188&amp;"/"&amp;C1188</f>
        <v>12/9/2010</v>
      </c>
      <c r="E1188">
        <v>0.89583333333333337</v>
      </c>
      <c r="F1188" t="s">
        <f>I1188&amp;" "&amp;J1188&amp;" "&amp;K1188&amp;" "&amp;L1188&amp;" "&amp;M1188&amp;" "&amp;N1188</f>
        <v>1584</v>
      </c>
      <c r="G1188" t="s">
        <f>TEXT(D1188,"mmm dd")</f>
        <v>1064</v>
      </c>
      <c r="I1188" t="s">
        <v>291</v>
      </c>
      <c r="J1188" t="s">
        <v>1195</v>
      </c>
    </row>
    <row r="1189" spans="1:23">
      <c r="A1189">
        <v>11</v>
      </c>
      <c r="B1189">
        <v>12</v>
      </c>
      <c r="C1189">
        <v>2010</v>
      </c>
      <c r="D1189" s="3" t="str">
        <f>B1189&amp;"/"&amp;A1189&amp;"/"&amp;C1189</f>
        <v>12/11/2010</v>
      </c>
      <c r="E1189">
        <v>0.29166666666666669</v>
      </c>
      <c r="F1189" t="s">
        <f>I1189&amp;" "&amp;J1189&amp;" "&amp;K1189&amp;" "&amp;L1189&amp;" "&amp;M1189&amp;" "&amp;N1189</f>
        <v>1440</v>
      </c>
      <c r="G1189" t="s">
        <f>TEXT(D1189,"mmm dd")</f>
        <v>1455</v>
      </c>
      <c r="I1189" t="s">
        <v>695</v>
      </c>
      <c r="J1189" t="s">
        <v>751</v>
      </c>
      <c r="K1189" t="s">
        <v>1229</v>
      </c>
    </row>
    <row r="1190" spans="1:23">
      <c r="A1190">
        <v>12</v>
      </c>
      <c r="B1190">
        <v>12</v>
      </c>
      <c r="C1190">
        <v>2010</v>
      </c>
      <c r="D1190" s="3" t="str">
        <f>B1190&amp;"/"&amp;A1190&amp;"/"&amp;C1190</f>
        <v>12/12/2010</v>
      </c>
      <c r="E1190">
        <v>0.16666666666666666</v>
      </c>
      <c r="F1190" t="s">
        <f>I1190&amp;" "&amp;J1190&amp;" "&amp;K1190&amp;" "&amp;L1190&amp;" "&amp;M1190&amp;" "&amp;N1190</f>
        <v>1456</v>
      </c>
      <c r="G1190" t="s">
        <f>TEXT(D1190,"mmm dd")</f>
        <v>1067</v>
      </c>
      <c r="I1190" t="s">
        <v>1068</v>
      </c>
      <c r="J1190" t="s">
        <v>1457</v>
      </c>
    </row>
    <row r="1191" spans="1:23">
      <c r="A1191">
        <v>15</v>
      </c>
      <c r="B1191">
        <v>12</v>
      </c>
      <c r="C1191">
        <v>2010</v>
      </c>
      <c r="D1191" s="3" t="s">
        <f>B1191&amp;"/"&amp;A1191&amp;"/"&amp;C1191</f>
        <v>1665</v>
      </c>
      <c r="E1191">
        <v>1.0208333333333333</v>
      </c>
      <c r="F1191" t="str">
        <f>I1191&amp;" "&amp;J1191&amp;" "&amp;K1191&amp;" "&amp;L1191&amp;" "&amp;M1191&amp;" "&amp;N1191</f>
        <v>Bishop re SC   </v>
      </c>
      <c r="G1191" t="s">
        <f>TEXT(D1191,"mmm dd")</f>
        <v>1088</v>
      </c>
      <c r="I1191" t="s">
        <v>85</v>
      </c>
      <c r="J1191" t="s">
        <v>594</v>
      </c>
      <c r="K1191" t="s">
        <v>1301</v>
      </c>
    </row>
    <row r="1192" spans="1:23">
      <c r="A1192">
        <v>15</v>
      </c>
      <c r="B1192">
        <v>12</v>
      </c>
      <c r="C1192">
        <v>2010</v>
      </c>
      <c r="D1192" s="3" t="s">
        <f>B1192&amp;"/"&amp;A1192&amp;"/"&amp;C1192</f>
        <v>1665</v>
      </c>
      <c r="E1192">
        <v>0.29166666666666669</v>
      </c>
      <c r="F1192" t="s">
        <f>I1192&amp;" "&amp;J1192&amp;" "&amp;K1192&amp;" "&amp;L1192&amp;" "&amp;M1192&amp;" "&amp;N1192</f>
        <v>1584</v>
      </c>
      <c r="G1192" t="s">
        <f>TEXT(D1192,"mmm dd")</f>
        <v>1088</v>
      </c>
      <c r="I1192" t="s">
        <v>291</v>
      </c>
      <c r="J1192" t="s">
        <v>1195</v>
      </c>
    </row>
    <row r="1193" spans="1:23">
      <c r="A1193">
        <v>16</v>
      </c>
      <c r="B1193">
        <v>12</v>
      </c>
      <c r="C1193">
        <v>2010</v>
      </c>
      <c r="D1193" s="3" t="str">
        <f>B1193&amp;"/"&amp;A1193&amp;"/"&amp;C1193</f>
        <v>12/16/2010</v>
      </c>
      <c r="E1193" t="s">
        <v>42</v>
      </c>
      <c r="F1193" t="str">
        <f>I1193&amp;" "&amp;J1193&amp;" "&amp;K1193&amp;" "&amp;L1193&amp;" "&amp;M1193&amp;" "&amp;N1193</f>
        <v>Charlene Vacation    </v>
      </c>
      <c r="G1193" t="s">
        <f>TEXT(D1193,"mmm dd")</f>
        <v>1093</v>
      </c>
      <c r="I1193" t="s">
        <v>456</v>
      </c>
      <c r="J1193" t="s">
        <v>1666</v>
      </c>
    </row>
    <row r="1194" spans="1:23">
      <c r="A1194">
        <v>17</v>
      </c>
      <c r="B1194">
        <v>12</v>
      </c>
      <c r="C1194">
        <v>2010</v>
      </c>
      <c r="D1194" s="3" t="s">
        <f>B1194&amp;"/"&amp;A1194&amp;"/"&amp;C1194</f>
        <v>1667</v>
      </c>
      <c r="E1194">
        <v>1.0416666666666667</v>
      </c>
      <c r="F1194" t="str">
        <f>I1194&amp;" "&amp;J1194&amp;" "&amp;K1194&amp;" "&amp;L1194&amp;" "&amp;M1194&amp;" "&amp;N1194</f>
        <v>Thelma's niece re bulletin  </v>
      </c>
      <c r="G1194" t="s">
        <f>TEXT(D1194,"mmm dd")</f>
        <v>1097</v>
      </c>
      <c r="I1194" t="inlineStr">
        <is>
          <t>Thelma's</t>
        </is>
      </c>
      <c r="J1194" t="inlineStr">
        <is>
          <t>niece</t>
        </is>
      </c>
      <c r="K1194" t="s">
        <v>594</v>
      </c>
      <c r="L1194" t="inlineStr">
        <is>
          <t>bulletin</t>
        </is>
      </c>
    </row>
    <row r="1195" spans="1:23">
      <c r="A1195">
        <v>17</v>
      </c>
      <c r="B1195">
        <v>12</v>
      </c>
      <c r="C1195">
        <v>2010</v>
      </c>
      <c r="D1195" s="3" t="s">
        <f>B1195&amp;"/"&amp;A1195&amp;"/"&amp;C1195</f>
        <v>1667</v>
      </c>
      <c r="E1195">
        <v>0.75</v>
      </c>
      <c r="F1195" t="str">
        <f>I1195&amp;" "&amp;J1195&amp;" "&amp;K1195&amp;" "&amp;L1195&amp;" "&amp;M1195&amp;" "&amp;N1195</f>
        <v>Nancy Yoshioka party   </v>
      </c>
      <c r="G1195" t="s">
        <f>TEXT(D1195,"mmm dd")</f>
        <v>1097</v>
      </c>
      <c r="I1195" t="s">
        <v>1668</v>
      </c>
      <c r="J1195" t="s">
        <v>1669</v>
      </c>
      <c r="K1195" t="s">
        <v>1346</v>
      </c>
    </row>
    <row r="1196" spans="1:23">
      <c r="A1196">
        <v>18</v>
      </c>
      <c r="B1196">
        <v>12</v>
      </c>
      <c r="C1196">
        <v>2010</v>
      </c>
      <c r="D1196" s="3" t="str">
        <f>B1196&amp;"/"&amp;A1196&amp;"/"&amp;C1196</f>
        <v>12/18/2010</v>
      </c>
      <c r="E1196">
        <v>1.0208333333333333</v>
      </c>
      <c r="F1196" t="str">
        <f>I1196&amp;" "&amp;J1196&amp;" "&amp;K1196&amp;" "&amp;L1196&amp;" "&amp;M1196&amp;" "&amp;N1196</f>
        <v>Meet with St.  Tim.? </v>
      </c>
      <c r="G1196" t="s">
        <f>TEXT(D1196,"mmm dd")</f>
        <v>1104</v>
      </c>
      <c r="I1196" t="s">
        <v>300</v>
      </c>
      <c r="J1196" t="s">
        <v>755</v>
      </c>
      <c r="K1196" t="s">
        <v>218</v>
      </c>
      <c r="M1196" t="inlineStr">
        <is>
          <t>Tim.?</t>
        </is>
      </c>
    </row>
    <row r="1197" spans="1:23">
      <c r="A1197">
        <v>21</v>
      </c>
      <c r="B1197">
        <v>12</v>
      </c>
      <c r="C1197">
        <v>2010</v>
      </c>
      <c r="D1197" s="3" t="str">
        <f>B1197&amp;"/"&amp;A1197&amp;"/"&amp;C1197</f>
        <v>12/21/2010</v>
      </c>
      <c r="E1197">
        <v>0.91666666666666663</v>
      </c>
      <c r="F1197" t="s">
        <f>I1197&amp;" "&amp;J1197&amp;" "&amp;K1197&amp;" "&amp;L1197&amp;" "&amp;M1197&amp;" "&amp;N1197</f>
        <v>1020</v>
      </c>
      <c r="G1197" t="s">
        <f>TEXT(D1197,"mmm dd")</f>
        <v>1127</v>
      </c>
      <c r="I1197" t="s">
        <v>1021</v>
      </c>
      <c r="J1197" t="s">
        <v>755</v>
      </c>
      <c r="K1197" t="s">
        <v>1003</v>
      </c>
    </row>
    <row r="1198" spans="1:23">
      <c r="A1198">
        <v>22</v>
      </c>
      <c r="B1198">
        <v>12</v>
      </c>
      <c r="C1198">
        <v>2010</v>
      </c>
      <c r="D1198" s="3" t="str">
        <f>B1198&amp;"/"&amp;A1198&amp;"/"&amp;C1198</f>
        <v>12/22/2010</v>
      </c>
      <c r="E1198">
        <v>0.9375</v>
      </c>
      <c r="F1198" t="str">
        <f>I1198&amp;" "&amp;J1198&amp;" "&amp;K1198&amp;" "&amp;L1198&amp;" "&amp;M1198&amp;" "&amp;N1198</f>
        <v>Thelma funeral    </v>
      </c>
      <c r="G1198" t="s">
        <f>TEXT(D1198,"mmm dd")</f>
        <v>1670</v>
      </c>
      <c r="I1198" t="s">
        <v>1419</v>
      </c>
      <c r="J1198" t="s">
        <v>1116</v>
      </c>
    </row>
    <row r="1199" spans="1:23">
      <c r="A1199">
        <v>25</v>
      </c>
      <c r="B1199">
        <v>12</v>
      </c>
      <c r="C1199">
        <v>2010</v>
      </c>
      <c r="D1199" s="3" t="s">
        <f>B1199&amp;"/"&amp;A1199&amp;"/"&amp;C1199</f>
        <v>1671</v>
      </c>
      <c r="E1199">
        <v>0.45833333333333331</v>
      </c>
      <c r="F1199" t="s">
        <f>I1199&amp;" "&amp;J1199&amp;" "&amp;K1199&amp;" "&amp;L1199&amp;" "&amp;M1199&amp;" "&amp;N1199</f>
        <v>1672</v>
      </c>
      <c r="G1199" t="s">
        <f>TEXT(D1199,"mmm dd")</f>
        <v>1468</v>
      </c>
      <c r="I1199" t="s">
        <v>1068</v>
      </c>
      <c r="J1199" t="s">
        <v>1273</v>
      </c>
    </row>
    <row r="1200" spans="1:23">
      <c r="A1200">
        <v>25</v>
      </c>
      <c r="B1200">
        <v>12</v>
      </c>
      <c r="C1200">
        <v>2010</v>
      </c>
      <c r="D1200" s="3" t="s">
        <f>B1200&amp;"/"&amp;A1200&amp;"/"&amp;C1200</f>
        <v>1671</v>
      </c>
      <c r="E1200">
        <v>0.95833333333333337</v>
      </c>
      <c r="F1200" t="s">
        <f>I1200&amp;" "&amp;J1200&amp;" "&amp;K1200&amp;" "&amp;L1200&amp;" "&amp;M1200&amp;" "&amp;N1200</f>
        <v>1672</v>
      </c>
      <c r="G1200" t="s">
        <f>TEXT(D1200,"mmm dd")</f>
        <v>1468</v>
      </c>
      <c r="I1200" t="s">
        <v>1068</v>
      </c>
      <c r="J1200" t="s">
        <v>1273</v>
      </c>
    </row>
    <row r="1201" spans="1:23">
      <c r="A1201">
        <v>28</v>
      </c>
      <c r="B1201">
        <v>12</v>
      </c>
      <c r="C1201">
        <v>2010</v>
      </c>
      <c r="D1201" s="3" t="s">
        <f>B1201&amp;"/"&amp;A1201&amp;"/"&amp;C1201</f>
        <v>1673</v>
      </c>
      <c r="E1201" t="s">
        <v>42</v>
      </c>
      <c r="F1201" t="s">
        <f>I1201&amp;" "&amp;J1201&amp;" "&amp;K1201&amp;" "&amp;L1201&amp;" "&amp;M1201&amp;" "&amp;N1201</f>
        <v>1674</v>
      </c>
      <c r="G1201" t="s">
        <f>TEXT(D1201,"mmm dd")</f>
        <v>1675</v>
      </c>
      <c r="I1201" t="s">
        <v>1369</v>
      </c>
      <c r="J1201" t="s">
        <v>319</v>
      </c>
    </row>
    <row r="1202" spans="1:23">
      <c r="A1202">
        <v>28</v>
      </c>
      <c r="B1202">
        <v>12</v>
      </c>
      <c r="C1202">
        <v>2010</v>
      </c>
      <c r="D1202" s="3" t="s">
        <f>B1202&amp;"/"&amp;A1202&amp;"/"&amp;C1202</f>
        <v>1673</v>
      </c>
      <c r="E1202">
        <v>0.9375</v>
      </c>
      <c r="F1202" t="str">
        <f>I1202&amp;" "&amp;J1202&amp;" "&amp;K1202&amp;" "&amp;L1202&amp;" "&amp;M1202&amp;" "&amp;N1202</f>
        <v>Pang interment    </v>
      </c>
      <c r="G1202" t="s">
        <f>TEXT(D1202,"mmm dd")</f>
        <v>1675</v>
      </c>
      <c r="I1202" t="s">
        <v>1475</v>
      </c>
      <c r="J1202" t="inlineStr">
        <is>
          <t>interment</t>
        </is>
      </c>
    </row>
    <row r="1203" spans="1:23">
      <c r="A1203">
        <v>30</v>
      </c>
      <c r="B1203">
        <v>12</v>
      </c>
      <c r="C1203">
        <v>2010</v>
      </c>
      <c r="D1203" s="3" t="str">
        <f>B1203&amp;"/"&amp;A1203&amp;"/"&amp;C1203</f>
        <v>12/30/2010</v>
      </c>
      <c r="E1203" t="s">
        <v>42</v>
      </c>
      <c r="F1203" t="s">
        <f>I1203&amp;" "&amp;J1203&amp;" "&amp;K1203&amp;" "&amp;L1203&amp;" "&amp;M1203&amp;" "&amp;N1203</f>
        <v>717</v>
      </c>
      <c r="G1203" t="s">
        <f>TEXT(D1203,"mmm dd")</f>
        <v>38</v>
      </c>
      <c r="I1203" t="s">
        <v>456</v>
      </c>
      <c r="J1203" t="s">
        <v>718</v>
      </c>
    </row>
    <row r="1204" spans="1:23">
      <c r="A1204">
        <v>1</v>
      </c>
      <c r="B1204">
        <v>1</v>
      </c>
      <c r="C1204">
        <v>2011</v>
      </c>
      <c r="D1204" s="3" t="str">
        <f>B1204&amp;"/"&amp;A1204&amp;"/"&amp;C1204</f>
        <v>1/1/2011</v>
      </c>
      <c r="E1204">
        <v>1.0833333333333333</v>
      </c>
      <c r="F1204" t="str">
        <f>I1204&amp;" "&amp;J1204&amp;" "&amp;K1204&amp;" "&amp;L1204&amp;" "&amp;M1204&amp;" "&amp;N1204</f>
        <v>Chuukese (locks)    </v>
      </c>
      <c r="G1204" t="s">
        <f>TEXT(D1204,"mmm dd")</f>
        <v>1676</v>
      </c>
      <c r="I1204" t="s">
        <v>1567</v>
      </c>
      <c r="J1204" t="inlineStr">
        <is>
          <t>(locks)</t>
        </is>
      </c>
    </row>
    <row r="1205" spans="1:23">
      <c r="A1205">
        <v>4</v>
      </c>
      <c r="B1205">
        <v>1</v>
      </c>
      <c r="C1205">
        <v>2011</v>
      </c>
      <c r="D1205" s="3" t="str">
        <f>B1205&amp;"/"&amp;A1205&amp;"/"&amp;C1205</f>
        <v>1/4/2011</v>
      </c>
      <c r="E1205">
        <v>1.0416666666666667</v>
      </c>
      <c r="F1205" t="str">
        <f>I1205&amp;" "&amp;J1205&amp;" "&amp;K1205&amp;" "&amp;L1205&amp;" "&amp;M1205&amp;" "&amp;N1205</f>
        <v>lunch with Michael   </v>
      </c>
      <c r="G1205" t="s">
        <f>TEXT(D1205,"mmm dd")</f>
        <v>1677</v>
      </c>
      <c r="I1205" t="s">
        <v>440</v>
      </c>
      <c r="J1205" t="s">
        <v>755</v>
      </c>
      <c r="K1205" t="s">
        <v>745</v>
      </c>
    </row>
    <row r="1206" spans="1:23">
      <c r="A1206">
        <v>6</v>
      </c>
      <c r="B1206">
        <v>1</v>
      </c>
      <c r="C1206">
        <v>2011</v>
      </c>
      <c r="D1206" s="3" t="s">
        <f>B1206&amp;"/"&amp;A1206&amp;"/"&amp;C1206</f>
        <v>1678</v>
      </c>
      <c r="E1206">
        <v>1.0833333333333333</v>
      </c>
      <c r="F1206" t="str">
        <f>I1206&amp;" "&amp;J1206&amp;" "&amp;K1206&amp;" "&amp;L1206&amp;" "&amp;M1206&amp;" "&amp;N1206</f>
        <v>Move refrgerator w  John Baker</v>
      </c>
      <c r="G1206" t="s">
        <f>TEXT(D1206,"mmm dd")</f>
        <v>1142</v>
      </c>
      <c r="I1206" t="s">
        <v>1679</v>
      </c>
      <c r="J1206" t="inlineStr">
        <is>
          <t>refrgerator</t>
        </is>
      </c>
      <c r="K1206" t="s">
        <v>591</v>
      </c>
      <c r="M1206" t="s">
        <v>585</v>
      </c>
      <c r="N1206" t="s">
        <v>1680</v>
      </c>
    </row>
    <row r="1207" spans="1:23">
      <c r="A1207">
        <v>6</v>
      </c>
      <c r="B1207">
        <v>1</v>
      </c>
      <c r="C1207">
        <v>2011</v>
      </c>
      <c r="D1207" s="3" t="s">
        <f>B1207&amp;"/"&amp;A1207&amp;"/"&amp;C1207</f>
        <v>1678</v>
      </c>
      <c r="E1207">
        <v>0.91666666666666663</v>
      </c>
      <c r="F1207" t="str">
        <f>I1207&amp;" "&amp;J1207&amp;" "&amp;K1207&amp;" "&amp;L1207&amp;" "&amp;M1207&amp;" "&amp;N1207</f>
        <v>Standing Committee re. Malcolm Chun </v>
      </c>
      <c r="G1207" t="s">
        <f>TEXT(D1207,"mmm dd")</f>
        <v>1142</v>
      </c>
      <c r="I1207" t="s">
        <v>1121</v>
      </c>
      <c r="J1207" t="s">
        <v>1081</v>
      </c>
      <c r="K1207" t="s">
        <v>633</v>
      </c>
      <c r="L1207" t="inlineStr">
        <is>
          <t>Malcolm</t>
        </is>
      </c>
      <c r="M1207" t="s">
        <v>741</v>
      </c>
    </row>
    <row r="1208" spans="1:23">
      <c r="A1208">
        <v>6</v>
      </c>
      <c r="B1208">
        <v>1</v>
      </c>
      <c r="C1208">
        <v>2011</v>
      </c>
      <c r="D1208" s="3" t="s">
        <f>B1208&amp;"/"&amp;A1208&amp;"/"&amp;C1208</f>
        <v>1678</v>
      </c>
      <c r="E1208">
        <v>0.91666666666666663</v>
      </c>
      <c r="F1208" t="s">
        <f>I1208&amp;" "&amp;J1208&amp;" "&amp;K1208&amp;" "&amp;L1208&amp;" "&amp;M1208&amp;" "&amp;N1208</f>
        <v>1119</v>
      </c>
      <c r="G1208" t="s">
        <f>TEXT(D1208,"mmm dd")</f>
        <v>1142</v>
      </c>
      <c r="I1208" t="s">
        <v>1121</v>
      </c>
      <c r="J1208" t="s">
        <v>1122</v>
      </c>
    </row>
    <row r="1209" spans="1:23">
      <c r="A1209">
        <v>7</v>
      </c>
      <c r="B1209">
        <v>1</v>
      </c>
      <c r="C1209">
        <v>2011</v>
      </c>
      <c r="D1209" s="3" t="s">
        <f>B1209&amp;"/"&amp;A1209&amp;"/"&amp;C1209</f>
        <v>1681</v>
      </c>
      <c r="E1209">
        <v>0.25</v>
      </c>
      <c r="F1209" t="str">
        <f>I1209&amp;" "&amp;J1209&amp;" "&amp;K1209&amp;" "&amp;L1209&amp;" "&amp;M1209&amp;" "&amp;N1209</f>
        <v>Officiate Epiphany Evensong   </v>
      </c>
      <c r="G1209" t="s">
        <f>TEXT(D1209,"mmm dd")</f>
        <v>1682</v>
      </c>
      <c r="I1209" t="s">
        <v>1683</v>
      </c>
      <c r="J1209" t="s">
        <v>1317</v>
      </c>
      <c r="K1209" t="s">
        <v>1543</v>
      </c>
    </row>
    <row r="1210" spans="1:23">
      <c r="A1210">
        <v>7</v>
      </c>
      <c r="B1210">
        <v>1</v>
      </c>
      <c r="C1210">
        <v>2011</v>
      </c>
      <c r="D1210" s="3" t="s">
        <f>B1210&amp;"/"&amp;A1210&amp;"/"&amp;C1210</f>
        <v>1681</v>
      </c>
      <c r="E1210">
        <v>0.27083333333333331</v>
      </c>
      <c r="F1210" t="str">
        <f>I1210&amp;" "&amp;J1210&amp;" "&amp;K1210&amp;" "&amp;L1210&amp;" "&amp;M1210&amp;" "&amp;N1210</f>
        <v>Offiate Evensong    </v>
      </c>
      <c r="G1210" t="s">
        <f>TEXT(D1210,"mmm dd")</f>
        <v>1682</v>
      </c>
      <c r="I1210" t="inlineStr">
        <is>
          <t>Offiate</t>
        </is>
      </c>
      <c r="J1210" t="s">
        <v>1543</v>
      </c>
    </row>
    <row r="1211" spans="1:23">
      <c r="A1211">
        <v>13</v>
      </c>
      <c r="B1211">
        <v>1</v>
      </c>
      <c r="C1211">
        <v>2011</v>
      </c>
      <c r="D1211" s="3" t="s">
        <f>B1211&amp;"/"&amp;A1211&amp;"/"&amp;C1211</f>
        <v>1684</v>
      </c>
      <c r="E1211">
        <v>0.27083333333333331</v>
      </c>
      <c r="F1211" t="s">
        <f>I1211&amp;" "&amp;J1211&amp;" "&amp;K1211&amp;" "&amp;L1211&amp;" "&amp;M1211&amp;" "&amp;N1211</f>
        <v>1569</v>
      </c>
      <c r="G1211" t="s">
        <f>TEXT(D1211,"mmm dd")</f>
        <v>1164</v>
      </c>
      <c r="I1211" t="s">
        <v>1543</v>
      </c>
    </row>
    <row r="1212" spans="1:23">
      <c r="A1212">
        <v>13</v>
      </c>
      <c r="B1212">
        <v>1</v>
      </c>
      <c r="C1212">
        <v>2011</v>
      </c>
      <c r="D1212" s="3" t="s">
        <f>B1212&amp;"/"&amp;A1212&amp;"/"&amp;C1212</f>
        <v>1684</v>
      </c>
      <c r="E1212">
        <v>1.0625</v>
      </c>
      <c r="F1212" t="str">
        <f>I1212&amp;" "&amp;J1212&amp;" "&amp;K1212&amp;" "&amp;L1212&amp;" "&amp;M1212&amp;" "&amp;N1212</f>
        <v>John O re budget  </v>
      </c>
      <c r="G1212" t="s">
        <f>TEXT(D1212,"mmm dd")</f>
        <v>1164</v>
      </c>
      <c r="I1212" t="s">
        <v>585</v>
      </c>
      <c r="J1212" t="s">
        <v>1685</v>
      </c>
      <c r="K1212" t="s">
        <v>594</v>
      </c>
      <c r="L1212" t="inlineStr">
        <is>
          <t>budget</t>
        </is>
      </c>
    </row>
    <row r="1213" spans="1:23">
      <c r="A1213">
        <v>15</v>
      </c>
      <c r="B1213">
        <v>1</v>
      </c>
      <c r="C1213">
        <v>2011</v>
      </c>
      <c r="D1213" s="3" t="str">
        <f>B1213&amp;"/"&amp;A1213&amp;"/"&amp;C1213</f>
        <v>1/15/2011</v>
      </c>
      <c r="E1213">
        <v>0.29166666666666669</v>
      </c>
      <c r="F1213" t="s">
        <f>I1213&amp;" "&amp;J1213&amp;" "&amp;K1213&amp;" "&amp;L1213&amp;" "&amp;M1213&amp;" "&amp;N1213</f>
        <v>1440</v>
      </c>
      <c r="G1213" t="s">
        <f>TEXT(D1213,"mmm dd")</f>
        <v>1686</v>
      </c>
      <c r="I1213" t="s">
        <v>695</v>
      </c>
      <c r="J1213" t="s">
        <v>751</v>
      </c>
      <c r="K1213" t="s">
        <v>1229</v>
      </c>
    </row>
    <row r="1214" spans="1:23">
      <c r="A1214">
        <v>16</v>
      </c>
      <c r="B1214">
        <v>1</v>
      </c>
      <c r="C1214">
        <v>2011</v>
      </c>
      <c r="D1214" s="3" t="str">
        <f>B1214&amp;"/"&amp;A1214&amp;"/"&amp;C1214</f>
        <v>1/16/2011</v>
      </c>
      <c r="E1214">
        <v>1.0833333333333333</v>
      </c>
      <c r="F1214" t="str">
        <f>I1214&amp;" "&amp;J1214&amp;" "&amp;K1214&amp;" "&amp;L1214&amp;" "&amp;M1214&amp;" "&amp;N1214</f>
        <v>Windward discussions    </v>
      </c>
      <c r="G1214" t="s">
        <f>TEXT(D1214,"mmm dd")</f>
        <v>1170</v>
      </c>
      <c r="I1214" t="inlineStr">
        <is>
          <t>Windward</t>
        </is>
      </c>
      <c r="J1214" t="inlineStr">
        <is>
          <t>discussions</t>
        </is>
      </c>
    </row>
    <row r="1215" spans="1:23">
      <c r="A1215">
        <v>17</v>
      </c>
      <c r="B1215">
        <v>1</v>
      </c>
      <c r="C1215">
        <v>2011</v>
      </c>
      <c r="D1215" s="3" t="str">
        <f>B1215&amp;"/"&amp;A1215&amp;"/"&amp;C1215</f>
        <v>1/17/2011</v>
      </c>
      <c r="E1215">
        <v>0.27083333333333331</v>
      </c>
      <c r="F1215" t="str">
        <f>I1215&amp;" "&amp;J1215&amp;" "&amp;K1215&amp;" "&amp;L1215&amp;" "&amp;M1215&amp;" "&amp;N1215</f>
        <v>Cantor Officiate Evensong   </v>
      </c>
      <c r="G1215" t="s">
        <f>TEXT(D1215,"mmm dd")</f>
        <v>1174</v>
      </c>
      <c r="I1215" t="inlineStr">
        <is>
          <t>Cantor</t>
        </is>
      </c>
      <c r="J1215" t="s">
        <v>1683</v>
      </c>
      <c r="K1215" t="s">
        <v>1543</v>
      </c>
    </row>
    <row r="1216" spans="1:23">
      <c r="A1216">
        <v>18</v>
      </c>
      <c r="B1216">
        <v>1</v>
      </c>
      <c r="C1216">
        <v>2011</v>
      </c>
      <c r="D1216" s="3" t="str">
        <f>B1216&amp;"/"&amp;A1216&amp;"/"&amp;C1216</f>
        <v>1/18/2011</v>
      </c>
      <c r="E1216">
        <v>1.0416666666666667</v>
      </c>
      <c r="F1216" t="str">
        <f>I1216&amp;" "&amp;J1216&amp;" "&amp;K1216&amp;" "&amp;L1216&amp;" "&amp;M1216&amp;" "&amp;N1216</f>
        <v>Lunch John Renke   </v>
      </c>
      <c r="G1216" t="s">
        <f>TEXT(D1216,"mmm dd")</f>
        <v>1687</v>
      </c>
      <c r="I1216" t="s">
        <v>813</v>
      </c>
      <c r="J1216" t="s">
        <v>585</v>
      </c>
      <c r="K1216" t="s">
        <v>1688</v>
      </c>
    </row>
    <row r="1217" spans="1:23">
      <c r="A1217">
        <v>19</v>
      </c>
      <c r="B1217">
        <v>1</v>
      </c>
      <c r="C1217">
        <v>2011</v>
      </c>
      <c r="D1217" s="3" t="str">
        <f>B1217&amp;"/"&amp;A1217&amp;"/"&amp;C1217</f>
        <v>1/19/2011</v>
      </c>
      <c r="E1217">
        <v>0.16666666666666666</v>
      </c>
      <c r="F1217" t="str">
        <f>I1217&amp;" "&amp;J1217&amp;" "&amp;K1217&amp;" "&amp;L1217&amp;" "&amp;M1217&amp;" "&amp;N1217</f>
        <v>Meet Noreen bless room  </v>
      </c>
      <c r="G1217" t="s">
        <f>TEXT(D1217,"mmm dd")</f>
        <v>1481</v>
      </c>
      <c r="I1217" t="s">
        <v>300</v>
      </c>
      <c r="J1217" t="s">
        <v>1689</v>
      </c>
      <c r="K1217" t="inlineStr">
        <is>
          <t>bless</t>
        </is>
      </c>
      <c r="L1217" t="s">
        <v>830</v>
      </c>
    </row>
    <row r="1218" spans="1:23">
      <c r="A1218">
        <v>21</v>
      </c>
      <c r="B1218">
        <v>1</v>
      </c>
      <c r="C1218">
        <v>2011</v>
      </c>
      <c r="D1218" s="3" t="str">
        <f>B1218&amp;"/"&amp;A1218&amp;"/"&amp;C1218</f>
        <v>1/21/2011</v>
      </c>
      <c r="E1218" t="s">
        <v>42</v>
      </c>
      <c r="F1218" t="s">
        <f>I1218&amp;" "&amp;J1218&amp;" "&amp;K1218&amp;" "&amp;L1218&amp;" "&amp;M1218&amp;" "&amp;N1218</f>
        <v>919</v>
      </c>
      <c r="G1218" t="s">
        <f>TEXT(D1218,"mmm dd")</f>
        <v>1485</v>
      </c>
      <c r="I1218" t="s">
        <v>164</v>
      </c>
      <c r="J1218" t="s">
        <v>921</v>
      </c>
    </row>
    <row r="1219" spans="1:23">
      <c r="A1219">
        <v>22</v>
      </c>
      <c r="B1219">
        <v>1</v>
      </c>
      <c r="C1219">
        <v>2011</v>
      </c>
      <c r="D1219" s="3" t="s">
        <f>B1219&amp;"/"&amp;A1219&amp;"/"&amp;C1219</f>
        <v>1690</v>
      </c>
      <c r="E1219">
        <v>0.33333333333333331</v>
      </c>
      <c r="F1219" t="s">
        <f>I1219&amp;" "&amp;J1219&amp;" "&amp;K1219&amp;" "&amp;L1219&amp;" "&amp;M1219&amp;" "&amp;N1219</f>
        <v>1691</v>
      </c>
      <c r="G1219" t="s">
        <f>TEXT(D1219,"mmm dd")</f>
        <v>1692</v>
      </c>
      <c r="I1219" t="s">
        <v>1693</v>
      </c>
      <c r="J1219" t="s">
        <v>1694</v>
      </c>
    </row>
    <row r="1220" spans="1:23">
      <c r="A1220">
        <v>22</v>
      </c>
      <c r="B1220">
        <v>1</v>
      </c>
      <c r="C1220">
        <v>2011</v>
      </c>
      <c r="D1220" s="3" t="s">
        <f>B1220&amp;"/"&amp;A1220&amp;"/"&amp;C1220</f>
        <v>1690</v>
      </c>
      <c r="E1220">
        <v>0.91666666666666663</v>
      </c>
      <c r="F1220" t="s">
        <f>I1220&amp;" "&amp;J1220&amp;" "&amp;K1220&amp;" "&amp;L1220&amp;" "&amp;M1220&amp;" "&amp;N1220</f>
        <v>1691</v>
      </c>
      <c r="G1220" t="s">
        <f>TEXT(D1220,"mmm dd")</f>
        <v>1692</v>
      </c>
      <c r="I1220" t="s">
        <v>1693</v>
      </c>
      <c r="J1220" t="s">
        <v>1694</v>
      </c>
    </row>
    <row r="1221" spans="1:23">
      <c r="A1221">
        <v>27</v>
      </c>
      <c r="B1221">
        <v>1</v>
      </c>
      <c r="C1221">
        <v>2011</v>
      </c>
      <c r="D1221" s="3" t="s">
        <f>B1221&amp;"/"&amp;A1221&amp;"/"&amp;C1221</f>
        <v>1695</v>
      </c>
      <c r="E1221">
        <v>1.0416666666666667</v>
      </c>
      <c r="F1221" t="str">
        <f>I1221&amp;" "&amp;J1221&amp;" "&amp;K1221&amp;" "&amp;L1221&amp;" "&amp;M1221&amp;" "&amp;N1221</f>
        <v>Lunch with  JR  </v>
      </c>
      <c r="G1221" t="s">
        <f>TEXT(D1221,"mmm dd")</f>
        <v>1696</v>
      </c>
      <c r="I1221" t="s">
        <v>813</v>
      </c>
      <c r="J1221" t="s">
        <v>755</v>
      </c>
      <c r="L1221" t="inlineStr">
        <is>
          <t>JR</t>
        </is>
      </c>
    </row>
    <row r="1222" spans="1:23">
      <c r="A1222">
        <v>27</v>
      </c>
      <c r="B1222">
        <v>1</v>
      </c>
      <c r="C1222">
        <v>2011</v>
      </c>
      <c r="D1222" s="3" t="s">
        <f>B1222&amp;"/"&amp;A1222&amp;"/"&amp;C1222</f>
        <v>1695</v>
      </c>
      <c r="E1222">
        <v>0.875</v>
      </c>
      <c r="F1222" t="s">
        <f>I1222&amp;" "&amp;J1222&amp;" "&amp;K1222&amp;" "&amp;L1222&amp;" "&amp;M1222&amp;" "&amp;N1222</f>
        <v>1584</v>
      </c>
      <c r="G1222" t="s">
        <f>TEXT(D1222,"mmm dd")</f>
        <v>1696</v>
      </c>
      <c r="I1222" t="s">
        <v>291</v>
      </c>
      <c r="J1222" t="s">
        <v>1195</v>
      </c>
    </row>
    <row r="1223" spans="1:23">
      <c r="A1223">
        <v>29</v>
      </c>
      <c r="B1223">
        <v>1</v>
      </c>
      <c r="C1223">
        <v>2011</v>
      </c>
      <c r="D1223" s="3" t="s">
        <f>B1223&amp;"/"&amp;A1223&amp;"/"&amp;C1223</f>
        <v>1697</v>
      </c>
      <c r="E1223">
        <v>0.125</v>
      </c>
      <c r="F1223" t="s">
        <f>I1223&amp;" "&amp;J1223&amp;" "&amp;K1223&amp;" "&amp;L1223&amp;" "&amp;M1223&amp;" "&amp;N1223</f>
        <v>1698</v>
      </c>
      <c r="G1223" t="s">
        <f>TEXT(D1223,"mmm dd")</f>
        <v>1497</v>
      </c>
      <c r="I1223" t="s">
        <v>847</v>
      </c>
      <c r="J1223" t="s">
        <v>1657</v>
      </c>
    </row>
    <row r="1224" spans="1:23">
      <c r="A1224">
        <v>29</v>
      </c>
      <c r="B1224">
        <v>1</v>
      </c>
      <c r="C1224">
        <v>2011</v>
      </c>
      <c r="D1224" s="3" t="s">
        <f>B1224&amp;"/"&amp;A1224&amp;"/"&amp;C1224</f>
        <v>1697</v>
      </c>
      <c r="E1224">
        <v>0.16666666666666666</v>
      </c>
      <c r="F1224" t="s">
        <f>I1224&amp;" "&amp;J1224&amp;" "&amp;K1224&amp;" "&amp;L1224&amp;" "&amp;M1224&amp;" "&amp;N1224</f>
        <v>937</v>
      </c>
      <c r="G1224" t="s">
        <f>TEXT(D1224,"mmm dd")</f>
        <v>1497</v>
      </c>
      <c r="I1224" t="s">
        <v>847</v>
      </c>
      <c r="J1224" t="s">
        <v>918</v>
      </c>
    </row>
    <row r="1225" spans="1:23">
      <c r="A1225">
        <v>2</v>
      </c>
      <c r="B1225">
        <v>2</v>
      </c>
      <c r="C1225">
        <v>2011</v>
      </c>
      <c r="D1225" s="3" t="str">
        <f>B1225&amp;"/"&amp;A1225&amp;"/"&amp;C1225</f>
        <v>2/2/2011</v>
      </c>
      <c r="E1225">
        <v>0.16666666666666666</v>
      </c>
      <c r="F1225" t="s">
        <f>I1225&amp;" "&amp;J1225&amp;" "&amp;K1225&amp;" "&amp;L1225&amp;" "&amp;M1225&amp;" "&amp;N1225</f>
        <v>1248</v>
      </c>
      <c r="G1225" t="s">
        <f>TEXT(D1225,"mmm dd")</f>
        <v>1699</v>
      </c>
      <c r="I1225" t="s">
        <v>847</v>
      </c>
      <c r="J1225" t="s">
        <v>647</v>
      </c>
    </row>
    <row r="1226" spans="1:23">
      <c r="A1226">
        <v>5</v>
      </c>
      <c r="B1226">
        <v>2</v>
      </c>
      <c r="C1226">
        <v>2011</v>
      </c>
      <c r="D1226" s="3" t="str">
        <f>B1226&amp;"/"&amp;A1226&amp;"/"&amp;C1226</f>
        <v>2/5/2011</v>
      </c>
      <c r="E1226">
        <v>1.0416666666666667</v>
      </c>
      <c r="F1226" t="str">
        <f>I1226&amp;" "&amp;J1226&amp;" "&amp;K1226&amp;" "&amp;L1226&amp;" "&amp;M1226&amp;" "&amp;N1226</f>
        <v>Meet the Cluster   </v>
      </c>
      <c r="G1226" t="s">
        <f>TEXT(D1226,"mmm dd")</f>
        <v>1182</v>
      </c>
      <c r="I1226" t="s">
        <v>300</v>
      </c>
      <c r="J1226" t="s">
        <v>139</v>
      </c>
      <c r="K1226" t="s">
        <v>217</v>
      </c>
    </row>
    <row r="1227" spans="1:23">
      <c r="A1227">
        <v>11</v>
      </c>
      <c r="B1227">
        <v>2</v>
      </c>
      <c r="C1227">
        <v>2011</v>
      </c>
      <c r="D1227" s="3" t="str">
        <f>B1227&amp;"/"&amp;A1227&amp;"/"&amp;C1227</f>
        <v>2/11/2011</v>
      </c>
      <c r="E1227" t="s">
        <v>42</v>
      </c>
      <c r="F1227" t="s">
        <f>I1227&amp;" "&amp;J1227&amp;" "&amp;K1227&amp;" "&amp;L1227&amp;" "&amp;M1227&amp;" "&amp;N1227</f>
        <v>1197</v>
      </c>
      <c r="G1227" t="s">
        <f>TEXT(D1227,"mmm dd")</f>
        <v>1509</v>
      </c>
      <c r="I1227" t="s">
        <v>1046</v>
      </c>
    </row>
    <row r="1228" spans="1:23">
      <c r="A1228">
        <v>30</v>
      </c>
      <c r="B1228">
        <v>5</v>
      </c>
      <c r="C1228">
        <v>2011</v>
      </c>
      <c r="D1228" s="3" t="str">
        <f>B1228&amp;"/"&amp;A1228&amp;"/"&amp;C1228</f>
        <v>5/30/2011</v>
      </c>
      <c r="E1228">
        <v>0.40277777777777779</v>
      </c>
      <c r="F1228" t="str">
        <f>I1228&amp;" "&amp;J1228&amp;" "&amp;K1228&amp;" "&amp;L1228&amp;" "&amp;M1228&amp;" "&amp;N1228</f>
        <v>Mary Pat arrives   </v>
      </c>
      <c r="G1228" t="s">
        <f>TEXT(D1228,"mmm dd")</f>
        <v>402</v>
      </c>
      <c r="I1228" t="s">
        <v>410</v>
      </c>
      <c r="J1228" t="s">
        <v>702</v>
      </c>
      <c r="K1228" t="inlineStr">
        <is>
          <t>arrives</t>
        </is>
      </c>
    </row>
    <row r="1229" spans="1:23">
      <c r="A1229">
        <v>9</v>
      </c>
      <c r="B1229">
        <v>6</v>
      </c>
      <c r="C1229">
        <v>2011</v>
      </c>
      <c r="D1229" s="3" t="str">
        <f>B1229&amp;"/"&amp;A1229&amp;"/"&amp;C1229</f>
        <v>6/9/2011</v>
      </c>
      <c r="E1229">
        <v>1</v>
      </c>
      <c r="F1229" t="str">
        <f>I1229&amp;" "&amp;J1229&amp;" "&amp;K1229&amp;" "&amp;L1229&amp;" "&amp;M1229&amp;" "&amp;N1229</f>
        <v>Adore Costa re rdf  </v>
      </c>
      <c r="G1229" t="s">
        <f>TEXT(D1229,"mmm dd")</f>
        <v>467</v>
      </c>
      <c r="I1229" t="inlineStr">
        <is>
          <t>Adore</t>
        </is>
      </c>
      <c r="J1229" t="s">
        <v>1637</v>
      </c>
      <c r="K1229" t="s">
        <v>594</v>
      </c>
      <c r="L1229" t="inlineStr">
        <is>
          <t>rdf</t>
        </is>
      </c>
    </row>
    <row r="1230" spans="1:23">
      <c r="A1230">
        <v>10</v>
      </c>
      <c r="B1230">
        <v>6</v>
      </c>
      <c r="C1230">
        <v>2011</v>
      </c>
      <c r="D1230" s="3" t="str">
        <f>B1230&amp;"/"&amp;A1230&amp;"/"&amp;C1230</f>
        <v>6/10/2011</v>
      </c>
      <c r="E1230">
        <v>0.14583333333333334</v>
      </c>
      <c r="F1230" t="str">
        <f>I1230&amp;" "&amp;J1230&amp;" "&amp;K1230&amp;" "&amp;L1230&amp;" "&amp;M1230&amp;" "&amp;N1230</f>
        <v>Mildew stuff    </v>
      </c>
      <c r="G1230" t="s">
        <f>TEXT(D1230,"mmm dd")</f>
        <v>475</v>
      </c>
      <c r="I1230" t="inlineStr">
        <is>
          <t>Mildew</t>
        </is>
      </c>
      <c r="J1230" t="s">
        <v>1700</v>
      </c>
    </row>
    <row r="1231" spans="1:23">
      <c r="A1231">
        <v>11</v>
      </c>
      <c r="B1231">
        <v>6</v>
      </c>
      <c r="C1231">
        <v>2011</v>
      </c>
      <c r="D1231" s="3" t="str">
        <f>B1231&amp;"/"&amp;A1231&amp;"/"&amp;C1231</f>
        <v>6/11/2011</v>
      </c>
      <c r="E1231" t="s">
        <v>42</v>
      </c>
      <c r="F1231" t="str">
        <f>I1231&amp;" "&amp;J1231&amp;" "&amp;K1231&amp;" "&amp;L1231&amp;" "&amp;M1231&amp;" "&amp;N1231</f>
        <v>Mary Pat on mainland  </v>
      </c>
      <c r="G1231" t="s">
        <f>TEXT(D1231,"mmm dd")</f>
        <v>487</v>
      </c>
      <c r="I1231" t="s">
        <v>410</v>
      </c>
      <c r="J1231" t="s">
        <v>702</v>
      </c>
      <c r="K1231" t="s">
        <v>1449</v>
      </c>
      <c r="L1231" t="inlineStr">
        <is>
          <t>mainland</t>
        </is>
      </c>
    </row>
    <row r="1232" spans="1:23">
      <c r="A1232">
        <v>13</v>
      </c>
      <c r="B1232">
        <v>6</v>
      </c>
      <c r="C1232">
        <v>2011</v>
      </c>
      <c r="D1232" s="3" t="str">
        <f>B1232&amp;"/"&amp;A1232&amp;"/"&amp;C1232</f>
        <v>6/13/2011</v>
      </c>
      <c r="E1232">
        <v>0.27083333333333331</v>
      </c>
      <c r="F1232" t="s">
        <f>I1232&amp;" "&amp;J1232&amp;" "&amp;K1232&amp;" "&amp;L1232&amp;" "&amp;M1232&amp;" "&amp;N1232</f>
        <v>1289</v>
      </c>
      <c r="G1232" t="s">
        <f>TEXT(D1232,"mmm dd")</f>
        <v>511</v>
      </c>
      <c r="I1232" t="s">
        <v>1288</v>
      </c>
    </row>
    <row r="1233" spans="1:23">
      <c r="A1233">
        <v>15</v>
      </c>
      <c r="B1233">
        <v>6</v>
      </c>
      <c r="C1233">
        <v>2011</v>
      </c>
      <c r="D1233" s="3" t="s">
        <f>B1233&amp;"/"&amp;A1233&amp;"/"&amp;C1233</f>
        <v>1701</v>
      </c>
      <c r="E1233">
        <v>0.16666666666666666</v>
      </c>
      <c r="F1233" t="str">
        <f>I1233&amp;" "&amp;J1233&amp;" "&amp;K1233&amp;" "&amp;L1233&amp;" "&amp;M1233&amp;" "&amp;N1233</f>
        <v>Rescheduled title iv meeting  </v>
      </c>
      <c r="G1233" t="s">
        <f>TEXT(D1233,"mmm dd")</f>
        <v>533</v>
      </c>
      <c r="I1233" t="inlineStr">
        <is>
          <t>Rescheduled</t>
        </is>
      </c>
      <c r="J1233" t="s">
        <v>1702</v>
      </c>
      <c r="K1233" t="inlineStr">
        <is>
          <t>iv</t>
        </is>
      </c>
      <c r="L1233" t="s">
        <v>842</v>
      </c>
    </row>
    <row r="1234" spans="1:23">
      <c r="A1234">
        <v>15</v>
      </c>
      <c r="B1234">
        <v>6</v>
      </c>
      <c r="C1234">
        <v>2011</v>
      </c>
      <c r="D1234" s="3" t="s">
        <f>B1234&amp;"/"&amp;A1234&amp;"/"&amp;C1234</f>
        <v>1701</v>
      </c>
      <c r="E1234">
        <v>0.97916666666666663</v>
      </c>
      <c r="F1234" t="str">
        <f>I1234&amp;" "&amp;J1234&amp;" "&amp;K1234&amp;" "&amp;L1234&amp;" "&amp;M1234&amp;" "&amp;N1234</f>
        <v>Emma to pagoda   </v>
      </c>
      <c r="G1234" t="s">
        <f>TEXT(D1234,"mmm dd")</f>
        <v>533</v>
      </c>
      <c r="I1234" t="s">
        <v>170</v>
      </c>
      <c r="J1234" t="s">
        <v>449</v>
      </c>
      <c r="K1234" t="inlineStr">
        <is>
          <t>pagoda</t>
        </is>
      </c>
    </row>
    <row r="1235" spans="1:23">
      <c r="A1235">
        <v>16</v>
      </c>
      <c r="B1235">
        <v>6</v>
      </c>
      <c r="C1235">
        <v>2011</v>
      </c>
      <c r="D1235" s="3" t="s">
        <f>B1235&amp;"/"&amp;A1235&amp;"/"&amp;C1235</f>
        <v>1703</v>
      </c>
      <c r="E1235">
        <v>1.0833333333333333</v>
      </c>
      <c r="F1235" t="str">
        <f>I1235&amp;" "&amp;J1235&amp;" "&amp;K1235&amp;" "&amp;L1235&amp;" "&amp;M1235&amp;" "&amp;N1235</f>
        <v>Lani     </v>
      </c>
      <c r="G1235" t="s">
        <f>TEXT(D1235,"mmm dd")</f>
        <v>543</v>
      </c>
      <c r="I1235" t="inlineStr">
        <is>
          <t>Lani</t>
        </is>
      </c>
    </row>
    <row r="1236" spans="1:23">
      <c r="A1236">
        <v>16</v>
      </c>
      <c r="B1236">
        <v>6</v>
      </c>
      <c r="C1236">
        <v>2011</v>
      </c>
      <c r="D1236" s="3" t="s">
        <f>B1236&amp;"/"&amp;A1236&amp;"/"&amp;C1236</f>
        <v>1703</v>
      </c>
      <c r="E1236">
        <v>0.9375</v>
      </c>
      <c r="F1236" t="str">
        <f>I1236&amp;" "&amp;J1236&amp;" "&amp;K1236&amp;" "&amp;L1236&amp;" "&amp;M1236&amp;" "&amp;N1236</f>
        <v>Canons group    </v>
      </c>
      <c r="G1236" t="s">
        <f>TEXT(D1236,"mmm dd")</f>
        <v>543</v>
      </c>
      <c r="I1236" t="s">
        <v>1704</v>
      </c>
      <c r="J1236" t="s">
        <v>110</v>
      </c>
    </row>
    <row r="1237" spans="1:23">
      <c r="A1237">
        <v>27</v>
      </c>
      <c r="B1237">
        <v>6</v>
      </c>
      <c r="C1237">
        <v>2011</v>
      </c>
      <c r="D1237" s="3" t="str">
        <f>B1237&amp;"/"&amp;A1237&amp;"/"&amp;C1237</f>
        <v>6/27/2011</v>
      </c>
      <c r="E1237">
        <v>0.3125</v>
      </c>
      <c r="F1237" t="str">
        <f>I1237&amp;" "&amp;J1237&amp;" "&amp;K1237&amp;" "&amp;L1237&amp;" "&amp;M1237&amp;" "&amp;N1237</f>
        <v>Cluster dinner    </v>
      </c>
      <c r="G1237" t="s">
        <f>TEXT(D1237,"mmm dd")</f>
        <v>1336</v>
      </c>
      <c r="I1237" t="s">
        <v>217</v>
      </c>
      <c r="J1237" t="s">
        <v>517</v>
      </c>
    </row>
    <row r="1238" spans="1:23">
      <c r="A1238">
        <v>30</v>
      </c>
      <c r="B1238">
        <v>6</v>
      </c>
      <c r="C1238">
        <v>2011</v>
      </c>
      <c r="D1238" s="3" t="str">
        <f>B1238&amp;"/"&amp;A1238&amp;"/"&amp;C1238</f>
        <v>6/30/2011</v>
      </c>
      <c r="E1238">
        <v>0.9375</v>
      </c>
      <c r="F1238" t="s">
        <f>I1238&amp;" "&amp;J1238&amp;" "&amp;K1238&amp;" "&amp;L1238&amp;" "&amp;M1238&amp;" "&amp;N1238</f>
        <v>1705</v>
      </c>
      <c r="G1238" t="s">
        <f>TEXT(D1238,"mmm dd")</f>
        <v>12</v>
      </c>
      <c r="I1238" t="s">
        <v>1706</v>
      </c>
    </row>
    <row r="1239" spans="1:23">
      <c r="A1239">
        <v>5</v>
      </c>
      <c r="B1239">
        <v>7</v>
      </c>
      <c r="C1239">
        <v>2011</v>
      </c>
      <c r="D1239" s="3" t="str">
        <f>B1239&amp;"/"&amp;A1239&amp;"/"&amp;C1239</f>
        <v>7/5/2011</v>
      </c>
      <c r="E1239">
        <v>0.83333333333333337</v>
      </c>
      <c r="F1239" t="str">
        <f>I1239&amp;" "&amp;J1239&amp;" "&amp;K1239&amp;" "&amp;L1239&amp;" "&amp;M1239&amp;" "&amp;N1239</f>
        <v>Barb Belle to airport breakfast </v>
      </c>
      <c r="G1239" t="s">
        <f>TEXT(D1239,"mmm dd")</f>
        <v>20</v>
      </c>
      <c r="I1239" t="s">
        <v>1707</v>
      </c>
      <c r="J1239" t="s">
        <v>1708</v>
      </c>
      <c r="K1239" t="s">
        <v>449</v>
      </c>
      <c r="L1239" t="s">
        <v>1477</v>
      </c>
      <c r="M1239" t="s">
        <v>1709</v>
      </c>
    </row>
    <row r="1240" spans="1:23">
      <c r="A1240">
        <v>7</v>
      </c>
      <c r="B1240">
        <v>7</v>
      </c>
      <c r="C1240">
        <v>2011</v>
      </c>
      <c r="D1240" s="3" t="str">
        <f>B1240&amp;"/"&amp;A1240&amp;"/"&amp;C1240</f>
        <v>7/7/2011</v>
      </c>
      <c r="E1240">
        <v>0.91666666666666663</v>
      </c>
      <c r="F1240" t="str">
        <f>I1240&amp;" "&amp;J1240&amp;" "&amp;K1240&amp;" "&amp;L1240&amp;" "&amp;M1240&amp;" "&amp;N1240</f>
        <v>Canon meeting    </v>
      </c>
      <c r="G1240" t="s">
        <f>TEXT(D1240,"mmm dd")</f>
        <v>24</v>
      </c>
      <c r="I1240" t="inlineStr">
        <is>
          <t>Canon</t>
        </is>
      </c>
      <c r="J1240" t="s">
        <v>842</v>
      </c>
    </row>
    <row r="1241" spans="1:23">
      <c r="A1241">
        <v>9</v>
      </c>
      <c r="B1241">
        <v>7</v>
      </c>
      <c r="C1241">
        <v>2011</v>
      </c>
      <c r="D1241" s="3" t="s">
        <f>B1241&amp;"/"&amp;A1241&amp;"/"&amp;C1241</f>
        <v>1710</v>
      </c>
      <c r="E1241">
        <v>0.91666666666666663</v>
      </c>
      <c r="F1241" t="str">
        <f>I1241&amp;" "&amp;J1241&amp;" "&amp;K1241&amp;" "&amp;L1241&amp;" "&amp;M1241&amp;" "&amp;N1241</f>
        <v>Meet Walter re alb  </v>
      </c>
      <c r="G1241" t="s">
        <f>TEXT(D1241,"mmm dd")</f>
        <v>625</v>
      </c>
      <c r="I1241" t="s">
        <v>300</v>
      </c>
      <c r="J1241" t="s">
        <v>1427</v>
      </c>
      <c r="K1241" t="s">
        <v>594</v>
      </c>
      <c r="L1241" t="inlineStr">
        <is>
          <t>alb</t>
        </is>
      </c>
    </row>
    <row r="1242" spans="1:23">
      <c r="A1242">
        <v>9</v>
      </c>
      <c r="B1242">
        <v>7</v>
      </c>
      <c r="C1242">
        <v>2011</v>
      </c>
      <c r="D1242" s="3" t="s">
        <f>B1242&amp;"/"&amp;A1242&amp;"/"&amp;C1242</f>
        <v>1710</v>
      </c>
      <c r="E1242">
        <v>0.9375</v>
      </c>
      <c r="F1242" t="str">
        <f>I1242&amp;" "&amp;J1242&amp;" "&amp;K1242&amp;" "&amp;L1242&amp;" "&amp;M1242&amp;" "&amp;N1242</f>
        <v>Apply to Chaminade positions  </v>
      </c>
      <c r="G1242" t="s">
        <f>TEXT(D1242,"mmm dd")</f>
        <v>625</v>
      </c>
      <c r="I1242" t="inlineStr">
        <is>
          <t>Apply</t>
        </is>
      </c>
      <c r="J1242" t="s">
        <v>449</v>
      </c>
      <c r="K1242" t="s">
        <v>1331</v>
      </c>
      <c r="L1242" t="inlineStr">
        <is>
          <t>positions</t>
        </is>
      </c>
    </row>
    <row r="1243" spans="1:23">
      <c r="A1243">
        <v>10</v>
      </c>
      <c r="B1243">
        <v>7</v>
      </c>
      <c r="C1243">
        <v>2011</v>
      </c>
      <c r="D1243" s="3" t="s">
        <f>B1243&amp;"/"&amp;A1243&amp;"/"&amp;C1243</f>
        <v>1711</v>
      </c>
      <c r="E1243">
        <v>0.125</v>
      </c>
      <c r="F1243" t="str">
        <f>I1243&amp;" "&amp;J1243&amp;" "&amp;K1243&amp;" "&amp;L1243&amp;" "&amp;M1243&amp;" "&amp;N1243</f>
        <v>Wedding Ann &amp; ?  </v>
      </c>
      <c r="G1243" t="s">
        <f>TEXT(D1243,"mmm dd")</f>
        <v>1712</v>
      </c>
      <c r="I1243" t="s">
        <v>526</v>
      </c>
      <c r="J1243" t="s">
        <v>1713</v>
      </c>
      <c r="K1243" t="s">
        <v>73</v>
      </c>
      <c r="L1243" t="s">
        <v>1616</v>
      </c>
    </row>
    <row r="1244" spans="1:23">
      <c r="A1244">
        <v>10</v>
      </c>
      <c r="B1244">
        <v>7</v>
      </c>
      <c r="C1244">
        <v>2011</v>
      </c>
      <c r="D1244" s="3" t="s">
        <f>B1244&amp;"/"&amp;A1244&amp;"/"&amp;C1244</f>
        <v>1711</v>
      </c>
      <c r="E1244">
        <v>0.20833333333333334</v>
      </c>
      <c r="F1244" t="str">
        <f>I1244&amp;" "&amp;J1244&amp;" "&amp;K1244&amp;" "&amp;L1244&amp;" "&amp;M1244&amp;" "&amp;N1244</f>
        <v>Ewa Beach reception   </v>
      </c>
      <c r="G1244" t="s">
        <f>TEXT(D1244,"mmm dd")</f>
        <v>1712</v>
      </c>
      <c r="I1244" t="s">
        <v>1714</v>
      </c>
      <c r="J1244" t="s">
        <v>1715</v>
      </c>
      <c r="K1244" t="s">
        <v>1595</v>
      </c>
    </row>
    <row r="1245" spans="1:23">
      <c r="A1245">
        <v>14</v>
      </c>
      <c r="B1245">
        <v>7</v>
      </c>
      <c r="C1245">
        <v>2011</v>
      </c>
      <c r="D1245" s="3" t="str">
        <f>B1245&amp;"/"&amp;A1245&amp;"/"&amp;C1245</f>
        <v>7/14/2011</v>
      </c>
      <c r="E1245">
        <v>0.95833333333333337</v>
      </c>
      <c r="F1245" t="str">
        <f>I1245&amp;" "&amp;J1245&amp;" "&amp;K1245&amp;" "&amp;L1245&amp;" "&amp;M1245&amp;" "&amp;N1245</f>
        <v>Canons meeting    </v>
      </c>
      <c r="G1245" t="s">
        <f>TEXT(D1245,"mmm dd")</f>
        <v>1340</v>
      </c>
      <c r="I1245" t="s">
        <v>1704</v>
      </c>
      <c r="J1245" t="s">
        <v>842</v>
      </c>
    </row>
    <row r="1246" spans="1:23">
      <c r="A1246">
        <v>18</v>
      </c>
      <c r="B1246">
        <v>7</v>
      </c>
      <c r="C1246">
        <v>2011</v>
      </c>
      <c r="D1246" s="3" t="s">
        <f>B1246&amp;"/"&amp;A1246&amp;"/"&amp;C1246</f>
        <v>1716</v>
      </c>
      <c r="E1246">
        <v>1</v>
      </c>
      <c r="F1246" t="str">
        <f>I1246&amp;" "&amp;J1246&amp;" "&amp;K1246&amp;" "&amp;L1246&amp;" "&amp;M1246&amp;" "&amp;N1246</f>
        <v>Makapu'u hike    </v>
      </c>
      <c r="G1246" t="s">
        <f>TEXT(D1246,"mmm dd")</f>
        <v>658</v>
      </c>
      <c r="I1246" t="inlineStr">
        <is>
          <t>Makapu'u</t>
        </is>
      </c>
      <c r="J1246" t="inlineStr">
        <is>
          <t>hike</t>
        </is>
      </c>
    </row>
    <row r="1247" spans="1:23">
      <c r="A1247">
        <v>18</v>
      </c>
      <c r="B1247">
        <v>7</v>
      </c>
      <c r="C1247">
        <v>2011</v>
      </c>
      <c r="D1247" s="3" t="s">
        <f>B1247&amp;"/"&amp;A1247&amp;"/"&amp;C1247</f>
        <v>1716</v>
      </c>
      <c r="E1247">
        <v>0.29166666666666669</v>
      </c>
      <c r="F1247" t="str">
        <f>I1247&amp;" "&amp;J1247&amp;" "&amp;K1247&amp;" "&amp;L1247&amp;" "&amp;M1247&amp;" "&amp;N1247</f>
        <v>Gordon Biersch with mom  </v>
      </c>
      <c r="G1247" t="s">
        <f>TEXT(D1247,"mmm dd")</f>
        <v>658</v>
      </c>
      <c r="I1247" t="s">
        <v>1717</v>
      </c>
      <c r="J1247" t="s">
        <v>1718</v>
      </c>
      <c r="K1247" t="s">
        <v>755</v>
      </c>
      <c r="L1247" t="s">
        <v>1719</v>
      </c>
    </row>
    <row r="1248" spans="1:23">
      <c r="A1248">
        <v>19</v>
      </c>
      <c r="B1248">
        <v>7</v>
      </c>
      <c r="C1248">
        <v>2011</v>
      </c>
      <c r="D1248" s="3" t="s">
        <f>B1248&amp;"/"&amp;A1248&amp;"/"&amp;C1248</f>
        <v>1720</v>
      </c>
      <c r="E1248">
        <v>0.29166666666666669</v>
      </c>
      <c r="F1248" t="str">
        <f>I1248&amp;" "&amp;J1248&amp;" "&amp;K1248&amp;" "&amp;L1248&amp;" "&amp;M1248&amp;" "&amp;N1248</f>
        <v>Pho for dinner   </v>
      </c>
      <c r="G1248" t="s">
        <f>TEXT(D1248,"mmm dd")</f>
        <v>28</v>
      </c>
      <c r="I1248" t="inlineStr">
        <is>
          <t>Pho</t>
        </is>
      </c>
      <c r="J1248" t="s">
        <v>439</v>
      </c>
      <c r="K1248" t="s">
        <v>517</v>
      </c>
    </row>
    <row r="1249" spans="1:23">
      <c r="A1249">
        <v>19</v>
      </c>
      <c r="B1249">
        <v>7</v>
      </c>
      <c r="C1249">
        <v>2011</v>
      </c>
      <c r="D1249" s="3" t="s">
        <f>B1249&amp;"/"&amp;A1249&amp;"/"&amp;C1249</f>
        <v>1720</v>
      </c>
      <c r="E1249">
        <v>0.14583333333333334</v>
      </c>
      <c r="F1249" t="s">
        <f>I1249&amp;" "&amp;J1249&amp;" "&amp;K1249&amp;" "&amp;L1249&amp;" "&amp;M1249&amp;" "&amp;N1249</f>
        <v>1721</v>
      </c>
      <c r="G1249" t="s">
        <f>TEXT(D1249,"mmm dd")</f>
        <v>28</v>
      </c>
      <c r="I1249" t="s">
        <v>1722</v>
      </c>
      <c r="J1249" t="s">
        <v>1723</v>
      </c>
    </row>
    <row r="1250" spans="1:23">
      <c r="A1250">
        <v>19</v>
      </c>
      <c r="B1250">
        <v>7</v>
      </c>
      <c r="C1250">
        <v>2011</v>
      </c>
      <c r="D1250" s="3" t="s">
        <f>B1250&amp;"/"&amp;A1250&amp;"/"&amp;C1250</f>
        <v>1720</v>
      </c>
      <c r="E1250">
        <v>0.16666666666666666</v>
      </c>
      <c r="F1250" t="str">
        <f>I1250&amp;" "&amp;J1250&amp;" "&amp;K1250&amp;" "&amp;L1250&amp;" "&amp;M1250&amp;" "&amp;N1250</f>
        <v>Pick up key from Barb </v>
      </c>
      <c r="G1250" t="s">
        <f>TEXT(D1250,"mmm dd")</f>
        <v>28</v>
      </c>
      <c r="I1250" t="s">
        <v>806</v>
      </c>
      <c r="J1250" t="s">
        <v>807</v>
      </c>
      <c r="K1250" t="s">
        <v>1724</v>
      </c>
      <c r="L1250" t="s">
        <v>874</v>
      </c>
      <c r="M1250" t="s">
        <v>1707</v>
      </c>
    </row>
    <row r="1251" spans="1:23">
      <c r="A1251">
        <v>19</v>
      </c>
      <c r="B1251">
        <v>7</v>
      </c>
      <c r="C1251">
        <v>2011</v>
      </c>
      <c r="D1251" s="3" t="s">
        <f>B1251&amp;"/"&amp;A1251&amp;"/"&amp;C1251</f>
        <v>1720</v>
      </c>
      <c r="E1251">
        <v>0.95833333333333337</v>
      </c>
      <c r="F1251" t="str">
        <f>I1251&amp;" "&amp;J1251&amp;" "&amp;K1251&amp;" "&amp;L1251&amp;" "&amp;M1251&amp;" "&amp;N1251</f>
        <v>Meet Susan Hays   </v>
      </c>
      <c r="G1251" t="s">
        <f>TEXT(D1251,"mmm dd")</f>
        <v>28</v>
      </c>
      <c r="I1251" t="s">
        <v>300</v>
      </c>
      <c r="J1251" t="s">
        <v>1725</v>
      </c>
      <c r="K1251" t="inlineStr">
        <is>
          <t>Hays</t>
        </is>
      </c>
    </row>
    <row r="1252" spans="1:23">
      <c r="A1252">
        <v>19</v>
      </c>
      <c r="B1252">
        <v>7</v>
      </c>
      <c r="C1252">
        <v>2011</v>
      </c>
      <c r="D1252" s="3" t="s">
        <f>B1252&amp;"/"&amp;A1252&amp;"/"&amp;C1252</f>
        <v>1720</v>
      </c>
      <c r="E1252">
        <v>0.9375</v>
      </c>
      <c r="F1252" t="str">
        <f>I1252&amp;" "&amp;J1252&amp;" "&amp;K1252&amp;" "&amp;L1252&amp;" "&amp;M1252&amp;" "&amp;N1252</f>
        <v>Hair appointment    </v>
      </c>
      <c r="G1252" t="s">
        <f>TEXT(D1252,"mmm dd")</f>
        <v>28</v>
      </c>
      <c r="I1252" t="inlineStr">
        <is>
          <t>Hair</t>
        </is>
      </c>
      <c r="J1252" t="s">
        <v>648</v>
      </c>
    </row>
    <row r="1253" spans="1:23">
      <c r="A1253">
        <v>20</v>
      </c>
      <c r="B1253">
        <v>7</v>
      </c>
      <c r="C1253">
        <v>2011</v>
      </c>
      <c r="D1253" s="3" t="s">
        <f>B1253&amp;"/"&amp;A1253&amp;"/"&amp;C1253</f>
        <v>1726</v>
      </c>
      <c r="E1253">
        <v>0.27083333333333331</v>
      </c>
      <c r="F1253" t="str">
        <f>I1253&amp;" "&amp;J1253&amp;" "&amp;K1253&amp;" "&amp;L1253&amp;" "&amp;M1253&amp;" "&amp;N1253</f>
        <v>Mass &amp; dinner at Hale Malia</v>
      </c>
      <c r="G1253" t="s">
        <f>TEXT(D1253,"mmm dd")</f>
        <v>29</v>
      </c>
      <c r="I1253" t="s">
        <v>1273</v>
      </c>
      <c r="J1253" t="s">
        <v>73</v>
      </c>
      <c r="K1253" t="s">
        <v>517</v>
      </c>
      <c r="L1253" t="s">
        <v>53</v>
      </c>
      <c r="M1253" t="s">
        <v>1727</v>
      </c>
      <c r="N1253" t="s">
        <v>1728</v>
      </c>
    </row>
    <row r="1254" spans="1:23">
      <c r="A1254">
        <v>20</v>
      </c>
      <c r="B1254">
        <v>7</v>
      </c>
      <c r="C1254">
        <v>2011</v>
      </c>
      <c r="D1254" s="3" t="s">
        <f>B1254&amp;"/"&amp;A1254&amp;"/"&amp;C1254</f>
        <v>1726</v>
      </c>
      <c r="E1254">
        <v>0.16666666666666666</v>
      </c>
      <c r="F1254" t="str">
        <f>I1254&amp;" "&amp;J1254&amp;" "&amp;K1254&amp;" "&amp;L1254&amp;" "&amp;M1254&amp;" "&amp;N1254</f>
        <v>Pearl Harbor    </v>
      </c>
      <c r="G1254" t="s">
        <f>TEXT(D1254,"mmm dd")</f>
        <v>29</v>
      </c>
      <c r="I1254" t="s">
        <v>1729</v>
      </c>
      <c r="J1254" t="s">
        <v>1730</v>
      </c>
    </row>
    <row r="1255" spans="1:23">
      <c r="A1255">
        <v>21</v>
      </c>
      <c r="B1255">
        <v>7</v>
      </c>
      <c r="C1255">
        <v>2011</v>
      </c>
      <c r="D1255" s="3" t="s">
        <f>B1255&amp;"/"&amp;A1255&amp;"/"&amp;C1255</f>
        <v>1731</v>
      </c>
      <c r="E1255">
        <v>1.0833333333333333</v>
      </c>
      <c r="F1255" t="str">
        <f>I1255&amp;" "&amp;J1255&amp;" "&amp;K1255&amp;" "&amp;L1255&amp;" "&amp;M1255&amp;" "&amp;N1255</f>
        <v>Visit Margaret Crocker   </v>
      </c>
      <c r="G1255" t="s">
        <f>TEXT(D1255,"mmm dd")</f>
        <v>672</v>
      </c>
      <c r="I1255" t="s">
        <v>1252</v>
      </c>
      <c r="J1255" t="s">
        <v>1732</v>
      </c>
      <c r="K1255" t="inlineStr">
        <is>
          <t>Crocker</t>
        </is>
      </c>
    </row>
    <row r="1256" spans="1:23">
      <c r="A1256">
        <v>21</v>
      </c>
      <c r="B1256">
        <v>7</v>
      </c>
      <c r="C1256">
        <v>2011</v>
      </c>
      <c r="D1256" s="3" t="s">
        <f>B1256&amp;"/"&amp;A1256&amp;"/"&amp;C1256</f>
        <v>1731</v>
      </c>
      <c r="E1256">
        <v>0.16666666666666666</v>
      </c>
      <c r="F1256" t="str">
        <f>I1256&amp;" "&amp;J1256&amp;" "&amp;K1256&amp;" "&amp;L1256&amp;" "&amp;M1256&amp;" "&amp;N1256</f>
        <v>Drive Punalu'u    </v>
      </c>
      <c r="G1256" t="s">
        <f>TEXT(D1256,"mmm dd")</f>
        <v>672</v>
      </c>
      <c r="I1256" t="s">
        <v>1733</v>
      </c>
      <c r="J1256" t="inlineStr">
        <is>
          <t>Punalu'u</t>
        </is>
      </c>
    </row>
    <row r="1257" spans="1:23">
      <c r="A1257">
        <v>21</v>
      </c>
      <c r="B1257">
        <v>7</v>
      </c>
      <c r="C1257">
        <v>2011</v>
      </c>
      <c r="D1257" s="3" t="s">
        <f>B1257&amp;"/"&amp;A1257&amp;"/"&amp;C1257</f>
        <v>1731</v>
      </c>
      <c r="E1257">
        <v>0.125</v>
      </c>
      <c r="F1257" t="s">
        <f>I1257&amp;" "&amp;J1257&amp;" "&amp;K1257&amp;" "&amp;L1257&amp;" "&amp;M1257&amp;" "&amp;N1257</f>
        <v>1734</v>
      </c>
      <c r="G1257" t="s">
        <f>TEXT(D1257,"mmm dd")</f>
        <v>672</v>
      </c>
      <c r="I1257" t="s">
        <v>188</v>
      </c>
      <c r="J1257" t="s">
        <v>189</v>
      </c>
    </row>
    <row r="1258" spans="1:23">
      <c r="A1258">
        <v>22</v>
      </c>
      <c r="B1258">
        <v>7</v>
      </c>
      <c r="C1258">
        <v>2011</v>
      </c>
      <c r="D1258" s="3" t="s">
        <f>B1258&amp;"/"&amp;A1258&amp;"/"&amp;C1258</f>
        <v>1735</v>
      </c>
      <c r="E1258">
        <v>0.125</v>
      </c>
      <c r="F1258" t="str">
        <f>I1258&amp;" "&amp;J1258&amp;" "&amp;K1258&amp;" "&amp;L1258&amp;" "&amp;M1258&amp;" "&amp;N1258</f>
        <v>Polynesian Cultural Center   </v>
      </c>
      <c r="G1258" t="s">
        <f>TEXT(D1258,"mmm dd")</f>
        <v>678</v>
      </c>
      <c r="I1258" t="inlineStr">
        <is>
          <t>Polynesian</t>
        </is>
      </c>
      <c r="J1258" t="inlineStr">
        <is>
          <t>Cultural</t>
        </is>
      </c>
      <c r="K1258" t="s">
        <v>1736</v>
      </c>
    </row>
    <row r="1259" spans="1:23">
      <c r="A1259">
        <v>22</v>
      </c>
      <c r="B1259">
        <v>7</v>
      </c>
      <c r="C1259">
        <v>2011</v>
      </c>
      <c r="D1259" s="3" t="s">
        <f>B1259&amp;"/"&amp;A1259&amp;"/"&amp;C1259</f>
        <v>1735</v>
      </c>
      <c r="E1259">
        <v>1.0833333333333333</v>
      </c>
      <c r="F1259" t="str">
        <f>I1259&amp;" "&amp;J1259&amp;" "&amp;K1259&amp;" "&amp;L1259&amp;" "&amp;M1259&amp;" "&amp;N1259</f>
        <v>Shrimp at Kahuku   </v>
      </c>
      <c r="G1259" t="s">
        <f>TEXT(D1259,"mmm dd")</f>
        <v>678</v>
      </c>
      <c r="I1259" t="inlineStr">
        <is>
          <t>Shrimp</t>
        </is>
      </c>
      <c r="J1259" t="s">
        <v>53</v>
      </c>
      <c r="K1259" t="inlineStr">
        <is>
          <t>Kahuku</t>
        </is>
      </c>
    </row>
    <row r="1260" spans="1:23">
      <c r="A1260">
        <v>23</v>
      </c>
      <c r="B1260">
        <v>7</v>
      </c>
      <c r="C1260">
        <v>2011</v>
      </c>
      <c r="D1260" s="3" t="str">
        <f>B1260&amp;"/"&amp;A1260&amp;"/"&amp;C1260</f>
        <v>7/23/2011</v>
      </c>
      <c r="E1260">
        <v>0.95833333333333337</v>
      </c>
      <c r="F1260" t="str">
        <f>I1260&amp;" "&amp;J1260&amp;" "&amp;K1260&amp;" "&amp;L1260&amp;" "&amp;M1260&amp;" "&amp;N1260</f>
        <v>Backpack ministry    </v>
      </c>
      <c r="G1260" t="s">
        <f>TEXT(D1260,"mmm dd")</f>
        <v>681</v>
      </c>
      <c r="I1260" t="inlineStr">
        <is>
          <t>Backpack</t>
        </is>
      </c>
      <c r="J1260" t="s">
        <v>1016</v>
      </c>
    </row>
    <row r="1261" spans="1:23">
      <c r="A1261">
        <v>24</v>
      </c>
      <c r="B1261">
        <v>7</v>
      </c>
      <c r="C1261">
        <v>2011</v>
      </c>
      <c r="D1261" s="3" t="str">
        <f>B1261&amp;"/"&amp;A1261&amp;"/"&amp;C1261</f>
        <v>7/24/2011</v>
      </c>
      <c r="E1261">
        <v>0.29166666666666669</v>
      </c>
      <c r="F1261" t="str">
        <f>I1261&amp;" "&amp;J1261&amp;" "&amp;K1261&amp;" "&amp;L1261&amp;" "&amp;M1261&amp;" "&amp;N1261</f>
        <v>S'mores at Barb   </v>
      </c>
      <c r="G1261" t="s">
        <f>TEXT(D1261,"mmm dd")</f>
        <v>684</v>
      </c>
      <c r="I1261" t="inlineStr">
        <is>
          <t>S'mores</t>
        </is>
      </c>
      <c r="J1261" t="s">
        <v>53</v>
      </c>
      <c r="K1261" t="s">
        <v>1707</v>
      </c>
    </row>
    <row r="1262" spans="1:23">
      <c r="A1262">
        <v>26</v>
      </c>
      <c r="B1262">
        <v>7</v>
      </c>
      <c r="C1262">
        <v>2011</v>
      </c>
      <c r="D1262" s="3" t="s">
        <f>B1262&amp;"/"&amp;A1262&amp;"/"&amp;C1262</f>
        <v>1737</v>
      </c>
      <c r="E1262">
        <v>0.20833333333333334</v>
      </c>
      <c r="F1262" t="str">
        <f>I1262&amp;" "&amp;J1262&amp;" "&amp;K1262&amp;" "&amp;L1262&amp;" "&amp;M1262&amp;" "&amp;N1262</f>
        <v>Manoa Falls    </v>
      </c>
      <c r="G1262" t="s">
        <f>TEXT(D1262,"mmm dd")</f>
        <v>27</v>
      </c>
      <c r="I1262" t="s">
        <v>1738</v>
      </c>
      <c r="J1262" t="s">
        <v>1739</v>
      </c>
    </row>
    <row r="1263" spans="1:23">
      <c r="A1263">
        <v>26</v>
      </c>
      <c r="B1263">
        <v>7</v>
      </c>
      <c r="C1263">
        <v>2011</v>
      </c>
      <c r="D1263" s="3" t="s">
        <f>B1263&amp;"/"&amp;A1263&amp;"/"&amp;C1263</f>
        <v>1737</v>
      </c>
      <c r="E1263">
        <v>1.0416666666666667</v>
      </c>
      <c r="F1263" t="str">
        <f>I1263&amp;" "&amp;J1263&amp;" "&amp;K1263&amp;" "&amp;L1263&amp;" "&amp;M1263&amp;" "&amp;N1263</f>
        <v>Deliver Backpacks    </v>
      </c>
      <c r="G1263" t="s">
        <f>TEXT(D1263,"mmm dd")</f>
        <v>27</v>
      </c>
      <c r="I1263" t="s">
        <v>1740</v>
      </c>
      <c r="J1263" t="inlineStr">
        <is>
          <t>Backpacks</t>
        </is>
      </c>
    </row>
    <row r="1264" spans="1:23">
      <c r="A1264">
        <v>26</v>
      </c>
      <c r="B1264">
        <v>7</v>
      </c>
      <c r="C1264">
        <v>2011</v>
      </c>
      <c r="D1264" s="3" t="s">
        <f>B1264&amp;"/"&amp;A1264&amp;"/"&amp;C1264</f>
        <v>1737</v>
      </c>
      <c r="E1264">
        <v>0.3125</v>
      </c>
      <c r="F1264" t="str">
        <f>I1264&amp;" "&amp;J1264&amp;" "&amp;K1264&amp;" "&amp;L1264&amp;" "&amp;M1264&amp;" "&amp;N1264</f>
        <v>Dinner with girls   </v>
      </c>
      <c r="G1264" t="s">
        <f>TEXT(D1264,"mmm dd")</f>
        <v>27</v>
      </c>
      <c r="I1264" t="s">
        <v>838</v>
      </c>
      <c r="J1264" t="s">
        <v>755</v>
      </c>
      <c r="K1264" t="s">
        <v>822</v>
      </c>
    </row>
    <row r="1265" spans="1:23">
      <c r="A1265">
        <v>26</v>
      </c>
      <c r="B1265">
        <v>7</v>
      </c>
      <c r="C1265">
        <v>2011</v>
      </c>
      <c r="D1265" s="3" t="s">
        <f>B1265&amp;"/"&amp;A1265&amp;"/"&amp;C1265</f>
        <v>1737</v>
      </c>
      <c r="E1265">
        <v>0.91666666666666663</v>
      </c>
      <c r="F1265" t="s">
        <f>I1265&amp;" "&amp;J1265&amp;" "&amp;K1265&amp;" "&amp;L1265&amp;" "&amp;M1265&amp;" "&amp;N1265</f>
        <v>1741</v>
      </c>
      <c r="G1265" t="s">
        <f>TEXT(D1265,"mmm dd")</f>
        <v>27</v>
      </c>
      <c r="I1265" t="s">
        <v>493</v>
      </c>
    </row>
    <row r="1266" spans="1:23">
      <c r="A1266">
        <v>26</v>
      </c>
      <c r="B1266">
        <v>7</v>
      </c>
      <c r="C1266">
        <v>2011</v>
      </c>
      <c r="D1266" s="3" t="s">
        <f>B1266&amp;"/"&amp;A1266&amp;"/"&amp;C1266</f>
        <v>1737</v>
      </c>
      <c r="E1266">
        <v>0.4375</v>
      </c>
      <c r="F1266" t="str">
        <f>I1266&amp;" "&amp;J1266&amp;" "&amp;K1266&amp;" "&amp;L1266&amp;" "&amp;M1266&amp;" "&amp;N1266</f>
        <v>Date     </v>
      </c>
      <c r="G1266" t="s">
        <f>TEXT(D1266,"mmm dd")</f>
        <v>27</v>
      </c>
      <c r="I1266" t="s">
        <v>0</v>
      </c>
    </row>
    <row r="1267" spans="1:23">
      <c r="A1267">
        <v>27</v>
      </c>
      <c r="B1267">
        <v>7</v>
      </c>
      <c r="C1267">
        <v>2011</v>
      </c>
      <c r="D1267" s="3" t="s">
        <f>B1267&amp;"/"&amp;A1267&amp;"/"&amp;C1267</f>
        <v>1742</v>
      </c>
      <c r="E1267">
        <v>0.91666666666666663</v>
      </c>
      <c r="F1267" t="str">
        <f>I1267&amp;" "&amp;J1267&amp;" "&amp;K1267&amp;" "&amp;L1267&amp;" "&amp;M1267&amp;" "&amp;N1267</f>
        <v>Hanauma Bay    </v>
      </c>
      <c r="G1267" t="s">
        <f>TEXT(D1267,"mmm dd")</f>
        <v>699</v>
      </c>
      <c r="I1267" t="inlineStr">
        <is>
          <t>Hanauma</t>
        </is>
      </c>
      <c r="J1267" t="s">
        <v>1260</v>
      </c>
    </row>
    <row r="1268" spans="1:23">
      <c r="A1268">
        <v>27</v>
      </c>
      <c r="B1268">
        <v>7</v>
      </c>
      <c r="C1268">
        <v>2011</v>
      </c>
      <c r="D1268" s="3" t="s">
        <f>B1268&amp;"/"&amp;A1268&amp;"/"&amp;C1268</f>
        <v>1742</v>
      </c>
      <c r="E1268">
        <v>0.3125</v>
      </c>
      <c r="F1268" t="str">
        <f>I1268&amp;" "&amp;J1268&amp;" "&amp;K1268&amp;" "&amp;L1268&amp;" "&amp;M1268&amp;" "&amp;N1268</f>
        <v>Dinner Waikiki    </v>
      </c>
      <c r="G1268" t="s">
        <f>TEXT(D1268,"mmm dd")</f>
        <v>699</v>
      </c>
      <c r="I1268" t="s">
        <v>838</v>
      </c>
      <c r="J1268" t="s">
        <v>595</v>
      </c>
    </row>
    <row r="1269" spans="1:23">
      <c r="A1269">
        <v>27</v>
      </c>
      <c r="B1269">
        <v>7</v>
      </c>
      <c r="C1269">
        <v>2011</v>
      </c>
      <c r="D1269" s="3" t="s">
        <f>B1269&amp;"/"&amp;A1269&amp;"/"&amp;C1269</f>
        <v>1742</v>
      </c>
      <c r="E1269">
        <v>0.25</v>
      </c>
      <c r="F1269" t="str">
        <f>I1269&amp;" "&amp;J1269&amp;" "&amp;K1269&amp;" "&amp;L1269&amp;" "&amp;M1269&amp;" "&amp;N1269</f>
        <v>Catamaran Cruise    </v>
      </c>
      <c r="G1269" t="s">
        <f>TEXT(D1269,"mmm dd")</f>
        <v>699</v>
      </c>
      <c r="I1269" t="inlineStr">
        <is>
          <t>Catamaran</t>
        </is>
      </c>
      <c r="J1269" t="s">
        <v>1743</v>
      </c>
    </row>
    <row r="1270" spans="1:23">
      <c r="A1270">
        <v>28</v>
      </c>
      <c r="B1270">
        <v>7</v>
      </c>
      <c r="C1270">
        <v>2011</v>
      </c>
      <c r="D1270" s="3" t="s">
        <f>B1270&amp;"/"&amp;A1270&amp;"/"&amp;C1270</f>
        <v>1744</v>
      </c>
      <c r="E1270">
        <v>0.14583333333333334</v>
      </c>
      <c r="F1270" t="str">
        <f>I1270&amp;" "&amp;J1270&amp;" "&amp;K1270&amp;" "&amp;L1270&amp;" "&amp;M1270&amp;" "&amp;N1270</f>
        <v>Summer palace museum   </v>
      </c>
      <c r="G1270" t="s">
        <f>TEXT(D1270,"mmm dd")</f>
        <v>1745</v>
      </c>
      <c r="I1270" t="s">
        <v>503</v>
      </c>
      <c r="J1270" t="inlineStr">
        <is>
          <t>palace</t>
        </is>
      </c>
      <c r="K1270" t="s">
        <v>1746</v>
      </c>
    </row>
    <row r="1271" spans="1:23">
      <c r="A1271">
        <v>28</v>
      </c>
      <c r="B1271">
        <v>7</v>
      </c>
      <c r="C1271">
        <v>2011</v>
      </c>
      <c r="D1271" s="3" t="s">
        <f>B1271&amp;"/"&amp;A1271&amp;"/"&amp;C1271</f>
        <v>1744</v>
      </c>
      <c r="E1271">
        <v>0.39583333333333331</v>
      </c>
      <c r="F1271" t="str">
        <f>I1271&amp;" "&amp;J1271&amp;" "&amp;K1271&amp;" "&amp;L1271&amp;" "&amp;M1271&amp;" "&amp;N1271</f>
        <v>Computer with Murray   </v>
      </c>
      <c r="G1271" t="s">
        <f>TEXT(D1271,"mmm dd")</f>
        <v>1745</v>
      </c>
      <c r="I1271" t="inlineStr">
        <is>
          <t>Computer</t>
        </is>
      </c>
      <c r="J1271" t="s">
        <v>755</v>
      </c>
      <c r="K1271" t="s">
        <v>1008</v>
      </c>
    </row>
    <row r="1272" spans="1:23">
      <c r="A1272">
        <v>28</v>
      </c>
      <c r="B1272">
        <v>7</v>
      </c>
      <c r="C1272">
        <v>2011</v>
      </c>
      <c r="D1272" s="3" t="s">
        <f>B1272&amp;"/"&amp;A1272&amp;"/"&amp;C1272</f>
        <v>1744</v>
      </c>
      <c r="E1272">
        <v>1.0416666666666667</v>
      </c>
      <c r="F1272" t="str">
        <f>I1272&amp;" "&amp;J1272&amp;" "&amp;K1272&amp;" "&amp;L1272&amp;" "&amp;M1272&amp;" "&amp;N1272</f>
        <v>North shore    </v>
      </c>
      <c r="G1272" t="s">
        <f>TEXT(D1272,"mmm dd")</f>
        <v>1745</v>
      </c>
      <c r="I1272" t="s">
        <v>1747</v>
      </c>
      <c r="J1272" t="inlineStr">
        <is>
          <t>shore</t>
        </is>
      </c>
    </row>
    <row r="1273" spans="1:23">
      <c r="A1273">
        <v>28</v>
      </c>
      <c r="B1273">
        <v>7</v>
      </c>
      <c r="C1273">
        <v>2011</v>
      </c>
      <c r="D1273" s="3" t="s">
        <f>B1273&amp;"/"&amp;A1273&amp;"/"&amp;C1273</f>
        <v>1744</v>
      </c>
      <c r="E1273">
        <v>0.91666666666666663</v>
      </c>
      <c r="F1273" t="s">
        <f>I1273&amp;" "&amp;J1273&amp;" "&amp;K1273&amp;" "&amp;L1273&amp;" "&amp;M1273&amp;" "&amp;N1273</f>
        <v>1741</v>
      </c>
      <c r="G1273" t="s">
        <f>TEXT(D1273,"mmm dd")</f>
        <v>1745</v>
      </c>
      <c r="I1273" t="s">
        <v>493</v>
      </c>
    </row>
    <row r="1274" spans="1:23">
      <c r="A1274">
        <v>29</v>
      </c>
      <c r="B1274">
        <v>7</v>
      </c>
      <c r="C1274">
        <v>2011</v>
      </c>
      <c r="D1274" s="3" t="s">
        <f>B1274&amp;"/"&amp;A1274&amp;"/"&amp;C1274</f>
        <v>1748</v>
      </c>
      <c r="E1274">
        <v>0.33333333333333331</v>
      </c>
      <c r="F1274" t="str">
        <f>I1274&amp;" "&amp;J1274&amp;" "&amp;K1274&amp;" "&amp;L1274&amp;" "&amp;M1274&amp;" "&amp;N1274</f>
        <v>Dinner and movie   </v>
      </c>
      <c r="G1274" t="s">
        <f>TEXT(D1274,"mmm dd")</f>
        <v>705</v>
      </c>
      <c r="I1274" t="s">
        <v>838</v>
      </c>
      <c r="J1274" t="s">
        <v>135</v>
      </c>
      <c r="K1274" t="s">
        <v>1749</v>
      </c>
    </row>
    <row r="1275" spans="1:23">
      <c r="A1275">
        <v>29</v>
      </c>
      <c r="B1275">
        <v>7</v>
      </c>
      <c r="C1275">
        <v>2011</v>
      </c>
      <c r="D1275" s="3" t="s">
        <f>B1275&amp;"/"&amp;A1275&amp;"/"&amp;C1275</f>
        <v>1748</v>
      </c>
      <c r="E1275">
        <v>0.95833333333333337</v>
      </c>
      <c r="F1275" t="s">
        <f>I1275&amp;" "&amp;J1275&amp;" "&amp;K1275&amp;" "&amp;L1275&amp;" "&amp;M1275&amp;" "&amp;N1275</f>
        <v>1741</v>
      </c>
      <c r="G1275" t="s">
        <f>TEXT(D1275,"mmm dd")</f>
        <v>705</v>
      </c>
      <c r="I1275" t="s">
        <v>493</v>
      </c>
    </row>
    <row r="1276" spans="1:23">
      <c r="A1276">
        <v>29</v>
      </c>
      <c r="B1276">
        <v>7</v>
      </c>
      <c r="C1276">
        <v>2011</v>
      </c>
      <c r="D1276" s="3" t="s">
        <f>B1276&amp;"/"&amp;A1276&amp;"/"&amp;C1276</f>
        <v>1748</v>
      </c>
      <c r="E1276">
        <v>1</v>
      </c>
      <c r="F1276" t="str">
        <f>I1276&amp;" "&amp;J1276&amp;" "&amp;K1276&amp;" "&amp;L1276&amp;" "&amp;M1276&amp;" "&amp;N1276</f>
        <v>Carol Arney    </v>
      </c>
      <c r="G1276" t="s">
        <f>TEXT(D1276,"mmm dd")</f>
        <v>705</v>
      </c>
      <c r="I1276" t="s">
        <v>1750</v>
      </c>
      <c r="J1276" t="inlineStr">
        <is>
          <t>Arney</t>
        </is>
      </c>
    </row>
    <row r="1277" spans="1:23">
      <c r="A1277">
        <v>29</v>
      </c>
      <c r="B1277">
        <v>7</v>
      </c>
      <c r="C1277">
        <v>2011</v>
      </c>
      <c r="D1277" s="3" t="s">
        <f>B1277&amp;"/"&amp;A1277&amp;"/"&amp;C1277</f>
        <v>1748</v>
      </c>
      <c r="E1277">
        <v>1.0833333333333333</v>
      </c>
      <c r="F1277" t="str">
        <f>I1277&amp;" "&amp;J1277&amp;" "&amp;K1277&amp;" "&amp;L1277&amp;" "&amp;M1277&amp;" "&amp;N1277</f>
        <v>Pali drive    </v>
      </c>
      <c r="G1277" t="s">
        <f>TEXT(D1277,"mmm dd")</f>
        <v>705</v>
      </c>
      <c r="I1277" t="inlineStr">
        <is>
          <t>Pali</t>
        </is>
      </c>
      <c r="J1277" t="s">
        <v>1751</v>
      </c>
    </row>
    <row r="1278" spans="1:23">
      <c r="A1278">
        <v>31</v>
      </c>
      <c r="B1278">
        <v>7</v>
      </c>
      <c r="C1278">
        <v>2011</v>
      </c>
      <c r="D1278" s="3" t="str">
        <f>B1278&amp;"/"&amp;A1278&amp;"/"&amp;C1278</f>
        <v>7/31/2011</v>
      </c>
      <c r="E1278">
        <v>0.27083333333333331</v>
      </c>
      <c r="F1278" t="str">
        <f>I1278&amp;" "&amp;J1278&amp;" "&amp;K1278&amp;" "&amp;L1278&amp;" "&amp;M1278&amp;" "&amp;N1278</f>
        <v>Mass at Fort DeRussey  </v>
      </c>
      <c r="G1278" t="s">
        <f>TEXT(D1278,"mmm dd")</f>
        <v>714</v>
      </c>
      <c r="I1278" t="s">
        <v>1273</v>
      </c>
      <c r="J1278" t="s">
        <v>53</v>
      </c>
      <c r="K1278" t="inlineStr">
        <is>
          <t>Fort</t>
        </is>
      </c>
      <c r="L1278" t="inlineStr">
        <is>
          <t>DeRussey</t>
        </is>
      </c>
    </row>
    <row r="1279" spans="1:23">
      <c r="A1279">
        <v>5</v>
      </c>
      <c r="B1279">
        <v>8</v>
      </c>
      <c r="C1279">
        <v>2011</v>
      </c>
      <c r="D1279" s="3" t="s">
        <f>B1279&amp;"/"&amp;A1279&amp;"/"&amp;C1279</f>
        <v>1752</v>
      </c>
      <c r="E1279">
        <v>0.9375</v>
      </c>
      <c r="F1279" t="s">
        <f>I1279&amp;" "&amp;J1279&amp;" "&amp;K1279&amp;" "&amp;L1279&amp;" "&amp;M1279&amp;" "&amp;N1279</f>
        <v>1753</v>
      </c>
      <c r="G1279" t="s">
        <f>TEXT(D1279,"mmm dd")</f>
        <v>1361</v>
      </c>
      <c r="I1279" t="s">
        <v>1076</v>
      </c>
      <c r="J1279" t="s">
        <v>1754</v>
      </c>
    </row>
    <row r="1280" spans="1:23">
      <c r="A1280">
        <v>5</v>
      </c>
      <c r="B1280">
        <v>8</v>
      </c>
      <c r="C1280">
        <v>2011</v>
      </c>
      <c r="D1280" s="3" t="s">
        <f>B1280&amp;"/"&amp;A1280&amp;"/"&amp;C1280</f>
        <v>1752</v>
      </c>
      <c r="E1280" t="s">
        <v>42</v>
      </c>
      <c r="F1280" t="str">
        <f>I1280&amp;" "&amp;J1280&amp;" "&amp;K1280&amp;" "&amp;L1280&amp;" "&amp;M1280&amp;" "&amp;N1280</f>
        <v>MP Kaua'i    </v>
      </c>
      <c r="G1280" t="s">
        <f>TEXT(D1280,"mmm dd")</f>
        <v>1361</v>
      </c>
      <c r="I1280" t="s">
        <v>1664</v>
      </c>
      <c r="J1280" t="s">
        <v>1755</v>
      </c>
    </row>
    <row r="1281" spans="1:23">
      <c r="A1281">
        <v>11</v>
      </c>
      <c r="B1281">
        <v>8</v>
      </c>
      <c r="C1281">
        <v>2011</v>
      </c>
      <c r="D1281" s="3" t="str">
        <f>B1281&amp;"/"&amp;A1281&amp;"/"&amp;C1281</f>
        <v>8/11/2011</v>
      </c>
      <c r="E1281">
        <v>0.9375</v>
      </c>
      <c r="F1281" t="s">
        <f>I1281&amp;" "&amp;J1281&amp;" "&amp;K1281&amp;" "&amp;L1281&amp;" "&amp;M1281&amp;" "&amp;N1281</f>
        <v>1753</v>
      </c>
      <c r="G1281" t="s">
        <f>TEXT(D1281,"mmm dd")</f>
        <v>744</v>
      </c>
      <c r="I1281" t="s">
        <v>1076</v>
      </c>
      <c r="J1281" t="s">
        <v>1754</v>
      </c>
    </row>
    <row r="1282" spans="1:23">
      <c r="A1282">
        <v>12</v>
      </c>
      <c r="B1282">
        <v>8</v>
      </c>
      <c r="C1282">
        <v>2011</v>
      </c>
      <c r="D1282" s="3" t="str">
        <f>B1282&amp;"/"&amp;A1282&amp;"/"&amp;C1282</f>
        <v>8/12/2011</v>
      </c>
      <c r="E1282">
        <v>0.875</v>
      </c>
      <c r="F1282" t="str">
        <f>I1282&amp;" "&amp;J1282&amp;" "&amp;K1282&amp;" "&amp;L1282&amp;" "&amp;M1282&amp;" "&amp;N1282</f>
        <v>Lydia breakfast    </v>
      </c>
      <c r="G1282" t="s">
        <f>TEXT(D1282,"mmm dd")</f>
        <v>750</v>
      </c>
      <c r="I1282" t="s">
        <v>772</v>
      </c>
      <c r="J1282" t="s">
        <v>1709</v>
      </c>
    </row>
    <row r="1283" spans="1:23">
      <c r="A1283">
        <v>13</v>
      </c>
      <c r="B1283">
        <v>8</v>
      </c>
      <c r="C1283">
        <v>2011</v>
      </c>
      <c r="D1283" s="3" t="s">
        <f>B1283&amp;"/"&amp;A1283&amp;"/"&amp;C1283</f>
        <v>1756</v>
      </c>
      <c r="E1283">
        <v>1.0833333333333333</v>
      </c>
      <c r="F1283" t="str">
        <f>I1283&amp;" "&amp;J1283&amp;" "&amp;K1283&amp;" "&amp;L1283&amp;" "&amp;M1283&amp;" "&amp;N1283</f>
        <v>Audition for Trio at TAG </v>
      </c>
      <c r="G1283" t="s">
        <f>TEXT(D1283,"mmm dd")</f>
        <v>754</v>
      </c>
      <c r="I1283" t="inlineStr">
        <is>
          <t>Audition</t>
        </is>
      </c>
      <c r="J1283" t="s">
        <v>439</v>
      </c>
      <c r="K1283" t="inlineStr">
        <is>
          <t>Trio</t>
        </is>
      </c>
      <c r="L1283" t="s">
        <v>53</v>
      </c>
      <c r="M1283" t="s">
        <v>1757</v>
      </c>
    </row>
    <row r="1284" spans="1:23">
      <c r="A1284">
        <v>13</v>
      </c>
      <c r="B1284">
        <v>8</v>
      </c>
      <c r="C1284">
        <v>2011</v>
      </c>
      <c r="D1284" s="3" t="s">
        <f>B1284&amp;"/"&amp;A1284&amp;"/"&amp;C1284</f>
        <v>1756</v>
      </c>
      <c r="E1284">
        <v>0.33333333333333331</v>
      </c>
      <c r="F1284" t="str">
        <f>I1284&amp;" "&amp;J1284&amp;" "&amp;K1284&amp;" "&amp;L1284&amp;" "&amp;M1284&amp;" "&amp;N1284</f>
        <v>Lydia leaves for South Bend time?</v>
      </c>
      <c r="G1284" t="s">
        <f>TEXT(D1284,"mmm dd")</f>
        <v>754</v>
      </c>
      <c r="I1284" t="s">
        <v>772</v>
      </c>
      <c r="J1284" t="s">
        <v>1322</v>
      </c>
      <c r="K1284" t="s">
        <v>439</v>
      </c>
      <c r="L1284" t="s">
        <v>1758</v>
      </c>
      <c r="M1284" t="s">
        <v>1759</v>
      </c>
      <c r="N1284" t="s">
        <v>537</v>
      </c>
    </row>
    <row r="1285" spans="1:23">
      <c r="A1285">
        <v>15</v>
      </c>
      <c r="B1285">
        <v>8</v>
      </c>
      <c r="C1285">
        <v>2011</v>
      </c>
      <c r="D1285" s="3" t="s">
        <f>B1285&amp;"/"&amp;A1285&amp;"/"&amp;C1285</f>
        <v>1760</v>
      </c>
      <c r="E1285">
        <v>0.27083333333333331</v>
      </c>
      <c r="F1285" t="s">
        <f>I1285&amp;" "&amp;J1285&amp;" "&amp;K1285&amp;" "&amp;L1285&amp;" "&amp;M1285&amp;" "&amp;N1285</f>
        <v>1569</v>
      </c>
      <c r="G1285" t="s">
        <f>TEXT(D1285,"mmm dd")</f>
        <v>776</v>
      </c>
      <c r="I1285" t="s">
        <v>1543</v>
      </c>
    </row>
    <row r="1286" spans="1:23">
      <c r="A1286">
        <v>15</v>
      </c>
      <c r="B1286">
        <v>8</v>
      </c>
      <c r="C1286">
        <v>2011</v>
      </c>
      <c r="D1286" s="3" t="s">
        <f>B1286&amp;"/"&amp;A1286&amp;"/"&amp;C1286</f>
        <v>1760</v>
      </c>
      <c r="E1286">
        <v>1.0833333333333333</v>
      </c>
      <c r="F1286" t="s">
        <f>I1286&amp;" "&amp;J1286&amp;" "&amp;K1286&amp;" "&amp;L1286&amp;" "&amp;M1286&amp;" "&amp;N1286</f>
        <v>1761</v>
      </c>
      <c r="G1286" t="s">
        <f>TEXT(D1286,"mmm dd")</f>
        <v>776</v>
      </c>
      <c r="I1286" t="s">
        <v>1028</v>
      </c>
      <c r="J1286" t="s">
        <v>1706</v>
      </c>
    </row>
    <row r="1287" spans="1:23">
      <c r="A1287">
        <v>16</v>
      </c>
      <c r="B1287">
        <v>8</v>
      </c>
      <c r="C1287">
        <v>2011</v>
      </c>
      <c r="D1287" s="3" t="str">
        <f>B1287&amp;"/"&amp;A1287&amp;"/"&amp;C1287</f>
        <v>8/16/2011</v>
      </c>
      <c r="E1287">
        <v>1.0833333333333333</v>
      </c>
      <c r="F1287" t="str">
        <f>I1287&amp;" "&amp;J1287&amp;" "&amp;K1287&amp;" "&amp;L1287&amp;" "&amp;M1287&amp;" "&amp;N1287</f>
        <v>Convention planning    </v>
      </c>
      <c r="G1287" t="s">
        <f>TEXT(D1287,"mmm dd")</f>
        <v>784</v>
      </c>
      <c r="I1287" t="s">
        <v>1338</v>
      </c>
      <c r="J1287" t="s">
        <v>975</v>
      </c>
    </row>
    <row r="1288" spans="1:23">
      <c r="A1288">
        <v>19</v>
      </c>
      <c r="B1288">
        <v>8</v>
      </c>
      <c r="C1288">
        <v>2011</v>
      </c>
      <c r="D1288" s="3" t="str">
        <f>B1288&amp;"/"&amp;A1288&amp;"/"&amp;C1288</f>
        <v>8/19/2011</v>
      </c>
      <c r="E1288">
        <v>0.29166666666666669</v>
      </c>
      <c r="F1288" t="str">
        <f>I1288&amp;" "&amp;J1288&amp;" "&amp;K1288&amp;" "&amp;L1288&amp;" "&amp;M1288&amp;" "&amp;N1288</f>
        <v>Mary Pat's birthday   </v>
      </c>
      <c r="G1288" t="s">
        <f>TEXT(D1288,"mmm dd")</f>
        <v>805</v>
      </c>
      <c r="I1288" t="s">
        <v>410</v>
      </c>
      <c r="J1288" t="s">
        <v>1762</v>
      </c>
      <c r="K1288" t="s">
        <v>319</v>
      </c>
    </row>
    <row r="1289" spans="1:23">
      <c r="A1289">
        <v>21</v>
      </c>
      <c r="B1289">
        <v>8</v>
      </c>
      <c r="C1289">
        <v>2011</v>
      </c>
      <c r="D1289" s="3" t="str">
        <f>B1289&amp;"/"&amp;A1289&amp;"/"&amp;C1289</f>
        <v>8/21/2011</v>
      </c>
      <c r="E1289">
        <v>1.0833333333333333</v>
      </c>
      <c r="F1289" t="str">
        <f>I1289&amp;" "&amp;J1289&amp;" "&amp;K1289&amp;" "&amp;L1289&amp;" "&amp;M1289&amp;" "&amp;N1289</f>
        <v>Final reading for TAG  </v>
      </c>
      <c r="G1289" t="s">
        <f>TEXT(D1289,"mmm dd")</f>
        <v>818</v>
      </c>
      <c r="I1289" t="s">
        <v>1763</v>
      </c>
      <c r="J1289" t="s">
        <v>1513</v>
      </c>
      <c r="K1289" t="s">
        <v>439</v>
      </c>
      <c r="L1289" t="s">
        <v>1757</v>
      </c>
    </row>
    <row r="1290" spans="1:23">
      <c r="A1290">
        <v>22</v>
      </c>
      <c r="B1290">
        <v>8</v>
      </c>
      <c r="C1290">
        <v>2011</v>
      </c>
      <c r="D1290" s="3" t="str">
        <f>B1290&amp;"/"&amp;A1290&amp;"/"&amp;C1290</f>
        <v>8/22/2011</v>
      </c>
      <c r="E1290">
        <v>0.29166666666666669</v>
      </c>
      <c r="F1290" t="str">
        <f>I1290&amp;" "&amp;J1290&amp;" "&amp;K1290&amp;" "&amp;L1290&amp;" "&amp;M1290&amp;" "&amp;N1290</f>
        <v>Party for Mary Pat  </v>
      </c>
      <c r="G1290" t="s">
        <f>TEXT(D1290,"mmm dd")</f>
        <v>824</v>
      </c>
      <c r="I1290" t="s">
        <v>1052</v>
      </c>
      <c r="J1290" t="s">
        <v>439</v>
      </c>
      <c r="K1290" t="s">
        <v>410</v>
      </c>
      <c r="L1290" t="s">
        <v>702</v>
      </c>
    </row>
    <row r="1291" spans="1:23">
      <c r="A1291">
        <v>24</v>
      </c>
      <c r="B1291">
        <v>8</v>
      </c>
      <c r="C1291">
        <v>2011</v>
      </c>
      <c r="D1291" s="3" t="s">
        <f>B1291&amp;"/"&amp;A1291&amp;"/"&amp;C1291</f>
        <v>1764</v>
      </c>
      <c r="E1291">
        <v>0.9375</v>
      </c>
      <c r="F1291" t="str">
        <f>I1291&amp;" "&amp;J1291&amp;" "&amp;K1291&amp;" "&amp;L1291&amp;" "&amp;M1291&amp;" "&amp;N1291</f>
        <v>Genesis class    </v>
      </c>
      <c r="G1291" t="s">
        <f>TEXT(D1291,"mmm dd")</f>
        <v>1372</v>
      </c>
      <c r="I1291" t="inlineStr">
        <is>
          <t>Genesis</t>
        </is>
      </c>
      <c r="J1291" t="s">
        <v>857</v>
      </c>
    </row>
    <row r="1292" spans="1:23">
      <c r="A1292">
        <v>24</v>
      </c>
      <c r="B1292">
        <v>8</v>
      </c>
      <c r="C1292">
        <v>2011</v>
      </c>
      <c r="D1292" s="3" t="s">
        <f>B1292&amp;"/"&amp;A1292&amp;"/"&amp;C1292</f>
        <v>1764</v>
      </c>
      <c r="E1292">
        <v>0.89583333333333337</v>
      </c>
      <c r="F1292" t="str">
        <f>I1292&amp;" "&amp;J1292&amp;" "&amp;K1292&amp;" "&amp;L1292&amp;" "&amp;M1292&amp;" "&amp;N1292</f>
        <v>Tim Luria to sign docs </v>
      </c>
      <c r="G1292" t="s">
        <f>TEXT(D1292,"mmm dd")</f>
        <v>1372</v>
      </c>
      <c r="I1292" t="s">
        <v>1423</v>
      </c>
      <c r="J1292" t="s">
        <v>1706</v>
      </c>
      <c r="K1292" t="s">
        <v>449</v>
      </c>
      <c r="L1292" t="inlineStr">
        <is>
          <t>sign</t>
        </is>
      </c>
      <c r="M1292" t="s">
        <v>1765</v>
      </c>
    </row>
    <row r="1293" spans="1:23">
      <c r="A1293">
        <v>4</v>
      </c>
      <c r="B1293">
        <v>9</v>
      </c>
      <c r="C1293">
        <v>2011</v>
      </c>
      <c r="D1293" s="3" t="str">
        <f>B1293&amp;"/"&amp;A1293&amp;"/"&amp;C1293</f>
        <v>9/4/2011</v>
      </c>
      <c r="E1293">
        <v>0.27083333333333331</v>
      </c>
      <c r="F1293" t="str">
        <f>I1293&amp;" "&amp;J1293&amp;" "&amp;K1293&amp;" "&amp;L1293&amp;" "&amp;M1293&amp;" "&amp;N1293</f>
        <v>Barb for cookout   </v>
      </c>
      <c r="G1293" t="s">
        <f>TEXT(D1293,"mmm dd")</f>
        <v>1766</v>
      </c>
      <c r="I1293" t="s">
        <v>1707</v>
      </c>
      <c r="J1293" t="s">
        <v>439</v>
      </c>
      <c r="K1293" t="inlineStr">
        <is>
          <t>cookout</t>
        </is>
      </c>
    </row>
    <row r="1294" spans="1:23">
      <c r="A1294">
        <v>16</v>
      </c>
      <c r="B1294">
        <v>9</v>
      </c>
      <c r="C1294">
        <v>2011</v>
      </c>
      <c r="D1294" s="3" t="s">
        <f>B1294&amp;"/"&amp;A1294&amp;"/"&amp;C1294</f>
        <v>1767</v>
      </c>
      <c r="E1294" t="s">
        <v>42</v>
      </c>
      <c r="F1294" t="s">
        <f>I1294&amp;" "&amp;J1294&amp;" "&amp;K1294&amp;" "&amp;L1294&amp;" "&amp;M1294&amp;" "&amp;N1294</f>
        <v>1768</v>
      </c>
      <c r="G1294" t="s">
        <f>TEXT(D1294,"mmm dd")</f>
        <v>870</v>
      </c>
      <c r="I1294" t="s">
        <v>1769</v>
      </c>
      <c r="J1294" t="s">
        <v>1770</v>
      </c>
      <c r="K1294" t="s">
        <v>319</v>
      </c>
    </row>
    <row r="1295" spans="1:23">
      <c r="A1295">
        <v>29</v>
      </c>
      <c r="B1295">
        <v>9</v>
      </c>
      <c r="C1295">
        <v>2011</v>
      </c>
      <c r="D1295" s="3" t="str">
        <f>B1295&amp;"/"&amp;A1295&amp;"/"&amp;C1295</f>
        <v>9/29/2011</v>
      </c>
      <c r="E1295">
        <v>0.56944444444444442</v>
      </c>
      <c r="F1295" t="str">
        <f>I1295&amp;" "&amp;J1295&amp;" "&amp;K1295&amp;" "&amp;L1295&amp;" "&amp;M1295&amp;" "&amp;N1295</f>
        <v>Lunch to Chaminade   </v>
      </c>
      <c r="G1295" t="s">
        <f>TEXT(D1295,"mmm dd")</f>
        <v>1771</v>
      </c>
      <c r="I1295" t="s">
        <v>813</v>
      </c>
      <c r="J1295" t="s">
        <v>449</v>
      </c>
      <c r="K1295" t="s">
        <v>1331</v>
      </c>
    </row>
    <row r="1296" spans="1:23">
      <c r="A1296">
        <v>5</v>
      </c>
      <c r="B1296">
        <v>10</v>
      </c>
      <c r="C1296">
        <v>2011</v>
      </c>
      <c r="D1296" s="3" t="s">
        <f>B1296&amp;"/"&amp;A1296&amp;"/"&amp;C1296</f>
        <v>1772</v>
      </c>
      <c r="E1296">
        <v>0.89583333333333337</v>
      </c>
      <c r="F1296" t="str">
        <f>I1296&amp;" "&amp;J1296&amp;" "&amp;K1296&amp;" "&amp;L1296&amp;" "&amp;M1296&amp;" "&amp;N1296</f>
        <v>Diane Kishimoto    </v>
      </c>
      <c r="G1296" t="s">
        <f>TEXT(D1296,"mmm dd")</f>
        <v>1612</v>
      </c>
      <c r="I1296" t="s">
        <v>1773</v>
      </c>
      <c r="J1296" t="inlineStr">
        <is>
          <t>Kishimoto</t>
        </is>
      </c>
    </row>
    <row r="1297" spans="1:23">
      <c r="A1297">
        <v>5</v>
      </c>
      <c r="B1297">
        <v>10</v>
      </c>
      <c r="C1297">
        <v>2011</v>
      </c>
      <c r="D1297" s="3" t="s">
        <f>B1297&amp;"/"&amp;A1297&amp;"/"&amp;C1297</f>
        <v>1772</v>
      </c>
      <c r="E1297">
        <v>0.16666666666666666</v>
      </c>
      <c r="F1297" t="str">
        <f>I1297&amp;" "&amp;J1297&amp;" "&amp;K1297&amp;" "&amp;L1297&amp;" "&amp;M1297&amp;" "&amp;N1297</f>
        <v>Bishops cabinet    </v>
      </c>
      <c r="G1297" t="s">
        <f>TEXT(D1297,"mmm dd")</f>
        <v>1612</v>
      </c>
      <c r="I1297" t="inlineStr">
        <is>
          <t>Bishops</t>
        </is>
      </c>
      <c r="J1297" t="inlineStr">
        <is>
          <t>cabinet</t>
        </is>
      </c>
    </row>
    <row r="1298" spans="1:23">
      <c r="A1298">
        <v>6</v>
      </c>
      <c r="B1298">
        <v>10</v>
      </c>
      <c r="C1298">
        <v>2011</v>
      </c>
      <c r="D1298" s="3" t="str">
        <f>B1298&amp;"/"&amp;A1298&amp;"/"&amp;C1298</f>
        <v>10/6/2011</v>
      </c>
      <c r="E1298">
        <v>0.14583333333333334</v>
      </c>
      <c r="F1298" t="str">
        <f>I1298&amp;" "&amp;J1298&amp;" "&amp;K1298&amp;" "&amp;L1298&amp;" "&amp;M1298&amp;" "&amp;N1298</f>
        <v>Barb Street    </v>
      </c>
      <c r="G1298" t="s">
        <f>TEXT(D1298,"mmm dd")</f>
        <v>1615</v>
      </c>
      <c r="I1298" t="s">
        <v>1707</v>
      </c>
      <c r="J1298" t="s">
        <v>1770</v>
      </c>
    </row>
    <row r="1299" spans="1:23">
      <c r="A1299">
        <v>10</v>
      </c>
      <c r="B1299">
        <v>10</v>
      </c>
      <c r="C1299">
        <v>2011</v>
      </c>
      <c r="D1299" s="3" t="str">
        <f>B1299&amp;"/"&amp;A1299&amp;"/"&amp;C1299</f>
        <v>10/10/2011</v>
      </c>
      <c r="E1299">
        <v>0.35416666666666669</v>
      </c>
      <c r="F1299" t="str">
        <f>I1299&amp;" "&amp;J1299&amp;" "&amp;K1299&amp;" "&amp;L1299&amp;" "&amp;M1299&amp;" "&amp;N1299</f>
        <v>Chaminade white mass   </v>
      </c>
      <c r="G1299" t="s">
        <f>TEXT(D1299,"mmm dd")</f>
        <v>1401</v>
      </c>
      <c r="I1299" t="s">
        <v>1331</v>
      </c>
      <c r="J1299" t="s">
        <v>414</v>
      </c>
      <c r="K1299" t="s">
        <v>1774</v>
      </c>
    </row>
    <row r="1300" spans="1:23">
      <c r="A1300">
        <v>13</v>
      </c>
      <c r="B1300">
        <v>10</v>
      </c>
      <c r="C1300">
        <v>2011</v>
      </c>
      <c r="D1300" s="3" t="str">
        <f>B1300&amp;"/"&amp;A1300&amp;"/"&amp;C1300</f>
        <v>10/13/2011</v>
      </c>
      <c r="E1300">
        <v>1.0833333333333333</v>
      </c>
      <c r="F1300" t="str">
        <f>I1300&amp;" "&amp;J1300&amp;" "&amp;K1300&amp;" "&amp;L1300&amp;" "&amp;M1300&amp;" "&amp;N1300</f>
        <v>Meet Nicole Kenji   </v>
      </c>
      <c r="G1300" t="s">
        <f>TEXT(D1300,"mmm dd")</f>
        <v>1775</v>
      </c>
      <c r="I1300" t="s">
        <v>300</v>
      </c>
      <c r="J1300" t="s">
        <v>1776</v>
      </c>
      <c r="K1300" t="s">
        <v>1777</v>
      </c>
    </row>
    <row r="1301" spans="1:23">
      <c r="A1301">
        <v>20</v>
      </c>
      <c r="B1301">
        <v>10</v>
      </c>
      <c r="C1301">
        <v>2011</v>
      </c>
      <c r="D1301" s="3" t="s">
        <f>B1301&amp;"/"&amp;A1301&amp;"/"&amp;C1301</f>
        <v>1778</v>
      </c>
      <c r="E1301">
        <v>1.0416666666666667</v>
      </c>
      <c r="F1301" t="str">
        <f>I1301&amp;" "&amp;J1301&amp;" "&amp;K1301&amp;" "&amp;L1301&amp;" "&amp;M1301&amp;" "&amp;N1301</f>
        <v>HPR fundraiser with Cathy Bowers </v>
      </c>
      <c r="G1301" t="s">
        <f>TEXT(D1301,"mmm dd")</f>
        <v>1408</v>
      </c>
      <c r="I1301" t="inlineStr">
        <is>
          <t>HPR</t>
        </is>
      </c>
      <c r="J1301" t="inlineStr">
        <is>
          <t>fundraiser</t>
        </is>
      </c>
      <c r="K1301" t="s">
        <v>755</v>
      </c>
      <c r="L1301" t="s">
        <v>1779</v>
      </c>
      <c r="M1301" t="inlineStr">
        <is>
          <t>Bowers</t>
        </is>
      </c>
    </row>
    <row r="1302" spans="1:23">
      <c r="A1302">
        <v>20</v>
      </c>
      <c r="B1302">
        <v>10</v>
      </c>
      <c r="C1302">
        <v>2011</v>
      </c>
      <c r="D1302" s="3" t="s">
        <f>B1302&amp;"/"&amp;A1302&amp;"/"&amp;C1302</f>
        <v>1778</v>
      </c>
      <c r="E1302">
        <v>0.97916666666666663</v>
      </c>
      <c r="F1302" t="str">
        <f>I1302&amp;" "&amp;J1302&amp;" "&amp;K1302&amp;" "&amp;L1302&amp;" "&amp;M1302&amp;" "&amp;N1302</f>
        <v>Yoshioka funeral    </v>
      </c>
      <c r="G1302" t="s">
        <f>TEXT(D1302,"mmm dd")</f>
        <v>1408</v>
      </c>
      <c r="I1302" t="s">
        <v>1669</v>
      </c>
      <c r="J1302" t="s">
        <v>1116</v>
      </c>
    </row>
    <row r="1303" spans="1:23">
      <c r="A1303">
        <v>27</v>
      </c>
      <c r="B1303">
        <v>10</v>
      </c>
      <c r="C1303">
        <v>2011</v>
      </c>
      <c r="D1303" s="3" t="s">
        <f>B1303&amp;"/"&amp;A1303&amp;"/"&amp;C1303</f>
        <v>1780</v>
      </c>
      <c r="E1303">
        <v>0.29166666666666669</v>
      </c>
      <c r="F1303" t="str">
        <f>I1303&amp;" "&amp;J1303&amp;" "&amp;K1303&amp;" "&amp;L1303&amp;" "&amp;M1303&amp;" "&amp;N1303</f>
        <v>MP early practice   </v>
      </c>
      <c r="G1303" t="s">
        <f>TEXT(D1303,"mmm dd")</f>
        <v>1781</v>
      </c>
      <c r="I1303" t="s">
        <v>1664</v>
      </c>
      <c r="J1303" t="s">
        <v>1782</v>
      </c>
      <c r="K1303" t="s">
        <v>362</v>
      </c>
    </row>
    <row r="1304" spans="1:23">
      <c r="A1304">
        <v>27</v>
      </c>
      <c r="B1304">
        <v>10</v>
      </c>
      <c r="C1304">
        <v>2011</v>
      </c>
      <c r="D1304" s="3" t="s">
        <f>B1304&amp;"/"&amp;A1304&amp;"/"&amp;C1304</f>
        <v>1780</v>
      </c>
      <c r="E1304">
        <v>0.875</v>
      </c>
      <c r="F1304" t="str">
        <f>I1304&amp;" "&amp;J1304&amp;" "&amp;K1304&amp;" "&amp;L1304&amp;" "&amp;M1304&amp;" "&amp;N1304</f>
        <v>MP breakfast TI guy  </v>
      </c>
      <c r="G1304" t="s">
        <f>TEXT(D1304,"mmm dd")</f>
        <v>1781</v>
      </c>
      <c r="I1304" t="s">
        <v>1664</v>
      </c>
      <c r="J1304" t="s">
        <v>1709</v>
      </c>
      <c r="K1304" t="inlineStr">
        <is>
          <t>TI</t>
        </is>
      </c>
      <c r="L1304" t="inlineStr">
        <is>
          <t>guy</t>
        </is>
      </c>
    </row>
    <row r="1305" spans="1:23">
      <c r="A1305">
        <v>31</v>
      </c>
      <c r="B1305">
        <v>10</v>
      </c>
      <c r="C1305">
        <v>2011</v>
      </c>
      <c r="D1305" s="3" t="str">
        <f>B1305&amp;"/"&amp;A1305&amp;"/"&amp;C1305</f>
        <v>10/31/2011</v>
      </c>
      <c r="E1305">
        <v>0.89583333333333337</v>
      </c>
      <c r="F1305" t="str">
        <f>I1305&amp;" "&amp;J1305&amp;" "&amp;K1305&amp;" "&amp;L1305&amp;" "&amp;M1305&amp;" "&amp;N1305</f>
        <v>Halloween parade angels at St. Mary's</v>
      </c>
      <c r="G1305" t="s">
        <f>TEXT(D1305,"mmm dd")</f>
        <v>30</v>
      </c>
      <c r="I1305" t="s">
        <v>972</v>
      </c>
      <c r="J1305" t="s">
        <v>1414</v>
      </c>
      <c r="K1305" t="s">
        <v>854</v>
      </c>
      <c r="L1305" t="s">
        <v>53</v>
      </c>
      <c r="M1305" t="s">
        <v>218</v>
      </c>
      <c r="N1305" t="s">
        <v>265</v>
      </c>
    </row>
    <row r="1306" spans="1:23">
      <c r="A1306">
        <v>3</v>
      </c>
      <c r="B1306">
        <v>11</v>
      </c>
      <c r="C1306">
        <v>2011</v>
      </c>
      <c r="D1306" s="3" t="str">
        <f>B1306&amp;"/"&amp;A1306&amp;"/"&amp;C1306</f>
        <v>11/3/2011</v>
      </c>
      <c r="E1306" t="s">
        <v>42</v>
      </c>
      <c r="F1306" t="s">
        <f>I1306&amp;" "&amp;J1306&amp;" "&amp;K1306&amp;" "&amp;L1306&amp;" "&amp;M1306&amp;" "&amp;N1306</f>
        <v>1644</v>
      </c>
      <c r="G1306" t="s">
        <f>TEXT(D1306,"mmm dd")</f>
        <v>33</v>
      </c>
      <c r="I1306" t="s">
        <v>1640</v>
      </c>
    </row>
    <row r="1307" spans="1:23">
      <c r="A1307">
        <v>4</v>
      </c>
      <c r="B1307">
        <v>11</v>
      </c>
      <c r="C1307">
        <v>2011</v>
      </c>
      <c r="D1307" s="3" t="s">
        <f>B1307&amp;"/"&amp;A1307&amp;"/"&amp;C1307</f>
        <v>1783</v>
      </c>
      <c r="E1307">
        <v>0.97916666666666663</v>
      </c>
      <c r="F1307" t="s">
        <f>I1307&amp;" "&amp;J1307&amp;" "&amp;K1307&amp;" "&amp;L1307&amp;" "&amp;M1307&amp;" "&amp;N1307</f>
        <v>1784</v>
      </c>
      <c r="G1307" t="s">
        <f>TEXT(D1307,"mmm dd")</f>
        <v>34</v>
      </c>
      <c r="I1307" t="s">
        <v>1640</v>
      </c>
      <c r="J1307" t="s">
        <v>908</v>
      </c>
    </row>
    <row r="1308" spans="1:23">
      <c r="A1308">
        <v>4</v>
      </c>
      <c r="B1308">
        <v>11</v>
      </c>
      <c r="C1308">
        <v>2011</v>
      </c>
      <c r="D1308" s="3" t="s">
        <f>B1308&amp;"/"&amp;A1308&amp;"/"&amp;C1308</f>
        <v>1783</v>
      </c>
      <c r="E1308">
        <v>0.91666666666666663</v>
      </c>
      <c r="F1308" t="str">
        <f>I1308&amp;" "&amp;J1308&amp;" "&amp;K1308&amp;" "&amp;L1308&amp;" "&amp;M1308&amp;" "&amp;N1308</f>
        <v>Keynote BILAC    </v>
      </c>
      <c r="G1308" t="s">
        <f>TEXT(D1308,"mmm dd")</f>
        <v>34</v>
      </c>
      <c r="I1308" t="s">
        <v>1785</v>
      </c>
      <c r="J1308" t="s">
        <v>1640</v>
      </c>
    </row>
    <row r="1309" spans="1:23">
      <c r="A1309">
        <v>4</v>
      </c>
      <c r="B1309">
        <v>11</v>
      </c>
      <c r="C1309">
        <v>2011</v>
      </c>
      <c r="D1309" s="3" t="s">
        <f>B1309&amp;"/"&amp;A1309&amp;"/"&amp;C1309</f>
        <v>1783</v>
      </c>
      <c r="E1309">
        <v>1.0833333333333333</v>
      </c>
      <c r="F1309" t="s">
        <f>I1309&amp;" "&amp;J1309&amp;" "&amp;K1309&amp;" "&amp;L1309&amp;" "&amp;M1309&amp;" "&amp;N1309</f>
        <v>1786</v>
      </c>
      <c r="G1309" t="s">
        <f>TEXT(D1309,"mmm dd")</f>
        <v>34</v>
      </c>
      <c r="I1309" t="s">
        <v>1640</v>
      </c>
      <c r="J1309" t="s">
        <v>205</v>
      </c>
    </row>
    <row r="1310" spans="1:23">
      <c r="A1310">
        <v>4</v>
      </c>
      <c r="B1310">
        <v>11</v>
      </c>
      <c r="C1310">
        <v>2011</v>
      </c>
      <c r="D1310" s="3" t="s">
        <f>B1310&amp;"/"&amp;A1310&amp;"/"&amp;C1310</f>
        <v>1783</v>
      </c>
      <c r="E1310">
        <v>0.33333333333333331</v>
      </c>
      <c r="F1310" t="s">
        <f>I1310&amp;" "&amp;J1310&amp;" "&amp;K1310&amp;" "&amp;L1310&amp;" "&amp;M1310&amp;" "&amp;N1310</f>
        <v>1639</v>
      </c>
      <c r="G1310" t="s">
        <f>TEXT(D1310,"mmm dd")</f>
        <v>34</v>
      </c>
      <c r="I1310" t="s">
        <v>968</v>
      </c>
      <c r="J1310" t="s">
        <v>1640</v>
      </c>
    </row>
    <row r="1311" spans="1:23">
      <c r="A1311">
        <v>5</v>
      </c>
      <c r="B1311">
        <v>11</v>
      </c>
      <c r="C1311">
        <v>2011</v>
      </c>
      <c r="D1311" s="3" t="s">
        <f>B1311&amp;"/"&amp;A1311&amp;"/"&amp;C1311</f>
        <v>1787</v>
      </c>
      <c r="E1311">
        <v>0.91666666666666663</v>
      </c>
      <c r="F1311" t="str">
        <f>I1311&amp;" "&amp;J1311&amp;" "&amp;K1311&amp;" "&amp;L1311&amp;" "&amp;M1311&amp;" "&amp;N1311</f>
        <v>keynote BILAC    </v>
      </c>
      <c r="G1311" t="s">
        <f>TEXT(D1311,"mmm dd")</f>
        <v>35</v>
      </c>
      <c r="I1311" t="inlineStr">
        <is>
          <t>keynote</t>
        </is>
      </c>
      <c r="J1311" t="s">
        <v>1640</v>
      </c>
    </row>
    <row r="1312" spans="1:23">
      <c r="A1312">
        <v>5</v>
      </c>
      <c r="B1312">
        <v>11</v>
      </c>
      <c r="C1312">
        <v>2011</v>
      </c>
      <c r="D1312" s="3" t="s">
        <f>B1312&amp;"/"&amp;A1312&amp;"/"&amp;C1312</f>
        <v>1787</v>
      </c>
      <c r="E1312">
        <v>0.95833333333333337</v>
      </c>
      <c r="F1312" t="str">
        <f>I1312&amp;" "&amp;J1312&amp;" "&amp;K1312&amp;" "&amp;L1312&amp;" "&amp;M1312&amp;" "&amp;N1312</f>
        <v>TAG rehearsal    </v>
      </c>
      <c r="G1312" t="s">
        <f>TEXT(D1312,"mmm dd")</f>
        <v>35</v>
      </c>
      <c r="I1312" t="s">
        <v>1757</v>
      </c>
      <c r="J1312" t="s">
        <v>863</v>
      </c>
    </row>
    <row r="1313" spans="1:23">
      <c r="A1313">
        <v>5</v>
      </c>
      <c r="B1313">
        <v>11</v>
      </c>
      <c r="C1313">
        <v>2011</v>
      </c>
      <c r="D1313" s="3" t="s">
        <f>B1313&amp;"/"&amp;A1313&amp;"/"&amp;C1313</f>
        <v>1787</v>
      </c>
      <c r="E1313">
        <v>0.14583333333333334</v>
      </c>
      <c r="F1313" t="s">
        <f>I1313&amp;" "&amp;J1313&amp;" "&amp;K1313&amp;" "&amp;L1313&amp;" "&amp;M1313&amp;" "&amp;N1313</f>
        <v>1784</v>
      </c>
      <c r="G1313" t="s">
        <f>TEXT(D1313,"mmm dd")</f>
        <v>35</v>
      </c>
      <c r="I1313" t="s">
        <v>1640</v>
      </c>
      <c r="J1313" t="s">
        <v>908</v>
      </c>
    </row>
    <row r="1314" spans="1:23">
      <c r="A1314">
        <v>5</v>
      </c>
      <c r="B1314">
        <v>11</v>
      </c>
      <c r="C1314">
        <v>2011</v>
      </c>
      <c r="D1314" s="3" t="s">
        <f>B1314&amp;"/"&amp;A1314&amp;"/"&amp;C1314</f>
        <v>1787</v>
      </c>
      <c r="E1314">
        <v>1.0833333333333333</v>
      </c>
      <c r="F1314" t="s">
        <f>I1314&amp;" "&amp;J1314&amp;" "&amp;K1314&amp;" "&amp;L1314&amp;" "&amp;M1314&amp;" "&amp;N1314</f>
        <v>1786</v>
      </c>
      <c r="G1314" t="s">
        <f>TEXT(D1314,"mmm dd")</f>
        <v>35</v>
      </c>
      <c r="I1314" t="s">
        <v>1640</v>
      </c>
      <c r="J1314" t="s">
        <v>205</v>
      </c>
    </row>
    <row r="1315" spans="1:23">
      <c r="A1315">
        <v>5</v>
      </c>
      <c r="B1315">
        <v>11</v>
      </c>
      <c r="C1315">
        <v>2011</v>
      </c>
      <c r="D1315" s="3" t="s">
        <f>B1315&amp;"/"&amp;A1315&amp;"/"&amp;C1315</f>
        <v>1787</v>
      </c>
      <c r="E1315">
        <v>0.22916666666666666</v>
      </c>
      <c r="F1315" t="str">
        <f>I1315&amp;" "&amp;J1315&amp;" "&amp;K1315&amp;" "&amp;L1315&amp;" "&amp;M1315&amp;" "&amp;N1315</f>
        <v>BILAC evening prayer   </v>
      </c>
      <c r="G1315" t="s">
        <f>TEXT(D1315,"mmm dd")</f>
        <v>35</v>
      </c>
      <c r="I1315" t="s">
        <v>1640</v>
      </c>
      <c r="J1315" t="s">
        <v>1788</v>
      </c>
      <c r="K1315" t="s">
        <v>1480</v>
      </c>
    </row>
    <row r="1316" spans="1:23">
      <c r="A1316">
        <v>5</v>
      </c>
      <c r="B1316">
        <v>11</v>
      </c>
      <c r="C1316">
        <v>2011</v>
      </c>
      <c r="D1316" s="3" t="s">
        <f>B1316&amp;"/"&amp;A1316&amp;"/"&amp;C1316</f>
        <v>1787</v>
      </c>
      <c r="E1316">
        <v>0.97916666666666663</v>
      </c>
      <c r="F1316" t="s">
        <f>I1316&amp;" "&amp;J1316&amp;" "&amp;K1316&amp;" "&amp;L1316&amp;" "&amp;M1316&amp;" "&amp;N1316</f>
        <v>1784</v>
      </c>
      <c r="G1316" t="s">
        <f>TEXT(D1316,"mmm dd")</f>
        <v>35</v>
      </c>
      <c r="I1316" t="s">
        <v>1640</v>
      </c>
      <c r="J1316" t="s">
        <v>908</v>
      </c>
    </row>
    <row r="1317" spans="1:23">
      <c r="A1317">
        <v>6</v>
      </c>
      <c r="B1317">
        <v>11</v>
      </c>
      <c r="C1317">
        <v>2011</v>
      </c>
      <c r="D1317" s="3" t="s">
        <f>B1317&amp;"/"&amp;A1317&amp;"/"&amp;C1317</f>
        <v>1789</v>
      </c>
      <c r="E1317">
        <v>0.29166666666666669</v>
      </c>
      <c r="F1317" t="str">
        <f>I1317&amp;" "&amp;J1317&amp;" "&amp;K1317&amp;" "&amp;L1317&amp;" "&amp;M1317&amp;" "&amp;N1317</f>
        <v>BILAC closing Luau   </v>
      </c>
      <c r="G1317" t="s">
        <f>TEXT(D1317,"mmm dd")</f>
        <v>1645</v>
      </c>
      <c r="I1317" t="s">
        <v>1640</v>
      </c>
      <c r="J1317" t="s">
        <v>1790</v>
      </c>
      <c r="K1317" t="s">
        <v>739</v>
      </c>
    </row>
    <row r="1318" spans="1:23">
      <c r="A1318">
        <v>6</v>
      </c>
      <c r="B1318">
        <v>11</v>
      </c>
      <c r="C1318">
        <v>2011</v>
      </c>
      <c r="D1318" s="3" t="s">
        <f>B1318&amp;"/"&amp;A1318&amp;"/"&amp;C1318</f>
        <v>1789</v>
      </c>
      <c r="E1318">
        <v>0.35416666666666669</v>
      </c>
      <c r="F1318" t="str">
        <f>I1318&amp;" "&amp;J1318&amp;" "&amp;K1318&amp;" "&amp;L1318&amp;" "&amp;M1318&amp;" "&amp;N1318</f>
        <v>A Thousand Clowns   </v>
      </c>
      <c r="G1318" t="s">
        <f>TEXT(D1318,"mmm dd")</f>
        <v>1645</v>
      </c>
      <c r="I1318" t="s">
        <v>1575</v>
      </c>
      <c r="J1318" t="inlineStr">
        <is>
          <t>Thousand</t>
        </is>
      </c>
      <c r="K1318" t="inlineStr">
        <is>
          <t>Clowns</t>
        </is>
      </c>
    </row>
    <row r="1319" spans="1:23">
      <c r="A1319">
        <v>6</v>
      </c>
      <c r="B1319">
        <v>11</v>
      </c>
      <c r="C1319">
        <v>2011</v>
      </c>
      <c r="D1319" s="3" t="s">
        <f>B1319&amp;"/"&amp;A1319&amp;"/"&amp;C1319</f>
        <v>1789</v>
      </c>
      <c r="E1319">
        <v>0.20833333333333334</v>
      </c>
      <c r="F1319" t="str">
        <f>I1319&amp;" "&amp;J1319&amp;" "&amp;K1319&amp;" "&amp;L1319&amp;" "&amp;M1319&amp;" "&amp;N1319</f>
        <v>BILAC closing Eucharist   </v>
      </c>
      <c r="G1319" t="s">
        <f>TEXT(D1319,"mmm dd")</f>
        <v>1645</v>
      </c>
      <c r="I1319" t="s">
        <v>1640</v>
      </c>
      <c r="J1319" t="s">
        <v>1790</v>
      </c>
      <c r="K1319" t="s">
        <v>69</v>
      </c>
    </row>
    <row r="1320" spans="1:23">
      <c r="A1320">
        <v>6</v>
      </c>
      <c r="B1320">
        <v>11</v>
      </c>
      <c r="C1320">
        <v>2011</v>
      </c>
      <c r="D1320" s="3" t="s">
        <f>B1320&amp;"/"&amp;A1320&amp;"/"&amp;C1320</f>
        <v>1789</v>
      </c>
      <c r="E1320">
        <v>0.14583333333333334</v>
      </c>
      <c r="F1320" t="s">
        <f>I1320&amp;" "&amp;J1320&amp;" "&amp;K1320&amp;" "&amp;L1320&amp;" "&amp;M1320&amp;" "&amp;N1320</f>
        <v>1784</v>
      </c>
      <c r="G1320" t="s">
        <f>TEXT(D1320,"mmm dd")</f>
        <v>1645</v>
      </c>
      <c r="I1320" t="s">
        <v>1640</v>
      </c>
      <c r="J1320" t="s">
        <v>908</v>
      </c>
    </row>
    <row r="1321" spans="1:23">
      <c r="A1321">
        <v>7</v>
      </c>
      <c r="B1321">
        <v>11</v>
      </c>
      <c r="C1321">
        <v>2011</v>
      </c>
      <c r="D1321" s="3" t="str">
        <f>B1321&amp;"/"&amp;A1321&amp;"/"&amp;C1321</f>
        <v>11/7/2011</v>
      </c>
      <c r="E1321">
        <v>1</v>
      </c>
      <c r="F1321" t="str">
        <f>I1321&amp;" "&amp;J1321&amp;" "&amp;K1321&amp;" "&amp;L1321&amp;" "&amp;M1321&amp;" "&amp;N1321</f>
        <v>Dr Liu test   </v>
      </c>
      <c r="G1321" t="s">
        <f>TEXT(D1321,"mmm dd")</f>
        <v>1417</v>
      </c>
      <c r="I1321" t="s">
        <v>1791</v>
      </c>
      <c r="J1321" t="s">
        <v>1792</v>
      </c>
      <c r="K1321" t="s">
        <v>768</v>
      </c>
      <c r="O1321" t="s">
        <v>1793</v>
      </c>
    </row>
    <row r="1322" spans="1:23">
      <c r="A1322">
        <v>9</v>
      </c>
      <c r="B1322">
        <v>11</v>
      </c>
      <c r="C1322">
        <v>2011</v>
      </c>
      <c r="D1322" s="3" t="str">
        <f>B1322&amp;"/"&amp;A1322&amp;"/"&amp;C1322</f>
        <v>11/9/2011</v>
      </c>
      <c r="E1322">
        <v>0.14583333333333334</v>
      </c>
      <c r="F1322" t="str">
        <f>I1322&amp;" "&amp;J1322&amp;" "&amp;K1322&amp;" "&amp;L1322&amp;" "&amp;M1322&amp;" "&amp;N1322</f>
        <v>Rehearsal for Kenji Nicole  </v>
      </c>
      <c r="G1322" t="s">
        <f>TEXT(D1322,"mmm dd")</f>
        <v>1421</v>
      </c>
      <c r="I1322" t="s">
        <v>313</v>
      </c>
      <c r="J1322" t="s">
        <v>439</v>
      </c>
      <c r="K1322" t="s">
        <v>1777</v>
      </c>
      <c r="L1322" t="s">
        <v>1776</v>
      </c>
    </row>
    <row r="1323" spans="1:23">
      <c r="A1323">
        <v>12</v>
      </c>
      <c r="B1323">
        <v>11</v>
      </c>
      <c r="C1323">
        <v>2011</v>
      </c>
      <c r="D1323" s="3" t="s">
        <f>B1323&amp;"/"&amp;A1323&amp;"/"&amp;C1323</f>
        <v>1794</v>
      </c>
      <c r="E1323">
        <v>1</v>
      </c>
      <c r="F1323" t="str">
        <f>I1323&amp;" "&amp;J1323&amp;" "&amp;K1323&amp;" "&amp;L1323&amp;" "&amp;M1323&amp;" "&amp;N1323</f>
        <v>Blessing at McDonald's (Kahu)  </v>
      </c>
      <c r="G1323" t="s">
        <f>TEXT(D1323,"mmm dd")</f>
        <v>993</v>
      </c>
      <c r="I1323" t="s">
        <v>1795</v>
      </c>
      <c r="J1323" t="s">
        <v>53</v>
      </c>
      <c r="K1323" t="inlineStr">
        <is>
          <t>McDonald's</t>
        </is>
      </c>
      <c r="L1323" t="inlineStr">
        <is>
          <t>(Kahu)</t>
        </is>
      </c>
    </row>
    <row r="1324" spans="1:23">
      <c r="A1324">
        <v>12</v>
      </c>
      <c r="B1324">
        <v>11</v>
      </c>
      <c r="C1324">
        <v>2011</v>
      </c>
      <c r="D1324" s="3" t="s">
        <f>B1324&amp;"/"&amp;A1324&amp;"/"&amp;C1324</f>
        <v>1794</v>
      </c>
      <c r="E1324">
        <v>0.22916666666666666</v>
      </c>
      <c r="F1324" t="str">
        <f>I1324&amp;" "&amp;J1324&amp;" "&amp;K1324&amp;" "&amp;L1324&amp;" "&amp;M1324&amp;" "&amp;N1324</f>
        <v>Nicole Kenji wedding   </v>
      </c>
      <c r="G1324" t="s">
        <f>TEXT(D1324,"mmm dd")</f>
        <v>993</v>
      </c>
      <c r="I1324" t="s">
        <v>1776</v>
      </c>
      <c r="J1324" t="s">
        <v>1777</v>
      </c>
      <c r="K1324" t="s">
        <v>861</v>
      </c>
    </row>
    <row r="1325" spans="1:23">
      <c r="A1325">
        <v>28</v>
      </c>
      <c r="B1325">
        <v>11</v>
      </c>
      <c r="C1325">
        <v>2011</v>
      </c>
      <c r="D1325" s="3" t="str">
        <f>B1325&amp;"/"&amp;A1325&amp;"/"&amp;C1325</f>
        <v>11/28/2011</v>
      </c>
      <c r="E1325" t="s">
        <v>42</v>
      </c>
      <c r="F1325" t="str">
        <f>I1325&amp;" "&amp;J1325&amp;" "&amp;K1325&amp;" "&amp;L1325&amp;" "&amp;M1325&amp;" "&amp;N1325</f>
        <v>Breakfast with dean Walter  </v>
      </c>
      <c r="G1325" t="s">
        <f>TEXT(D1325,"mmm dd")</f>
        <v>1435</v>
      </c>
      <c r="I1325" t="s">
        <v>1650</v>
      </c>
      <c r="J1325" t="s">
        <v>755</v>
      </c>
      <c r="K1325" t="inlineStr">
        <is>
          <t>dean</t>
        </is>
      </c>
      <c r="L1325" t="s">
        <v>1427</v>
      </c>
    </row>
    <row r="1326" spans="1:23">
      <c r="A1326">
        <v>10</v>
      </c>
      <c r="B1326">
        <v>12</v>
      </c>
      <c r="C1326">
        <v>2011</v>
      </c>
      <c r="D1326" s="3" t="str">
        <f>B1326&amp;"/"&amp;A1326&amp;"/"&amp;C1326</f>
        <v>12/10/2011</v>
      </c>
      <c r="E1326">
        <v>0.91666666666666663</v>
      </c>
      <c r="F1326" t="str">
        <f>I1326&amp;" "&amp;J1326&amp;" "&amp;K1326&amp;" "&amp;L1326&amp;" "&amp;M1326&amp;" "&amp;N1326</f>
        <v>Santa event at St Mary's </v>
      </c>
      <c r="G1326" t="s">
        <f>TEXT(D1326,"mmm dd")</f>
        <v>1452</v>
      </c>
      <c r="I1326" t="inlineStr">
        <is>
          <t>Santa</t>
        </is>
      </c>
      <c r="J1326" t="s">
        <v>996</v>
      </c>
      <c r="K1326" t="s">
        <v>53</v>
      </c>
      <c r="L1326" t="s">
        <v>1796</v>
      </c>
      <c r="M1326" t="s">
        <v>265</v>
      </c>
    </row>
    <row r="1327" spans="1:23">
      <c r="A1327">
        <v>15</v>
      </c>
      <c r="B1327">
        <v>12</v>
      </c>
      <c r="C1327">
        <v>2011</v>
      </c>
      <c r="D1327" s="3" t="str">
        <f>B1327&amp;"/"&amp;A1327&amp;"/"&amp;C1327</f>
        <v>12/15/2011</v>
      </c>
      <c r="E1327">
        <v>0.91666666666666663</v>
      </c>
      <c r="F1327" t="s">
        <f>I1327&amp;" "&amp;J1327&amp;" "&amp;K1327&amp;" "&amp;L1327&amp;" "&amp;M1327&amp;" "&amp;N1327</f>
        <v>1797</v>
      </c>
      <c r="G1327" t="s">
        <f>TEXT(D1327,"mmm dd")</f>
        <v>1088</v>
      </c>
      <c r="I1327" t="s">
        <v>1798</v>
      </c>
      <c r="J1327" t="s">
        <v>1799</v>
      </c>
    </row>
    <row r="1328" spans="1:23">
      <c r="A1328">
        <v>16</v>
      </c>
      <c r="B1328">
        <v>12</v>
      </c>
      <c r="C1328">
        <v>2011</v>
      </c>
      <c r="D1328" s="3" t="str">
        <f>B1328&amp;"/"&amp;A1328&amp;"/"&amp;C1328</f>
        <v>12/16/2011</v>
      </c>
      <c r="E1328">
        <v>1.0833333333333333</v>
      </c>
      <c r="F1328" t="str">
        <f>I1328&amp;" "&amp;J1328&amp;" "&amp;K1328&amp;" "&amp;L1328&amp;" "&amp;M1328&amp;" "&amp;N1328</f>
        <v>Eric fr Ann   </v>
      </c>
      <c r="G1328" t="s">
        <f>TEXT(D1328,"mmm dd")</f>
        <v>1093</v>
      </c>
      <c r="I1328" t="s">
        <v>1143</v>
      </c>
      <c r="J1328" t="inlineStr">
        <is>
          <t>fr</t>
        </is>
      </c>
      <c r="K1328" t="s">
        <v>1713</v>
      </c>
    </row>
    <row r="1329" spans="1:23">
      <c r="A1329">
        <v>19</v>
      </c>
      <c r="B1329">
        <v>12</v>
      </c>
      <c r="C1329">
        <v>2011</v>
      </c>
      <c r="D1329" s="3" t="str">
        <f>B1329&amp;"/"&amp;A1329&amp;"/"&amp;C1329</f>
        <v>12/19/2011</v>
      </c>
      <c r="E1329">
        <v>1.0416666666666667</v>
      </c>
      <c r="F1329" t="str">
        <f>I1329&amp;" "&amp;J1329&amp;" "&amp;K1329&amp;" "&amp;L1329&amp;" "&amp;M1329&amp;" "&amp;N1329</f>
        <v>Climb Koko Crater   </v>
      </c>
      <c r="G1329" t="s">
        <f>TEXT(D1329,"mmm dd")</f>
        <v>1114</v>
      </c>
      <c r="I1329" t="inlineStr">
        <is>
          <t>Climb</t>
        </is>
      </c>
      <c r="J1329" t="inlineStr">
        <is>
          <t>Koko</t>
        </is>
      </c>
      <c r="K1329" t="inlineStr">
        <is>
          <t>Crater</t>
        </is>
      </c>
    </row>
    <row r="1330" spans="1:23">
      <c r="A1330">
        <v>20</v>
      </c>
      <c r="B1330">
        <v>12</v>
      </c>
      <c r="C1330">
        <v>2011</v>
      </c>
      <c r="D1330" s="3" t="s">
        <f>B1330&amp;"/"&amp;A1330&amp;"/"&amp;C1330</f>
        <v>1800</v>
      </c>
      <c r="E1330">
        <v>1.1041666666666667</v>
      </c>
      <c r="F1330" t="str">
        <f>I1330&amp;" "&amp;J1330&amp;" "&amp;K1330&amp;" "&amp;L1330&amp;" "&amp;M1330&amp;" "&amp;N1330</f>
        <v>Shop     </v>
      </c>
      <c r="G1330" t="s">
        <f>TEXT(D1330,"mmm dd")</f>
        <v>1120</v>
      </c>
      <c r="I1330" t="inlineStr">
        <is>
          <t>Shop</t>
        </is>
      </c>
    </row>
    <row r="1331" spans="1:23">
      <c r="A1331">
        <v>20</v>
      </c>
      <c r="B1331">
        <v>12</v>
      </c>
      <c r="C1331">
        <v>2011</v>
      </c>
      <c r="D1331" s="3" t="s">
        <f>B1331&amp;"/"&amp;A1331&amp;"/"&amp;C1331</f>
        <v>1800</v>
      </c>
      <c r="E1331">
        <v>1.0416666666666667</v>
      </c>
      <c r="F1331" t="str">
        <f>I1331&amp;" "&amp;J1331&amp;" "&amp;K1331&amp;" "&amp;L1331&amp;" "&amp;M1331&amp;" "&amp;N1331</f>
        <v>MP lunch with Juditha  </v>
      </c>
      <c r="G1331" t="s">
        <f>TEXT(D1331,"mmm dd")</f>
        <v>1120</v>
      </c>
      <c r="I1331" t="s">
        <v>1664</v>
      </c>
      <c r="J1331" t="s">
        <v>440</v>
      </c>
      <c r="K1331" t="s">
        <v>755</v>
      </c>
      <c r="L1331" t="inlineStr">
        <is>
          <t>Juditha</t>
        </is>
      </c>
    </row>
    <row r="1332" spans="1:23">
      <c r="A1332">
        <v>21</v>
      </c>
      <c r="B1332">
        <v>12</v>
      </c>
      <c r="C1332">
        <v>2011</v>
      </c>
      <c r="D1332" s="3" t="s">
        <f>B1332&amp;"/"&amp;A1332&amp;"/"&amp;C1332</f>
        <v>1801</v>
      </c>
      <c r="E1332">
        <v>0.20833333333333334</v>
      </c>
      <c r="F1332" t="str">
        <f>I1332&amp;" "&amp;J1332&amp;" "&amp;K1332&amp;" "&amp;L1332&amp;" "&amp;M1332&amp;" "&amp;N1332</f>
        <v>MP hair    </v>
      </c>
      <c r="G1332" t="s">
        <f>TEXT(D1332,"mmm dd")</f>
        <v>1127</v>
      </c>
      <c r="I1332" t="s">
        <v>1664</v>
      </c>
      <c r="J1332" t="s">
        <v>1802</v>
      </c>
    </row>
    <row r="1333" spans="1:23">
      <c r="A1333">
        <v>21</v>
      </c>
      <c r="B1333">
        <v>12</v>
      </c>
      <c r="C1333">
        <v>2011</v>
      </c>
      <c r="D1333" s="3" t="s">
        <f>B1333&amp;"/"&amp;A1333&amp;"/"&amp;C1333</f>
        <v>1801</v>
      </c>
      <c r="E1333">
        <v>0.17708333333333334</v>
      </c>
      <c r="F1333" t="s">
        <f>I1333&amp;" "&amp;J1333&amp;" "&amp;K1333&amp;" "&amp;L1333&amp;" "&amp;M1333&amp;" "&amp;N1333</f>
        <v>1803</v>
      </c>
      <c r="G1333" t="s">
        <f>TEXT(D1333,"mmm dd")</f>
        <v>1127</v>
      </c>
      <c r="I1333" t="s">
        <v>1804</v>
      </c>
      <c r="J1333" t="s">
        <v>1805</v>
      </c>
    </row>
    <row r="1334" spans="1:23">
      <c r="A1334">
        <v>23</v>
      </c>
      <c r="B1334">
        <v>12</v>
      </c>
      <c r="C1334">
        <v>2011</v>
      </c>
      <c r="D1334" s="3" t="str">
        <f>B1334&amp;"/"&amp;A1334&amp;"/"&amp;C1334</f>
        <v>12/23/2011</v>
      </c>
      <c r="E1334">
        <v>1.0625</v>
      </c>
      <c r="F1334" t="str">
        <f>I1334&amp;" "&amp;J1334&amp;" "&amp;K1334&amp;" "&amp;L1334&amp;" "&amp;M1334&amp;" "&amp;N1334</f>
        <v>shop     </v>
      </c>
      <c r="G1334" t="s">
        <f>TEXT(D1334,"mmm dd")</f>
        <v>1129</v>
      </c>
      <c r="I1334" t="s">
        <v>1806</v>
      </c>
    </row>
    <row r="1335" spans="1:23">
      <c r="A1335">
        <v>9</v>
      </c>
      <c r="B1335">
        <v>1</v>
      </c>
      <c r="C1335">
        <v>2012</v>
      </c>
      <c r="D1335" s="3" t="str">
        <f>B1335&amp;"/"&amp;A1335&amp;"/"&amp;C1335</f>
        <v>1/9/2012</v>
      </c>
      <c r="E1335">
        <v>1.0416666666666667</v>
      </c>
      <c r="F1335" t="str">
        <f>I1335&amp;" "&amp;J1335&amp;" "&amp;K1335&amp;" "&amp;L1335&amp;" "&amp;M1335&amp;" "&amp;N1335</f>
        <v>Lunch Barb    </v>
      </c>
      <c r="G1335" t="s">
        <f>TEXT(D1335,"mmm dd")</f>
        <v>1476</v>
      </c>
      <c r="I1335" t="s">
        <v>813</v>
      </c>
      <c r="J1335" t="s">
        <v>1707</v>
      </c>
    </row>
    <row r="1336" spans="1:23">
      <c r="A1336">
        <v>10</v>
      </c>
      <c r="B1336">
        <v>1</v>
      </c>
      <c r="C1336">
        <v>2012</v>
      </c>
      <c r="D1336" s="3" t="str">
        <f>B1336&amp;"/"&amp;A1336&amp;"/"&amp;C1336</f>
        <v>1/10/2012</v>
      </c>
      <c r="E1336">
        <v>0.20833333333333334</v>
      </c>
      <c r="F1336" t="str">
        <f>I1336&amp;" "&amp;J1336&amp;" "&amp;K1336&amp;" "&amp;L1336&amp;" "&amp;M1336&amp;" "&amp;N1336</f>
        <v>Meet Helen    </v>
      </c>
      <c r="G1336" t="s">
        <f>TEXT(D1336,"mmm dd")</f>
        <v>1146</v>
      </c>
      <c r="I1336" t="s">
        <v>300</v>
      </c>
      <c r="J1336" t="s">
        <v>1804</v>
      </c>
    </row>
    <row r="1337" spans="1:23">
      <c r="A1337">
        <v>12</v>
      </c>
      <c r="B1337">
        <v>1</v>
      </c>
      <c r="C1337">
        <v>2012</v>
      </c>
      <c r="D1337" s="3" t="s">
        <f>B1337&amp;"/"&amp;A1337&amp;"/"&amp;C1337</f>
        <v>1807</v>
      </c>
      <c r="E1337">
        <v>0.9375</v>
      </c>
      <c r="F1337" t="s">
        <f>I1337&amp;" "&amp;J1337&amp;" "&amp;K1337&amp;" "&amp;L1337&amp;" "&amp;M1337&amp;" "&amp;N1337</f>
        <v>1808</v>
      </c>
      <c r="G1337" t="s">
        <f>TEXT(D1337,"mmm dd")</f>
        <v>1478</v>
      </c>
      <c r="I1337" t="s">
        <v>300</v>
      </c>
      <c r="J1337" t="s">
        <v>755</v>
      </c>
      <c r="K1337" t="s">
        <v>592</v>
      </c>
    </row>
    <row r="1338" spans="1:23">
      <c r="A1338">
        <v>12</v>
      </c>
      <c r="B1338">
        <v>1</v>
      </c>
      <c r="C1338">
        <v>2012</v>
      </c>
      <c r="D1338" s="3" t="s">
        <f>B1338&amp;"/"&amp;A1338&amp;"/"&amp;C1338</f>
        <v>1807</v>
      </c>
      <c r="E1338">
        <v>0.22916666666666666</v>
      </c>
      <c r="F1338" t="str">
        <f>I1338&amp;" "&amp;J1338&amp;" "&amp;K1338&amp;" "&amp;L1338&amp;" "&amp;M1338&amp;" "&amp;N1338</f>
        <v>Rick at Aina Haina  </v>
      </c>
      <c r="G1338" t="s">
        <f>TEXT(D1338,"mmm dd")</f>
        <v>1478</v>
      </c>
      <c r="I1338" t="s">
        <v>1809</v>
      </c>
      <c r="J1338" t="s">
        <v>53</v>
      </c>
      <c r="K1338" t="s">
        <v>1810</v>
      </c>
      <c r="L1338" t="s">
        <v>1811</v>
      </c>
    </row>
    <row r="1339" spans="1:23">
      <c r="A1339">
        <v>12</v>
      </c>
      <c r="B1339">
        <v>1</v>
      </c>
      <c r="C1339">
        <v>2012</v>
      </c>
      <c r="D1339" s="3" t="s">
        <f>B1339&amp;"/"&amp;A1339&amp;"/"&amp;C1339</f>
        <v>1807</v>
      </c>
      <c r="E1339">
        <v>0.14583333333333334</v>
      </c>
      <c r="F1339" t="s">
        <f>I1339&amp;" "&amp;J1339&amp;" "&amp;K1339&amp;" "&amp;L1339&amp;" "&amp;M1339&amp;" "&amp;N1339</f>
        <v>1734</v>
      </c>
      <c r="G1339" t="s">
        <f>TEXT(D1339,"mmm dd")</f>
        <v>1478</v>
      </c>
      <c r="I1339" t="s">
        <v>188</v>
      </c>
      <c r="J1339" t="s">
        <v>189</v>
      </c>
    </row>
    <row r="1340" spans="1:23">
      <c r="A1340">
        <v>13</v>
      </c>
      <c r="B1340">
        <v>1</v>
      </c>
      <c r="C1340">
        <v>2012</v>
      </c>
      <c r="D1340" s="3" t="str">
        <f>B1340&amp;"/"&amp;A1340&amp;"/"&amp;C1340</f>
        <v>1/13/2012</v>
      </c>
      <c r="E1340">
        <v>0.9375</v>
      </c>
      <c r="F1340" t="str">
        <f>I1340&amp;" "&amp;J1340&amp;" "&amp;K1340&amp;" "&amp;L1340&amp;" "&amp;M1340&amp;" "&amp;N1340</f>
        <v>Walk with Tim Eden  </v>
      </c>
      <c r="G1340" t="s">
        <f>TEXT(D1340,"mmm dd")</f>
        <v>1164</v>
      </c>
      <c r="I1340" t="s">
        <v>1443</v>
      </c>
      <c r="J1340" t="s">
        <v>755</v>
      </c>
      <c r="K1340" t="s">
        <v>1423</v>
      </c>
      <c r="L1340" t="s">
        <v>1812</v>
      </c>
    </row>
    <row r="1341" spans="1:23">
      <c r="A1341">
        <v>14</v>
      </c>
      <c r="B1341">
        <v>1</v>
      </c>
      <c r="C1341">
        <v>2012</v>
      </c>
      <c r="D1341" s="3" t="s">
        <f>B1341&amp;"/"&amp;A1341&amp;"/"&amp;C1341</f>
        <v>1813</v>
      </c>
      <c r="E1341">
        <v>0.16666666666666666</v>
      </c>
      <c r="F1341" t="str">
        <f>I1341&amp;" "&amp;J1341&amp;" "&amp;K1341&amp;" "&amp;L1341&amp;" "&amp;M1341&amp;" "&amp;N1341</f>
        <v>Don Kegans at Kaiser  </v>
      </c>
      <c r="G1341" t="s">
        <f>TEXT(D1341,"mmm dd")</f>
        <v>1166</v>
      </c>
      <c r="I1341" t="inlineStr">
        <is>
          <t>Don</t>
        </is>
      </c>
      <c r="J1341" t="inlineStr">
        <is>
          <t>Kegans</t>
        </is>
      </c>
      <c r="K1341" t="s">
        <v>53</v>
      </c>
      <c r="L1341" t="s">
        <v>1466</v>
      </c>
    </row>
    <row r="1342" spans="1:23">
      <c r="A1342">
        <v>14</v>
      </c>
      <c r="B1342">
        <v>1</v>
      </c>
      <c r="C1342">
        <v>2012</v>
      </c>
      <c r="D1342" s="3" t="s">
        <f>B1342&amp;"/"&amp;A1342&amp;"/"&amp;C1342</f>
        <v>1813</v>
      </c>
      <c r="E1342">
        <v>0.29166666666666669</v>
      </c>
      <c r="F1342" t="str">
        <f>I1342&amp;" "&amp;J1342&amp;" "&amp;K1342&amp;" "&amp;L1342&amp;" "&amp;M1342&amp;" "&amp;N1342</f>
        <v>Saimone's wake    </v>
      </c>
      <c r="G1342" t="s">
        <f>TEXT(D1342,"mmm dd")</f>
        <v>1166</v>
      </c>
      <c r="I1342" t="inlineStr">
        <is>
          <t>Saimone's</t>
        </is>
      </c>
      <c r="J1342" t="inlineStr">
        <is>
          <t>wake</t>
        </is>
      </c>
    </row>
    <row r="1343" spans="1:23">
      <c r="A1343">
        <v>14</v>
      </c>
      <c r="B1343">
        <v>1</v>
      </c>
      <c r="C1343">
        <v>2012</v>
      </c>
      <c r="D1343" s="3" t="s">
        <f>B1343&amp;"/"&amp;A1343&amp;"/"&amp;C1343</f>
        <v>1813</v>
      </c>
      <c r="E1343">
        <v>1.0416666666666667</v>
      </c>
      <c r="F1343" t="s">
        <f>I1343&amp;" "&amp;J1343&amp;" "&amp;K1343&amp;" "&amp;L1343&amp;" "&amp;M1343&amp;" "&amp;N1343</f>
        <v>359</v>
      </c>
      <c r="G1343" t="s">
        <f>TEXT(D1343,"mmm dd")</f>
        <v>1166</v>
      </c>
      <c r="I1343" t="s">
        <v>361</v>
      </c>
      <c r="J1343" t="s">
        <v>362</v>
      </c>
    </row>
    <row r="1344" spans="1:23">
      <c r="A1344">
        <v>15</v>
      </c>
      <c r="B1344">
        <v>1</v>
      </c>
      <c r="C1344">
        <v>2012</v>
      </c>
      <c r="D1344" s="3" t="str">
        <f>B1344&amp;"/"&amp;A1344&amp;"/"&amp;C1344</f>
        <v>1/15/2012</v>
      </c>
      <c r="E1344">
        <v>0.125</v>
      </c>
      <c r="F1344" t="str">
        <f>I1344&amp;" "&amp;J1344&amp;" "&amp;K1344&amp;" "&amp;L1344&amp;" "&amp;M1344&amp;" "&amp;N1344</f>
        <v>Saimone funeral    </v>
      </c>
      <c r="G1344" t="s">
        <f>TEXT(D1344,"mmm dd")</f>
        <v>1686</v>
      </c>
      <c r="I1344" t="s">
        <v>1622</v>
      </c>
      <c r="J1344" t="s">
        <v>1116</v>
      </c>
    </row>
    <row r="1345" spans="1:23">
      <c r="A1345">
        <v>16</v>
      </c>
      <c r="B1345">
        <v>1</v>
      </c>
      <c r="C1345">
        <v>2012</v>
      </c>
      <c r="D1345" s="3" t="s">
        <f>B1345&amp;"/"&amp;A1345&amp;"/"&amp;C1345</f>
        <v>1814</v>
      </c>
      <c r="E1345">
        <v>0.22916666666666666</v>
      </c>
      <c r="F1345" t="str">
        <f>I1345&amp;" "&amp;J1345&amp;" "&amp;K1345&amp;" "&amp;L1345&amp;" "&amp;M1345&amp;" "&amp;N1345</f>
        <v>Kapono birthday    </v>
      </c>
      <c r="G1345" t="s">
        <f>TEXT(D1345,"mmm dd")</f>
        <v>1170</v>
      </c>
      <c r="I1345" t="s">
        <v>1815</v>
      </c>
      <c r="J1345" t="s">
        <v>319</v>
      </c>
    </row>
    <row r="1346" spans="1:23">
      <c r="A1346">
        <v>16</v>
      </c>
      <c r="B1346">
        <v>1</v>
      </c>
      <c r="C1346">
        <v>2012</v>
      </c>
      <c r="D1346" s="3" t="s">
        <f>B1346&amp;"/"&amp;A1346&amp;"/"&amp;C1346</f>
        <v>1814</v>
      </c>
      <c r="E1346" t="s">
        <v>42</v>
      </c>
      <c r="F1346" t="str">
        <f>I1346&amp;" "&amp;J1346&amp;" "&amp;K1346&amp;" "&amp;L1346&amp;" "&amp;M1346&amp;" "&amp;N1346</f>
        <v>Murray bday 67   </v>
      </c>
      <c r="G1346" t="s">
        <f>TEXT(D1346,"mmm dd")</f>
        <v>1170</v>
      </c>
      <c r="I1346" t="s">
        <v>1008</v>
      </c>
      <c r="J1346" t="inlineStr">
        <is>
          <t>bday</t>
        </is>
      </c>
      <c r="K1346">
        <v>67</v>
      </c>
    </row>
    <row r="1347" spans="1:23">
      <c r="A1347">
        <v>16</v>
      </c>
      <c r="B1347">
        <v>1</v>
      </c>
      <c r="C1347">
        <v>2012</v>
      </c>
      <c r="D1347" s="3" t="s">
        <f>B1347&amp;"/"&amp;A1347&amp;"/"&amp;C1347</f>
        <v>1814</v>
      </c>
      <c r="E1347">
        <v>0.125</v>
      </c>
      <c r="F1347" t="str">
        <f>I1347&amp;" "&amp;J1347&amp;" "&amp;K1347&amp;" "&amp;L1347&amp;" "&amp;M1347&amp;" "&amp;N1347</f>
        <v>Symphony recital    </v>
      </c>
      <c r="G1347" t="s">
        <f>TEXT(D1347,"mmm dd")</f>
        <v>1170</v>
      </c>
      <c r="I1347" t="s">
        <v>1816</v>
      </c>
      <c r="J1347" t="s">
        <v>1817</v>
      </c>
    </row>
    <row r="1348" spans="1:23">
      <c r="A1348">
        <v>17</v>
      </c>
      <c r="B1348">
        <v>1</v>
      </c>
      <c r="C1348">
        <v>2012</v>
      </c>
      <c r="D1348" s="3" t="str">
        <f>B1348&amp;"/"&amp;A1348&amp;"/"&amp;C1348</f>
        <v>1/17/2012</v>
      </c>
      <c r="E1348">
        <v>0.91666666666666663</v>
      </c>
      <c r="F1348" t="s">
        <f>I1348&amp;" "&amp;J1348&amp;" "&amp;K1348&amp;" "&amp;L1348&amp;" "&amp;M1348&amp;" "&amp;N1348</f>
        <v>1818</v>
      </c>
      <c r="G1348" t="s">
        <f>TEXT(D1348,"mmm dd")</f>
        <v>1174</v>
      </c>
      <c r="I1348" t="s">
        <v>1819</v>
      </c>
      <c r="J1348" t="s">
        <v>1820</v>
      </c>
    </row>
    <row r="1349" spans="1:23">
      <c r="A1349">
        <v>19</v>
      </c>
      <c r="B1349">
        <v>1</v>
      </c>
      <c r="C1349">
        <v>2012</v>
      </c>
      <c r="D1349" s="3" t="s">
        <f>B1349&amp;"/"&amp;A1349&amp;"/"&amp;C1349</f>
        <v>1821</v>
      </c>
      <c r="E1349">
        <v>1.0416666666666667</v>
      </c>
      <c r="F1349" t="s">
        <f>I1349&amp;" "&amp;J1349&amp;" "&amp;K1349&amp;" "&amp;L1349&amp;" "&amp;M1349&amp;" "&amp;N1349</f>
        <v>1822</v>
      </c>
      <c r="G1349" t="s">
        <f>TEXT(D1349,"mmm dd")</f>
        <v>1481</v>
      </c>
      <c r="I1349" t="s">
        <v>813</v>
      </c>
      <c r="J1349" t="s">
        <v>755</v>
      </c>
      <c r="K1349" t="s">
        <v>585</v>
      </c>
      <c r="L1349" t="s">
        <v>1688</v>
      </c>
    </row>
    <row r="1350" spans="1:23">
      <c r="A1350">
        <v>19</v>
      </c>
      <c r="B1350">
        <v>1</v>
      </c>
      <c r="C1350">
        <v>2012</v>
      </c>
      <c r="D1350" s="3" t="s">
        <f>B1350&amp;"/"&amp;A1350&amp;"/"&amp;C1350</f>
        <v>1821</v>
      </c>
      <c r="E1350">
        <v>0.27083333333333331</v>
      </c>
      <c r="F1350" t="str">
        <f>I1350&amp;" "&amp;J1350&amp;" "&amp;K1350&amp;" "&amp;L1350&amp;" "&amp;M1350&amp;" "&amp;N1350</f>
        <v>Chaminade lecture time?   </v>
      </c>
      <c r="G1350" t="s">
        <f>TEXT(D1350,"mmm dd")</f>
        <v>1481</v>
      </c>
      <c r="I1350" t="s">
        <v>1331</v>
      </c>
      <c r="J1350" t="s">
        <v>1823</v>
      </c>
      <c r="K1350" t="s">
        <v>537</v>
      </c>
    </row>
    <row r="1351" spans="1:23">
      <c r="A1351">
        <v>20</v>
      </c>
      <c r="B1351">
        <v>1</v>
      </c>
      <c r="C1351">
        <v>2012</v>
      </c>
      <c r="D1351" s="3" t="s">
        <f>B1351&amp;"/"&amp;A1351&amp;"/"&amp;C1351</f>
        <v>1824</v>
      </c>
      <c r="E1351">
        <v>1</v>
      </c>
      <c r="F1351" t="s">
        <f>I1351&amp;" "&amp;J1351&amp;" "&amp;K1351&amp;" "&amp;L1351&amp;" "&amp;M1351&amp;" "&amp;N1351</f>
        <v>1825</v>
      </c>
      <c r="G1351" t="s">
        <f>TEXT(D1351,"mmm dd")</f>
        <v>1482</v>
      </c>
      <c r="I1351" t="s">
        <v>1826</v>
      </c>
    </row>
    <row r="1352" spans="1:23">
      <c r="A1352">
        <v>20</v>
      </c>
      <c r="B1352">
        <v>1</v>
      </c>
      <c r="C1352">
        <v>2012</v>
      </c>
      <c r="D1352" s="3" t="s">
        <f>B1352&amp;"/"&amp;A1352&amp;"/"&amp;C1352</f>
        <v>1824</v>
      </c>
      <c r="E1352">
        <v>0.95833333333333337</v>
      </c>
      <c r="F1352" t="str">
        <f>I1352&amp;" "&amp;J1352&amp;" "&amp;K1352&amp;" "&amp;L1352&amp;" "&amp;M1352&amp;" "&amp;N1352</f>
        <v>Deborah whisnand    </v>
      </c>
      <c r="G1352" t="s">
        <f>TEXT(D1352,"mmm dd")</f>
        <v>1482</v>
      </c>
      <c r="I1352" t="inlineStr">
        <is>
          <t>Deborah</t>
        </is>
      </c>
      <c r="J1352" t="inlineStr">
        <is>
          <t>whisnand</t>
        </is>
      </c>
    </row>
    <row r="1353" spans="1:23">
      <c r="A1353">
        <v>20</v>
      </c>
      <c r="B1353">
        <v>1</v>
      </c>
      <c r="C1353">
        <v>2012</v>
      </c>
      <c r="D1353" s="3" t="s">
        <f>B1353&amp;"/"&amp;A1353&amp;"/"&amp;C1353</f>
        <v>1824</v>
      </c>
      <c r="E1353">
        <v>0.14583333333333334</v>
      </c>
      <c r="F1353" t="str">
        <f>I1353&amp;" "&amp;J1353&amp;" "&amp;K1353&amp;" "&amp;L1353&amp;" "&amp;M1353&amp;" "&amp;N1353</f>
        <v>Gradebook with MP   </v>
      </c>
      <c r="G1353" t="s">
        <f>TEXT(D1353,"mmm dd")</f>
        <v>1482</v>
      </c>
      <c r="I1353" t="inlineStr">
        <is>
          <t>Gradebook</t>
        </is>
      </c>
      <c r="J1353" t="s">
        <v>755</v>
      </c>
      <c r="K1353" t="s">
        <v>1664</v>
      </c>
    </row>
    <row r="1354" spans="1:23">
      <c r="A1354">
        <v>21</v>
      </c>
      <c r="B1354">
        <v>1</v>
      </c>
      <c r="C1354">
        <v>2012</v>
      </c>
      <c r="D1354" s="3" t="str">
        <f>B1354&amp;"/"&amp;A1354&amp;"/"&amp;C1354</f>
        <v>1/21/2012</v>
      </c>
      <c r="E1354">
        <v>0.25</v>
      </c>
      <c r="F1354" t="str">
        <f>I1354&amp;" "&amp;J1354&amp;" "&amp;K1354&amp;" "&amp;L1354&amp;" "&amp;M1354&amp;" "&amp;N1354</f>
        <v>Commitment ceremony for MEA's  </v>
      </c>
      <c r="G1354" t="s">
        <f>TEXT(D1354,"mmm dd")</f>
        <v>1485</v>
      </c>
      <c r="I1354" t="inlineStr">
        <is>
          <t>Commitment</t>
        </is>
      </c>
      <c r="J1354" t="inlineStr">
        <is>
          <t>ceremony</t>
        </is>
      </c>
      <c r="K1354" t="s">
        <v>439</v>
      </c>
      <c r="L1354" t="inlineStr">
        <is>
          <t>MEA's</t>
        </is>
      </c>
    </row>
    <row r="1355" spans="1:23">
      <c r="A1355">
        <v>24</v>
      </c>
      <c r="B1355">
        <v>1</v>
      </c>
      <c r="C1355">
        <v>2012</v>
      </c>
      <c r="D1355" s="3" t="s">
        <f>B1355&amp;"/"&amp;A1355&amp;"/"&amp;C1355</f>
        <v>1827</v>
      </c>
      <c r="E1355">
        <v>0.1875</v>
      </c>
      <c r="F1355" t="s">
        <f>I1355&amp;" "&amp;J1355&amp;" "&amp;K1355&amp;" "&amp;L1355&amp;" "&amp;M1355&amp;" "&amp;N1355</f>
        <v>1828</v>
      </c>
      <c r="G1355" t="s">
        <f>TEXT(D1355,"mmm dd")</f>
        <v>1829</v>
      </c>
      <c r="I1355" t="s">
        <v>1707</v>
      </c>
      <c r="J1355" t="s">
        <v>1708</v>
      </c>
    </row>
    <row r="1356" spans="1:23">
      <c r="A1356">
        <v>24</v>
      </c>
      <c r="B1356">
        <v>1</v>
      </c>
      <c r="C1356">
        <v>2012</v>
      </c>
      <c r="D1356" s="3" t="s">
        <f>B1356&amp;"/"&amp;A1356&amp;"/"&amp;C1356</f>
        <v>1827</v>
      </c>
      <c r="E1356">
        <v>0.9375</v>
      </c>
      <c r="F1356" t="s">
        <f>I1356&amp;" "&amp;J1356&amp;" "&amp;K1356&amp;" "&amp;L1356&amp;" "&amp;M1356&amp;" "&amp;N1356</f>
        <v>1818</v>
      </c>
      <c r="G1356" t="s">
        <f>TEXT(D1356,"mmm dd")</f>
        <v>1829</v>
      </c>
      <c r="I1356" t="s">
        <v>1819</v>
      </c>
      <c r="J1356" t="s">
        <v>1820</v>
      </c>
    </row>
    <row r="1357" spans="1:23">
      <c r="A1357">
        <v>25</v>
      </c>
      <c r="B1357">
        <v>1</v>
      </c>
      <c r="C1357">
        <v>2012</v>
      </c>
      <c r="D1357" s="3" t="str">
        <f>B1357&amp;"/"&amp;A1357&amp;"/"&amp;C1357</f>
        <v>1/25/2012</v>
      </c>
      <c r="E1357">
        <v>1.0833333333333333</v>
      </c>
      <c r="F1357" t="str">
        <f>I1357&amp;" "&amp;J1357&amp;" "&amp;K1357&amp;" "&amp;L1357&amp;" "&amp;M1357&amp;" "&amp;N1357</f>
        <v>Eric     </v>
      </c>
      <c r="G1357" t="s">
        <f>TEXT(D1357,"mmm dd")</f>
        <v>1830</v>
      </c>
      <c r="I1357" t="s">
        <v>1143</v>
      </c>
    </row>
    <row r="1358" spans="1:23">
      <c r="A1358">
        <v>26</v>
      </c>
      <c r="B1358">
        <v>1</v>
      </c>
      <c r="C1358">
        <v>2012</v>
      </c>
      <c r="D1358" s="3" t="s">
        <f>B1358&amp;"/"&amp;A1358&amp;"/"&amp;C1358</f>
        <v>1831</v>
      </c>
      <c r="E1358">
        <v>0.95833333333333337</v>
      </c>
      <c r="F1358" t="str">
        <f>I1358&amp;" "&amp;J1358&amp;" "&amp;K1358&amp;" "&amp;L1358&amp;" "&amp;M1358&amp;" "&amp;N1358</f>
        <v>Oki's     </v>
      </c>
      <c r="G1358" t="s">
        <f>TEXT(D1358,"mmm dd")</f>
        <v>1488</v>
      </c>
      <c r="I1358" t="inlineStr">
        <is>
          <t>Oki's</t>
        </is>
      </c>
    </row>
    <row r="1359" spans="1:23">
      <c r="A1359">
        <v>26</v>
      </c>
      <c r="B1359">
        <v>1</v>
      </c>
      <c r="C1359">
        <v>2012</v>
      </c>
      <c r="D1359" s="3" t="s">
        <f>B1359&amp;"/"&amp;A1359&amp;"/"&amp;C1359</f>
        <v>1831</v>
      </c>
      <c r="E1359">
        <v>1.0208333333333333</v>
      </c>
      <c r="F1359" t="str">
        <f>I1359&amp;" "&amp;J1359&amp;" "&amp;K1359&amp;" "&amp;L1359&amp;" "&amp;M1359&amp;" "&amp;N1359</f>
        <v>Lunch Liz Z   </v>
      </c>
      <c r="G1359" t="s">
        <f>TEXT(D1359,"mmm dd")</f>
        <v>1488</v>
      </c>
      <c r="I1359" t="s">
        <v>813</v>
      </c>
      <c r="J1359" t="s">
        <v>1832</v>
      </c>
      <c r="K1359" t="inlineStr">
        <is>
          <t>Z</t>
        </is>
      </c>
    </row>
    <row r="1360" spans="1:23">
      <c r="A1360">
        <v>26</v>
      </c>
      <c r="B1360">
        <v>1</v>
      </c>
      <c r="C1360">
        <v>2012</v>
      </c>
      <c r="D1360" s="3" t="s">
        <f>B1360&amp;"/"&amp;A1360&amp;"/"&amp;C1360</f>
        <v>1831</v>
      </c>
      <c r="E1360">
        <v>0.89583333333333337</v>
      </c>
      <c r="F1360" t="s">
        <f>I1360&amp;" "&amp;J1360&amp;" "&amp;K1360&amp;" "&amp;L1360&amp;" "&amp;M1360&amp;" "&amp;N1360</f>
        <v>939</v>
      </c>
      <c r="G1360" t="s">
        <f>TEXT(D1360,"mmm dd")</f>
        <v>1488</v>
      </c>
      <c r="I1360" t="s">
        <v>52</v>
      </c>
      <c r="J1360" t="s">
        <v>55</v>
      </c>
    </row>
    <row r="1361" spans="1:23">
      <c r="A1361">
        <v>27</v>
      </c>
      <c r="B1361">
        <v>1</v>
      </c>
      <c r="C1361">
        <v>2012</v>
      </c>
      <c r="D1361" s="3" t="str">
        <f>B1361&amp;"/"&amp;A1361&amp;"/"&amp;C1361</f>
        <v>1/27/2012</v>
      </c>
      <c r="E1361">
        <v>0.29166666666666669</v>
      </c>
      <c r="F1361" t="str">
        <f>I1361&amp;" "&amp;J1361&amp;" "&amp;K1361&amp;" "&amp;L1361&amp;" "&amp;M1361&amp;" "&amp;N1361</f>
        <v>Christine for dinner   </v>
      </c>
      <c r="G1361" t="s">
        <f>TEXT(D1361,"mmm dd")</f>
        <v>1696</v>
      </c>
      <c r="I1361" t="s">
        <v>1833</v>
      </c>
      <c r="J1361" t="s">
        <v>439</v>
      </c>
      <c r="K1361" t="s">
        <v>517</v>
      </c>
    </row>
    <row r="1362" spans="1:23">
      <c r="A1362">
        <v>28</v>
      </c>
      <c r="B1362">
        <v>1</v>
      </c>
      <c r="C1362">
        <v>2012</v>
      </c>
      <c r="D1362" s="3" t="s">
        <f>B1362&amp;"/"&amp;A1362&amp;"/"&amp;C1362</f>
        <v>1834</v>
      </c>
      <c r="E1362">
        <v>0.16666666666666666</v>
      </c>
      <c r="F1362" t="str">
        <f>I1362&amp;" "&amp;J1362&amp;" "&amp;K1362&amp;" "&amp;L1362&amp;" "&amp;M1362&amp;" "&amp;N1362</f>
        <v>Costco hearing    </v>
      </c>
      <c r="G1362" t="s">
        <f>TEXT(D1362,"mmm dd")</f>
        <v>1492</v>
      </c>
      <c r="I1362" t="s">
        <v>1826</v>
      </c>
      <c r="J1362" t="s">
        <v>1835</v>
      </c>
    </row>
    <row r="1363" spans="1:23">
      <c r="A1363">
        <v>28</v>
      </c>
      <c r="B1363">
        <v>1</v>
      </c>
      <c r="C1363">
        <v>2012</v>
      </c>
      <c r="D1363" s="3" t="s">
        <f>B1363&amp;"/"&amp;A1363&amp;"/"&amp;C1363</f>
        <v>1834</v>
      </c>
      <c r="E1363">
        <v>0.91666666666666663</v>
      </c>
      <c r="F1363" t="str">
        <f>I1363&amp;" "&amp;J1363&amp;" "&amp;K1363&amp;" "&amp;L1363&amp;" "&amp;M1363&amp;" "&amp;N1363</f>
        <v>Viewing of American Teacher  </v>
      </c>
      <c r="G1363" t="s">
        <f>TEXT(D1363,"mmm dd")</f>
        <v>1492</v>
      </c>
      <c r="I1363" t="inlineStr">
        <is>
          <t>Viewing</t>
        </is>
      </c>
      <c r="J1363" t="s">
        <v>86</v>
      </c>
      <c r="K1363" t="s">
        <v>1836</v>
      </c>
      <c r="L1363" t="s">
        <v>951</v>
      </c>
    </row>
    <row r="1364" spans="1:23">
      <c r="A1364">
        <v>29</v>
      </c>
      <c r="B1364">
        <v>1</v>
      </c>
      <c r="C1364">
        <v>2012</v>
      </c>
      <c r="D1364" s="3" t="str">
        <f>B1364&amp;"/"&amp;A1364&amp;"/"&amp;C1364</f>
        <v>1/29/2012</v>
      </c>
      <c r="E1364">
        <v>0.91666666666666663</v>
      </c>
      <c r="F1364" t="str">
        <f>I1364&amp;" "&amp;J1364&amp;" "&amp;K1364&amp;" "&amp;L1364&amp;" "&amp;M1364&amp;" "&amp;N1364</f>
        <v>Annual meeting    </v>
      </c>
      <c r="G1364" t="s">
        <f>TEXT(D1364,"mmm dd")</f>
        <v>1497</v>
      </c>
      <c r="I1364" t="s">
        <v>1387</v>
      </c>
      <c r="J1364" t="s">
        <v>842</v>
      </c>
    </row>
    <row r="1365" spans="1:23">
      <c r="A1365">
        <v>30</v>
      </c>
      <c r="B1365">
        <v>1</v>
      </c>
      <c r="C1365">
        <v>2012</v>
      </c>
      <c r="D1365" s="3" t="s">
        <f>B1365&amp;"/"&amp;A1365&amp;"/"&amp;C1365</f>
        <v>1837</v>
      </c>
      <c r="E1365">
        <v>0.25</v>
      </c>
      <c r="F1365" t="str">
        <f>I1365&amp;" "&amp;J1365&amp;" "&amp;K1365&amp;" "&amp;L1365&amp;" "&amp;M1365&amp;" "&amp;N1365</f>
        <v>Dinner at Barb Street's  </v>
      </c>
      <c r="G1365" t="s">
        <f>TEXT(D1365,"mmm dd")</f>
        <v>1499</v>
      </c>
      <c r="I1365" t="s">
        <v>838</v>
      </c>
      <c r="J1365" t="s">
        <v>53</v>
      </c>
      <c r="K1365" t="s">
        <v>1707</v>
      </c>
      <c r="L1365" t="inlineStr">
        <is>
          <t>Street's</t>
        </is>
      </c>
    </row>
    <row r="1366" spans="1:23">
      <c r="A1366">
        <v>30</v>
      </c>
      <c r="B1366">
        <v>1</v>
      </c>
      <c r="C1366">
        <v>2012</v>
      </c>
      <c r="D1366" s="3" t="s">
        <f>B1366&amp;"/"&amp;A1366&amp;"/"&amp;C1366</f>
        <v>1837</v>
      </c>
      <c r="E1366" t="s">
        <v>42</v>
      </c>
      <c r="F1366" t="str">
        <f>I1366&amp;" "&amp;J1366&amp;" "&amp;K1366&amp;" "&amp;L1366&amp;" "&amp;M1366&amp;" "&amp;N1366</f>
        <v>Pick up oceanic box  </v>
      </c>
      <c r="G1366" t="s">
        <f>TEXT(D1366,"mmm dd")</f>
        <v>1499</v>
      </c>
      <c r="I1366" t="s">
        <v>806</v>
      </c>
      <c r="J1366" t="s">
        <v>807</v>
      </c>
      <c r="K1366" t="inlineStr">
        <is>
          <t>oceanic</t>
        </is>
      </c>
      <c r="L1366" t="inlineStr">
        <is>
          <t>box</t>
        </is>
      </c>
    </row>
    <row r="1367" spans="1:23">
      <c r="A1367">
        <v>31</v>
      </c>
      <c r="B1367">
        <v>1</v>
      </c>
      <c r="C1367">
        <v>2012</v>
      </c>
      <c r="D1367" s="3" t="str">
        <f>B1367&amp;"/"&amp;A1367&amp;"/"&amp;C1367</f>
        <v>1/31/2012</v>
      </c>
      <c r="E1367">
        <v>0.91666666666666663</v>
      </c>
      <c r="F1367" t="str">
        <f>I1367&amp;" "&amp;J1367&amp;" "&amp;K1367&amp;" "&amp;L1367&amp;" "&amp;M1367&amp;" "&amp;N1367</f>
        <v>Meet Barb etc.   </v>
      </c>
      <c r="G1367" t="s">
        <f>TEXT(D1367,"mmm dd")</f>
        <v>1500</v>
      </c>
      <c r="I1367" t="s">
        <v>300</v>
      </c>
      <c r="J1367" t="s">
        <v>1707</v>
      </c>
      <c r="K1367" t="s">
        <v>1658</v>
      </c>
    </row>
    <row r="1368" spans="1:23">
      <c r="A1368">
        <v>1</v>
      </c>
      <c r="B1368">
        <v>2</v>
      </c>
      <c r="C1368">
        <v>2012</v>
      </c>
      <c r="D1368" s="3" t="str">
        <f>B1368&amp;"/"&amp;A1368&amp;"/"&amp;C1368</f>
        <v>2/1/2012</v>
      </c>
      <c r="E1368">
        <v>0.1875</v>
      </c>
      <c r="F1368" t="s">
        <f>I1368&amp;" "&amp;J1368&amp;" "&amp;K1368&amp;" "&amp;L1368&amp;" "&amp;M1368&amp;" "&amp;N1368</f>
        <v>1721</v>
      </c>
      <c r="G1368" t="s">
        <f>TEXT(D1368,"mmm dd")</f>
        <v>1838</v>
      </c>
      <c r="I1368" t="s">
        <v>1722</v>
      </c>
      <c r="J1368" t="s">
        <v>1723</v>
      </c>
    </row>
    <row r="1369" spans="1:23">
      <c r="A1369">
        <v>3</v>
      </c>
      <c r="B1369">
        <v>2</v>
      </c>
      <c r="C1369">
        <v>2012</v>
      </c>
      <c r="D1369" s="3" t="s">
        <f>B1369&amp;"/"&amp;A1369&amp;"/"&amp;C1369</f>
        <v>1839</v>
      </c>
      <c r="E1369">
        <v>0.29166666666666669</v>
      </c>
      <c r="F1369" t="str">
        <f>I1369&amp;" "&amp;J1369&amp;" "&amp;K1369&amp;" "&amp;L1369&amp;" "&amp;M1369&amp;" "&amp;N1369</f>
        <v>Joe and John for dinner </v>
      </c>
      <c r="G1369" t="s">
        <f>TEXT(D1369,"mmm dd")</f>
        <v>1501</v>
      </c>
      <c r="I1369" t="s">
        <v>1345</v>
      </c>
      <c r="J1369" t="s">
        <v>135</v>
      </c>
      <c r="K1369" t="s">
        <v>585</v>
      </c>
      <c r="L1369" t="s">
        <v>439</v>
      </c>
      <c r="M1369" t="s">
        <v>517</v>
      </c>
    </row>
    <row r="1370" spans="1:23">
      <c r="A1370">
        <v>3</v>
      </c>
      <c r="B1370">
        <v>2</v>
      </c>
      <c r="C1370">
        <v>2012</v>
      </c>
      <c r="D1370" s="3" t="s">
        <f>B1370&amp;"/"&amp;A1370&amp;"/"&amp;C1370</f>
        <v>1839</v>
      </c>
      <c r="E1370">
        <v>0.26041666666666669</v>
      </c>
      <c r="F1370" t="s">
        <f>I1370&amp;" "&amp;J1370&amp;" "&amp;K1370&amp;" "&amp;L1370&amp;" "&amp;M1370&amp;" "&amp;N1370</f>
        <v>1840</v>
      </c>
      <c r="G1370" t="s">
        <f>TEXT(D1370,"mmm dd")</f>
        <v>1501</v>
      </c>
      <c r="I1370" t="s">
        <v>1273</v>
      </c>
    </row>
    <row r="1371" spans="1:23">
      <c r="A1371">
        <v>3</v>
      </c>
      <c r="B1371">
        <v>2</v>
      </c>
      <c r="C1371">
        <v>2012</v>
      </c>
      <c r="D1371" s="3" t="s">
        <f>B1371&amp;"/"&amp;A1371&amp;"/"&amp;C1371</f>
        <v>1839</v>
      </c>
      <c r="E1371">
        <v>0.1875</v>
      </c>
      <c r="F1371" t="s">
        <f>I1371&amp;" "&amp;J1371&amp;" "&amp;K1371&amp;" "&amp;L1371&amp;" "&amp;M1371&amp;" "&amp;N1371</f>
        <v>1828</v>
      </c>
      <c r="G1371" t="s">
        <f>TEXT(D1371,"mmm dd")</f>
        <v>1501</v>
      </c>
      <c r="I1371" t="s">
        <v>1707</v>
      </c>
      <c r="J1371" t="s">
        <v>1708</v>
      </c>
    </row>
    <row r="1372" spans="1:23">
      <c r="A1372">
        <v>3</v>
      </c>
      <c r="B1372">
        <v>2</v>
      </c>
      <c r="C1372">
        <v>2012</v>
      </c>
      <c r="D1372" s="3" t="s">
        <f>B1372&amp;"/"&amp;A1372&amp;"/"&amp;C1372</f>
        <v>1839</v>
      </c>
      <c r="E1372">
        <v>0.95833333333333337</v>
      </c>
      <c r="F1372" t="str">
        <f>I1372&amp;" "&amp;J1372&amp;" "&amp;K1372&amp;" "&amp;L1372&amp;" "&amp;M1372&amp;" "&amp;N1372</f>
        <v>Bless Noreen house.   </v>
      </c>
      <c r="G1372" t="s">
        <f>TEXT(D1372,"mmm dd")</f>
        <v>1501</v>
      </c>
      <c r="I1372" t="inlineStr">
        <is>
          <t>Bless</t>
        </is>
      </c>
      <c r="J1372" t="s">
        <v>1689</v>
      </c>
      <c r="K1372" t="s">
        <v>1841</v>
      </c>
    </row>
    <row r="1373" spans="1:23">
      <c r="A1373">
        <v>8</v>
      </c>
      <c r="B1373">
        <v>2</v>
      </c>
      <c r="C1373">
        <v>2012</v>
      </c>
      <c r="D1373" s="3" t="s">
        <f>B1373&amp;"/"&amp;A1373&amp;"/"&amp;C1373</f>
        <v>1842</v>
      </c>
      <c r="E1373">
        <v>1.1041666666666667</v>
      </c>
      <c r="F1373" t="str">
        <f>I1373&amp;" "&amp;J1373&amp;" "&amp;K1373&amp;" "&amp;L1373&amp;" "&amp;M1373&amp;" "&amp;N1373</f>
        <v>Tims talk on Newman  </v>
      </c>
      <c r="G1373" t="s">
        <f>TEXT(D1373,"mmm dd")</f>
        <v>1843</v>
      </c>
      <c r="I1373" t="inlineStr">
        <is>
          <t>Tims</t>
        </is>
      </c>
      <c r="J1373" t="s">
        <v>1844</v>
      </c>
      <c r="K1373" t="s">
        <v>1449</v>
      </c>
      <c r="L1373" t="s">
        <v>1845</v>
      </c>
    </row>
    <row r="1374" spans="1:23">
      <c r="A1374">
        <v>8</v>
      </c>
      <c r="B1374">
        <v>2</v>
      </c>
      <c r="C1374">
        <v>2012</v>
      </c>
      <c r="D1374" s="3" t="s">
        <f>B1374&amp;"/"&amp;A1374&amp;"/"&amp;C1374</f>
        <v>1842</v>
      </c>
      <c r="E1374">
        <v>0.16666666666666666</v>
      </c>
      <c r="F1374" t="s">
        <f>I1374&amp;" "&amp;J1374&amp;" "&amp;K1374&amp;" "&amp;L1374&amp;" "&amp;M1374&amp;" "&amp;N1374</f>
        <v>1141</v>
      </c>
      <c r="G1374" t="s">
        <f>TEXT(D1374,"mmm dd")</f>
        <v>1843</v>
      </c>
      <c r="I1374" t="s">
        <v>1143</v>
      </c>
      <c r="J1374" t="s">
        <v>647</v>
      </c>
    </row>
    <row r="1375" spans="1:23">
      <c r="A1375">
        <v>9</v>
      </c>
      <c r="B1375">
        <v>2</v>
      </c>
      <c r="C1375">
        <v>2012</v>
      </c>
      <c r="D1375" s="3" t="str">
        <f>B1375&amp;"/"&amp;A1375&amp;"/"&amp;C1375</f>
        <v>2/9/2012</v>
      </c>
      <c r="E1375">
        <v>1</v>
      </c>
      <c r="F1375" t="str">
        <f>I1375&amp;" "&amp;J1375&amp;" "&amp;K1375&amp;" "&amp;L1375&amp;" "&amp;M1375&amp;" "&amp;N1375</f>
        <v>Lunch with Chester   </v>
      </c>
      <c r="G1375" t="s">
        <f>TEXT(D1375,"mmm dd")</f>
        <v>1504</v>
      </c>
      <c r="I1375" t="s">
        <v>813</v>
      </c>
      <c r="J1375" t="s">
        <v>755</v>
      </c>
      <c r="K1375" t="s">
        <v>1846</v>
      </c>
    </row>
    <row r="1376" spans="1:23">
      <c r="A1376">
        <v>10</v>
      </c>
      <c r="B1376">
        <v>2</v>
      </c>
      <c r="C1376">
        <v>2012</v>
      </c>
      <c r="D1376" s="3" t="s">
        <f>B1376&amp;"/"&amp;A1376&amp;"/"&amp;C1376</f>
        <v>1847</v>
      </c>
      <c r="E1376">
        <v>1.0833333333333333</v>
      </c>
      <c r="F1376" t="str">
        <f>I1376&amp;" "&amp;J1376&amp;" "&amp;K1376&amp;" "&amp;L1376&amp;" "&amp;M1376&amp;" "&amp;N1376</f>
        <v>Larke     </v>
      </c>
      <c r="G1376" t="s">
        <f>TEXT(D1376,"mmm dd")</f>
        <v>1190</v>
      </c>
      <c r="I1376" t="s">
        <v>1848</v>
      </c>
    </row>
    <row r="1377" spans="1:23">
      <c r="A1377">
        <v>10</v>
      </c>
      <c r="B1377">
        <v>2</v>
      </c>
      <c r="C1377">
        <v>2012</v>
      </c>
      <c r="D1377" s="3" t="s">
        <f>B1377&amp;"/"&amp;A1377&amp;"/"&amp;C1377</f>
        <v>1847</v>
      </c>
      <c r="E1377">
        <v>0.25</v>
      </c>
      <c r="F1377" t="str">
        <f>I1377&amp;" "&amp;J1377&amp;" "&amp;K1377&amp;" "&amp;L1377&amp;" "&amp;M1377&amp;" "&amp;N1377</f>
        <v>Dinner with Tim and Paul </v>
      </c>
      <c r="G1377" t="s">
        <f>TEXT(D1377,"mmm dd")</f>
        <v>1190</v>
      </c>
      <c r="I1377" t="s">
        <v>838</v>
      </c>
      <c r="J1377" t="s">
        <v>755</v>
      </c>
      <c r="K1377" t="s">
        <v>1423</v>
      </c>
      <c r="L1377" t="s">
        <v>135</v>
      </c>
      <c r="M1377" t="s">
        <v>1337</v>
      </c>
    </row>
    <row r="1378" spans="1:23">
      <c r="A1378">
        <v>10</v>
      </c>
      <c r="B1378">
        <v>2</v>
      </c>
      <c r="C1378">
        <v>2012</v>
      </c>
      <c r="D1378" s="3" t="s">
        <f>B1378&amp;"/"&amp;A1378&amp;"/"&amp;C1378</f>
        <v>1847</v>
      </c>
      <c r="E1378">
        <v>1.0416666666666667</v>
      </c>
      <c r="F1378" t="str">
        <f>I1378&amp;" "&amp;J1378&amp;" "&amp;K1378&amp;" "&amp;L1378&amp;" "&amp;M1378&amp;" "&amp;N1378</f>
        <v>Meet Barb Belle   </v>
      </c>
      <c r="G1378" t="s">
        <f>TEXT(D1378,"mmm dd")</f>
        <v>1190</v>
      </c>
      <c r="I1378" t="s">
        <v>300</v>
      </c>
      <c r="J1378" t="s">
        <v>1707</v>
      </c>
      <c r="K1378" t="s">
        <v>1708</v>
      </c>
    </row>
    <row r="1379" spans="1:23">
      <c r="A1379">
        <v>15</v>
      </c>
      <c r="B1379">
        <v>2</v>
      </c>
      <c r="C1379">
        <v>2012</v>
      </c>
      <c r="D1379" s="3" t="str">
        <f>B1379&amp;"/"&amp;A1379&amp;"/"&amp;C1379</f>
        <v>2/15/2012</v>
      </c>
      <c r="E1379">
        <v>0.91666666666666663</v>
      </c>
      <c r="F1379" t="str">
        <f>I1379&amp;" "&amp;J1379&amp;" "&amp;K1379&amp;" "&amp;L1379&amp;" "&amp;M1379&amp;" "&amp;N1379</f>
        <v>Presbyters day    </v>
      </c>
      <c r="G1379" t="s">
        <f>TEXT(D1379,"mmm dd")</f>
        <v>1849</v>
      </c>
      <c r="I1379" t="inlineStr">
        <is>
          <t>Presbyters</t>
        </is>
      </c>
      <c r="J1379" t="s">
        <v>502</v>
      </c>
    </row>
    <row r="1380" spans="1:23">
      <c r="A1380">
        <v>16</v>
      </c>
      <c r="B1380">
        <v>2</v>
      </c>
      <c r="C1380">
        <v>2012</v>
      </c>
      <c r="D1380" s="3" t="s">
        <f>B1380&amp;"/"&amp;A1380&amp;"/"&amp;C1380</f>
        <v>1850</v>
      </c>
      <c r="E1380">
        <v>0.25</v>
      </c>
      <c r="F1380" t="str">
        <f>I1380&amp;" "&amp;J1380&amp;" "&amp;K1380&amp;" "&amp;L1380&amp;" "&amp;M1380&amp;" "&amp;N1380</f>
        <v>pick up charles and jan </v>
      </c>
      <c r="G1380" t="s">
        <f>TEXT(D1380,"mmm dd")</f>
        <v>1201</v>
      </c>
      <c r="I1380" t="s">
        <v>1851</v>
      </c>
      <c r="J1380" t="s">
        <v>807</v>
      </c>
      <c r="K1380" t="inlineStr">
        <is>
          <t>charles</t>
        </is>
      </c>
      <c r="L1380" t="s">
        <v>135</v>
      </c>
      <c r="M1380" t="inlineStr">
        <is>
          <t>jan</t>
        </is>
      </c>
    </row>
    <row r="1381" spans="1:23">
      <c r="A1381">
        <v>16</v>
      </c>
      <c r="B1381">
        <v>2</v>
      </c>
      <c r="C1381">
        <v>2012</v>
      </c>
      <c r="D1381" s="3" t="s">
        <f>B1381&amp;"/"&amp;A1381&amp;"/"&amp;C1381</f>
        <v>1850</v>
      </c>
      <c r="E1381">
        <v>0.35416666666666669</v>
      </c>
      <c r="F1381" t="str">
        <f>I1381&amp;" "&amp;J1381&amp;" "&amp;K1381&amp;" "&amp;L1381&amp;" "&amp;M1381&amp;" "&amp;N1381</f>
        <v>TAG August Wilson   </v>
      </c>
      <c r="G1381" t="s">
        <f>TEXT(D1381,"mmm dd")</f>
        <v>1201</v>
      </c>
      <c r="I1381" t="s">
        <v>1757</v>
      </c>
      <c r="J1381" t="inlineStr">
        <is>
          <t>August</t>
        </is>
      </c>
      <c r="K1381" t="inlineStr">
        <is>
          <t>Wilson</t>
        </is>
      </c>
    </row>
    <row r="1382" spans="1:23">
      <c r="A1382">
        <v>17</v>
      </c>
      <c r="B1382">
        <v>2</v>
      </c>
      <c r="C1382">
        <v>2012</v>
      </c>
      <c r="D1382" s="3" t="str">
        <f>B1382&amp;"/"&amp;A1382&amp;"/"&amp;C1382</f>
        <v>2/17/2012</v>
      </c>
      <c r="E1382">
        <v>0.29166666666666669</v>
      </c>
      <c r="F1382" t="str">
        <f>I1382&amp;" "&amp;J1382&amp;" "&amp;K1382&amp;" "&amp;L1382&amp;" "&amp;M1382&amp;" "&amp;N1382</f>
        <v>Dinner Ann Reynard   </v>
      </c>
      <c r="G1382" t="s">
        <f>TEXT(D1382,"mmm dd")</f>
        <v>1521</v>
      </c>
      <c r="I1382" t="s">
        <v>838</v>
      </c>
      <c r="J1382" t="s">
        <v>1713</v>
      </c>
      <c r="K1382" t="inlineStr">
        <is>
          <t>Reynard</t>
        </is>
      </c>
    </row>
    <row r="1383" spans="1:23">
      <c r="A1383">
        <v>19</v>
      </c>
      <c r="B1383">
        <v>2</v>
      </c>
      <c r="C1383">
        <v>2012</v>
      </c>
      <c r="D1383" s="3" t="str">
        <f>B1383&amp;"/"&amp;A1383&amp;"/"&amp;C1383</f>
        <v>2/19/2012</v>
      </c>
      <c r="E1383" t="s">
        <v>42</v>
      </c>
      <c r="F1383" t="str">
        <f>I1383&amp;" "&amp;J1383&amp;" "&amp;K1383&amp;" "&amp;L1383&amp;" "&amp;M1383&amp;" "&amp;N1383</f>
        <v>Joe and Tammy to Hawaii </v>
      </c>
      <c r="G1383" t="s">
        <f>TEXT(D1383,"mmm dd")</f>
        <v>1209</v>
      </c>
      <c r="I1383" t="s">
        <v>1345</v>
      </c>
      <c r="J1383" t="s">
        <v>135</v>
      </c>
      <c r="K1383" t="s">
        <v>1852</v>
      </c>
      <c r="L1383" t="s">
        <v>449</v>
      </c>
      <c r="M1383" t="s">
        <v>1274</v>
      </c>
    </row>
    <row r="1384" spans="1:23">
      <c r="A1384">
        <v>21</v>
      </c>
      <c r="B1384">
        <v>2</v>
      </c>
      <c r="C1384">
        <v>2012</v>
      </c>
      <c r="D1384" s="3" t="str">
        <f>B1384&amp;"/"&amp;A1384&amp;"/"&amp;C1384</f>
        <v>2/21/2012</v>
      </c>
      <c r="E1384" t="s">
        <v>42</v>
      </c>
      <c r="F1384" t="str">
        <f>I1384&amp;" "&amp;J1384&amp;" "&amp;K1384&amp;" "&amp;L1384&amp;" "&amp;M1384&amp;" "&amp;N1384</f>
        <v>Joe &amp; Tammy on Kaua'i </v>
      </c>
      <c r="G1384" t="s">
        <f>TEXT(D1384,"mmm dd")</f>
        <v>1530</v>
      </c>
      <c r="I1384" t="s">
        <v>1345</v>
      </c>
      <c r="J1384" t="s">
        <v>73</v>
      </c>
      <c r="K1384" t="s">
        <v>1852</v>
      </c>
      <c r="L1384" t="s">
        <v>1449</v>
      </c>
      <c r="M1384" t="s">
        <v>1755</v>
      </c>
    </row>
    <row r="1385" spans="1:23">
      <c r="A1385">
        <v>22</v>
      </c>
      <c r="B1385">
        <v>2</v>
      </c>
      <c r="C1385">
        <v>2012</v>
      </c>
      <c r="D1385" s="3" t="s">
        <f>B1385&amp;"/"&amp;A1385&amp;"/"&amp;C1385</f>
        <v>1853</v>
      </c>
      <c r="E1385" t="s">
        <v>42</v>
      </c>
      <c r="F1385" t="s">
        <f>I1385&amp;" "&amp;J1385&amp;" "&amp;K1385&amp;" "&amp;L1385&amp;" "&amp;M1385&amp;" "&amp;N1385</f>
        <v>1215</v>
      </c>
      <c r="G1385" t="s">
        <f>TEXT(D1385,"mmm dd")</f>
        <v>1213</v>
      </c>
      <c r="I1385" t="s">
        <v>1217</v>
      </c>
      <c r="J1385" t="s">
        <v>1218</v>
      </c>
    </row>
    <row r="1386" spans="1:23">
      <c r="A1386">
        <v>22</v>
      </c>
      <c r="B1386">
        <v>2</v>
      </c>
      <c r="C1386">
        <v>2012</v>
      </c>
      <c r="D1386" s="3" t="s">
        <f>B1386&amp;"/"&amp;A1386&amp;"/"&amp;C1386</f>
        <v>1853</v>
      </c>
      <c r="E1386">
        <v>0.125</v>
      </c>
      <c r="F1386" t="str">
        <f>I1386&amp;" "&amp;J1386&amp;" "&amp;K1386&amp;" "&amp;L1386&amp;" "&amp;M1386&amp;" "&amp;N1386</f>
        <v>Fat Tuesday Hale Malia  </v>
      </c>
      <c r="G1386" t="s">
        <f>TEXT(D1386,"mmm dd")</f>
        <v>1213</v>
      </c>
      <c r="I1386" t="inlineStr">
        <is>
          <t>Fat</t>
        </is>
      </c>
      <c r="J1386" t="s">
        <v>1854</v>
      </c>
      <c r="K1386" t="s">
        <v>1727</v>
      </c>
      <c r="L1386" t="s">
        <v>1728</v>
      </c>
      <c r="O1386" t="s">
        <v>1855</v>
      </c>
      <c r="P1386" t="s">
        <v>86</v>
      </c>
      <c r="Q1386" t="s">
        <v>1856</v>
      </c>
    </row>
    <row r="1387" spans="1:23">
      <c r="A1387">
        <v>22</v>
      </c>
      <c r="B1387">
        <v>2</v>
      </c>
      <c r="C1387">
        <v>2012</v>
      </c>
      <c r="D1387" s="3" t="s">
        <f>B1387&amp;"/"&amp;A1387&amp;"/"&amp;C1387</f>
        <v>1853</v>
      </c>
      <c r="E1387">
        <v>0.25</v>
      </c>
      <c r="F1387" t="str">
        <f>I1387&amp;" "&amp;J1387&amp;" "&amp;K1387&amp;" "&amp;L1387&amp;" "&amp;M1387&amp;" "&amp;N1387</f>
        <v>Shrove Tuesday    </v>
      </c>
      <c r="G1387" t="s">
        <f>TEXT(D1387,"mmm dd")</f>
        <v>1213</v>
      </c>
      <c r="I1387" t="s">
        <v>1523</v>
      </c>
      <c r="J1387" t="s">
        <v>1854</v>
      </c>
    </row>
    <row r="1388" spans="1:23">
      <c r="A1388">
        <v>28</v>
      </c>
      <c r="B1388">
        <v>2</v>
      </c>
      <c r="C1388">
        <v>2012</v>
      </c>
      <c r="D1388" s="3" t="str">
        <f>B1388&amp;"/"&amp;A1388&amp;"/"&amp;C1388</f>
        <v>2/28/2012</v>
      </c>
      <c r="E1388">
        <v>1.0833333333333333</v>
      </c>
      <c r="F1388" t="str">
        <f>I1388&amp;" "&amp;J1388&amp;" "&amp;K1388&amp;" "&amp;L1388&amp;" "&amp;M1388&amp;" "&amp;N1388</f>
        <v>Counseling     </v>
      </c>
      <c r="G1388" t="s">
        <f>TEXT(D1388,"mmm dd")</f>
        <v>1227</v>
      </c>
      <c r="I1388" t="s">
        <v>1857</v>
      </c>
      <c r="O1388" t="s">
        <v>847</v>
      </c>
      <c r="P1388" t="s">
        <v>1858</v>
      </c>
    </row>
    <row r="1389" spans="1:23">
      <c r="A1389">
        <v>29</v>
      </c>
      <c r="B1389">
        <v>2</v>
      </c>
      <c r="C1389">
        <v>2012</v>
      </c>
      <c r="D1389" s="3" t="s">
        <f>B1389&amp;"/"&amp;A1389&amp;"/"&amp;C1389</f>
        <v>1859</v>
      </c>
      <c r="E1389">
        <v>1.0416666666666667</v>
      </c>
      <c r="F1389" t="s">
        <f>I1389&amp;" "&amp;J1389&amp;" "&amp;K1389&amp;" "&amp;L1389&amp;" "&amp;M1389&amp;" "&amp;N1389</f>
        <v>1840</v>
      </c>
      <c r="G1389" t="s">
        <f>TEXT(D1389,"mmm dd")</f>
        <v>1860</v>
      </c>
      <c r="I1389" t="s">
        <v>1273</v>
      </c>
    </row>
    <row r="1390" spans="1:23">
      <c r="A1390">
        <v>29</v>
      </c>
      <c r="B1390">
        <v>2</v>
      </c>
      <c r="C1390">
        <v>2012</v>
      </c>
      <c r="D1390" s="3" t="s">
        <f>B1390&amp;"/"&amp;A1390&amp;"/"&amp;C1390</f>
        <v>1859</v>
      </c>
      <c r="E1390">
        <v>0.85416666666666663</v>
      </c>
      <c r="F1390" t="str">
        <f>I1390&amp;" "&amp;J1390&amp;" "&amp;K1390&amp;" "&amp;L1390&amp;" "&amp;M1390&amp;" "&amp;N1390</f>
        <v>Meet Barb belle   </v>
      </c>
      <c r="G1390" t="s">
        <f>TEXT(D1390,"mmm dd")</f>
        <v>1860</v>
      </c>
      <c r="I1390" t="s">
        <v>300</v>
      </c>
      <c r="J1390" t="s">
        <v>1707</v>
      </c>
      <c r="K1390" t="inlineStr">
        <is>
          <t>belle</t>
        </is>
      </c>
    </row>
    <row r="1391" spans="1:23">
      <c r="A1391">
        <v>29</v>
      </c>
      <c r="B1391">
        <v>2</v>
      </c>
      <c r="C1391">
        <v>2012</v>
      </c>
      <c r="D1391" s="3" t="s">
        <f>B1391&amp;"/"&amp;A1391&amp;"/"&amp;C1391</f>
        <v>1859</v>
      </c>
      <c r="E1391">
        <v>0.14583333333333334</v>
      </c>
      <c r="F1391" t="str">
        <f>I1391&amp;" "&amp;J1391&amp;" "&amp;K1391&amp;" "&amp;L1391&amp;" "&amp;M1391&amp;" "&amp;N1391</f>
        <v>PU Mary Pat   </v>
      </c>
      <c r="G1391" t="s">
        <f>TEXT(D1391,"mmm dd")</f>
        <v>1860</v>
      </c>
      <c r="I1391" t="s">
        <v>1013</v>
      </c>
      <c r="J1391" t="s">
        <v>410</v>
      </c>
      <c r="K1391" t="s">
        <v>702</v>
      </c>
    </row>
    <row r="1392" spans="1:23">
      <c r="A1392">
        <v>29</v>
      </c>
      <c r="B1392">
        <v>2</v>
      </c>
      <c r="C1392">
        <v>2012</v>
      </c>
      <c r="D1392" s="3" t="s">
        <f>B1392&amp;"/"&amp;A1392&amp;"/"&amp;C1392</f>
        <v>1859</v>
      </c>
      <c r="E1392">
        <v>0.9375</v>
      </c>
      <c r="F1392" t="s">
        <f>I1392&amp;" "&amp;J1392&amp;" "&amp;K1392&amp;" "&amp;L1392&amp;" "&amp;M1392&amp;" "&amp;N1392</f>
        <v>64</v>
      </c>
      <c r="G1392" t="s">
        <f>TEXT(D1392,"mmm dd")</f>
        <v>1860</v>
      </c>
      <c r="I1392" t="s">
        <v>66</v>
      </c>
    </row>
    <row r="1393" spans="1:23">
      <c r="A1393">
        <v>29</v>
      </c>
      <c r="B1393">
        <v>2</v>
      </c>
      <c r="C1393">
        <v>2012</v>
      </c>
      <c r="D1393" s="3" t="s">
        <f>B1393&amp;"/"&amp;A1393&amp;"/"&amp;C1393</f>
        <v>1859</v>
      </c>
      <c r="E1393">
        <v>1.0625</v>
      </c>
      <c r="F1393" t="str">
        <f>I1393&amp;" "&amp;J1393&amp;" "&amp;K1393&amp;" "&amp;L1393&amp;" "&amp;M1393&amp;" "&amp;N1393</f>
        <v>Go to Whale watch cruise </v>
      </c>
      <c r="G1393" t="s">
        <f>TEXT(D1393,"mmm dd")</f>
        <v>1860</v>
      </c>
      <c r="I1393" t="s">
        <v>1861</v>
      </c>
      <c r="J1393" t="s">
        <v>449</v>
      </c>
      <c r="K1393" t="s">
        <v>1862</v>
      </c>
      <c r="L1393" t="s">
        <v>1863</v>
      </c>
      <c r="M1393" t="s">
        <v>1864</v>
      </c>
    </row>
    <row r="1394" spans="1:23">
      <c r="A1394">
        <v>2</v>
      </c>
      <c r="B1394">
        <v>3</v>
      </c>
      <c r="C1394">
        <v>2012</v>
      </c>
      <c r="D1394" s="3" t="str">
        <f>B1394&amp;"/"&amp;A1394&amp;"/"&amp;C1394</f>
        <v>3/2/2012</v>
      </c>
      <c r="E1394">
        <v>0.22916666666666666</v>
      </c>
      <c r="F1394" t="s">
        <f>I1394&amp;" "&amp;J1394&amp;" "&amp;K1394&amp;" "&amp;L1394&amp;" "&amp;M1394&amp;" "&amp;N1394</f>
        <v>1865</v>
      </c>
      <c r="G1394" t="s">
        <f>TEXT(D1394,"mmm dd")</f>
        <v>1535</v>
      </c>
      <c r="I1394" t="s">
        <v>1423</v>
      </c>
      <c r="J1394" t="s">
        <v>1706</v>
      </c>
    </row>
    <row r="1395" spans="1:23">
      <c r="A1395">
        <v>5</v>
      </c>
      <c r="B1395">
        <v>3</v>
      </c>
      <c r="C1395">
        <v>2012</v>
      </c>
      <c r="D1395" s="3" t="str">
        <f>B1395&amp;"/"&amp;A1395&amp;"/"&amp;C1395</f>
        <v>3/5/2012</v>
      </c>
      <c r="E1395">
        <v>0.97916666666666663</v>
      </c>
      <c r="F1395" t="str">
        <f>I1395&amp;" "&amp;J1395&amp;" "&amp;K1395&amp;" "&amp;L1395&amp;" "&amp;M1395&amp;" "&amp;N1395</f>
        <v>Funeral for Soane's at St. Elizabeth's</v>
      </c>
      <c r="G1395" t="s">
        <f>TEXT(D1395,"mmm dd")</f>
        <v>1235</v>
      </c>
      <c r="I1395" t="s">
        <v>1135</v>
      </c>
      <c r="J1395" t="s">
        <v>439</v>
      </c>
      <c r="K1395" t="inlineStr">
        <is>
          <t>Soane's</t>
        </is>
      </c>
      <c r="L1395" t="s">
        <v>53</v>
      </c>
      <c r="M1395" t="s">
        <v>218</v>
      </c>
      <c r="N1395" t="inlineStr">
        <is>
          <t>Elizabeth's</t>
        </is>
      </c>
    </row>
    <row r="1396" spans="1:23">
      <c r="A1396">
        <v>6</v>
      </c>
      <c r="B1396">
        <v>3</v>
      </c>
      <c r="C1396">
        <v>2012</v>
      </c>
      <c r="D1396" s="3" t="s">
        <f>B1396&amp;"/"&amp;A1396&amp;"/"&amp;C1396</f>
        <v>1866</v>
      </c>
      <c r="E1396">
        <v>0.91666666666666663</v>
      </c>
      <c r="F1396" t="s">
        <f>I1396&amp;" "&amp;J1396&amp;" "&amp;K1396&amp;" "&amp;L1396&amp;" "&amp;M1396&amp;" "&amp;N1396</f>
        <v>1761</v>
      </c>
      <c r="G1396" t="s">
        <f>TEXT(D1396,"mmm dd")</f>
        <v>1237</v>
      </c>
      <c r="I1396" t="s">
        <v>1028</v>
      </c>
      <c r="J1396" t="s">
        <v>1706</v>
      </c>
    </row>
    <row r="1397" spans="1:23">
      <c r="A1397">
        <v>6</v>
      </c>
      <c r="B1397">
        <v>3</v>
      </c>
      <c r="C1397">
        <v>2012</v>
      </c>
      <c r="D1397" s="3" t="s">
        <f>B1397&amp;"/"&amp;A1397&amp;"/"&amp;C1397</f>
        <v>1866</v>
      </c>
      <c r="E1397">
        <v>1</v>
      </c>
      <c r="F1397" t="s">
        <f>I1397&amp;" "&amp;J1397&amp;" "&amp;K1397&amp;" "&amp;L1397&amp;" "&amp;M1397&amp;" "&amp;N1397</f>
        <v>1867</v>
      </c>
      <c r="G1397" t="s">
        <f>TEXT(D1397,"mmm dd")</f>
        <v>1237</v>
      </c>
      <c r="I1397" t="s">
        <v>1855</v>
      </c>
      <c r="O1397" t="s">
        <v>449</v>
      </c>
      <c r="P1397" t="inlineStr">
        <is>
          <t>ATL</t>
        </is>
      </c>
    </row>
    <row r="1398" spans="1:23">
      <c r="A1398">
        <v>8</v>
      </c>
      <c r="B1398">
        <v>3</v>
      </c>
      <c r="C1398">
        <v>2012</v>
      </c>
      <c r="D1398" s="3" t="s">
        <f>B1398&amp;"/"&amp;A1398&amp;"/"&amp;C1398</f>
        <v>1868</v>
      </c>
      <c r="E1398">
        <v>0.125</v>
      </c>
      <c r="F1398" t="s">
        <f>I1398&amp;" "&amp;J1398&amp;" "&amp;K1398&amp;" "&amp;L1398&amp;" "&amp;M1398&amp;" "&amp;N1398</f>
        <v>1705</v>
      </c>
      <c r="G1398" t="s">
        <f>TEXT(D1398,"mmm dd")</f>
        <v>1542</v>
      </c>
      <c r="I1398" t="s">
        <v>1706</v>
      </c>
    </row>
    <row r="1399" spans="1:23">
      <c r="A1399">
        <v>8</v>
      </c>
      <c r="B1399">
        <v>3</v>
      </c>
      <c r="C1399">
        <v>2012</v>
      </c>
      <c r="D1399" s="3" t="s">
        <f>B1399&amp;"/"&amp;A1399&amp;"/"&amp;C1399</f>
        <v>1868</v>
      </c>
      <c r="E1399">
        <v>0.25</v>
      </c>
      <c r="F1399" t="str">
        <f>I1399&amp;" "&amp;J1399&amp;" "&amp;K1399&amp;" "&amp;L1399&amp;" "&amp;M1399&amp;" "&amp;N1399</f>
        <v>Blaze drama production   </v>
      </c>
      <c r="G1399" t="s">
        <f>TEXT(D1399,"mmm dd")</f>
        <v>1542</v>
      </c>
      <c r="I1399" t="inlineStr">
        <is>
          <t>Blaze</t>
        </is>
      </c>
      <c r="J1399" t="inlineStr">
        <is>
          <t>drama</t>
        </is>
      </c>
      <c r="K1399" t="inlineStr">
        <is>
          <t>production</t>
        </is>
      </c>
    </row>
    <row r="1400" spans="1:23">
      <c r="A1400">
        <v>9</v>
      </c>
      <c r="B1400">
        <v>3</v>
      </c>
      <c r="C1400">
        <v>2012</v>
      </c>
      <c r="D1400" s="3" t="s">
        <f>B1400&amp;"/"&amp;A1400&amp;"/"&amp;C1400</f>
        <v>1869</v>
      </c>
      <c r="E1400">
        <v>0.29166666666666669</v>
      </c>
      <c r="F1400" t="str">
        <f>I1400&amp;" "&amp;J1400&amp;" "&amp;K1400&amp;" "&amp;L1400&amp;" "&amp;M1400&amp;" "&amp;N1400</f>
        <v>Gary &amp; Tom for dinner </v>
      </c>
      <c r="G1400" t="s">
        <f>TEXT(D1400,"mmm dd")</f>
        <v>1545</v>
      </c>
      <c r="I1400" t="s">
        <v>1870</v>
      </c>
      <c r="J1400" t="s">
        <v>73</v>
      </c>
      <c r="K1400" t="s">
        <v>873</v>
      </c>
      <c r="L1400" t="s">
        <v>439</v>
      </c>
      <c r="M1400" t="s">
        <v>517</v>
      </c>
    </row>
    <row r="1401" spans="1:23">
      <c r="A1401">
        <v>9</v>
      </c>
      <c r="B1401">
        <v>3</v>
      </c>
      <c r="C1401">
        <v>2012</v>
      </c>
      <c r="D1401" s="3" t="s">
        <f>B1401&amp;"/"&amp;A1401&amp;"/"&amp;C1401</f>
        <v>1869</v>
      </c>
      <c r="E1401">
        <v>1.0625</v>
      </c>
      <c r="F1401" t="str">
        <f>I1401&amp;" "&amp;J1401&amp;" "&amp;K1401&amp;" "&amp;L1401&amp;" "&amp;M1401&amp;" "&amp;N1401</f>
        <v>Chuuk instructors    </v>
      </c>
      <c r="G1401" t="s">
        <f>TEXT(D1401,"mmm dd")</f>
        <v>1545</v>
      </c>
      <c r="I1401" t="s">
        <v>1871</v>
      </c>
      <c r="J1401" t="inlineStr">
        <is>
          <t>instructors</t>
        </is>
      </c>
    </row>
    <row r="1402" spans="1:23">
      <c r="A1402">
        <v>10</v>
      </c>
      <c r="B1402">
        <v>3</v>
      </c>
      <c r="C1402">
        <v>2012</v>
      </c>
      <c r="D1402" s="3" t="str">
        <f>B1402&amp;"/"&amp;A1402&amp;"/"&amp;C1402</f>
        <v>3/10/2012</v>
      </c>
      <c r="E1402">
        <v>0.14583333333333334</v>
      </c>
      <c r="F1402" t="str">
        <f>I1402&amp;" "&amp;J1402&amp;" "&amp;K1402&amp;" "&amp;L1402&amp;" "&amp;M1402&amp;" "&amp;N1402</f>
        <v>Ed division meeting   </v>
      </c>
      <c r="G1402" t="s">
        <f>TEXT(D1402,"mmm dd")</f>
        <v>1241</v>
      </c>
      <c r="I1402" t="s">
        <v>1872</v>
      </c>
      <c r="J1402" t="s">
        <v>1873</v>
      </c>
      <c r="K1402" t="s">
        <v>842</v>
      </c>
    </row>
    <row r="1403" spans="1:23">
      <c r="A1403">
        <v>11</v>
      </c>
      <c r="B1403">
        <v>3</v>
      </c>
      <c r="C1403">
        <v>2012</v>
      </c>
      <c r="D1403" s="3" t="str">
        <f>B1403&amp;"/"&amp;A1403&amp;"/"&amp;C1403</f>
        <v>3/11/2012</v>
      </c>
      <c r="E1403">
        <v>0.29166666666666669</v>
      </c>
      <c r="F1403" t="str">
        <f>I1403&amp;" "&amp;J1403&amp;" "&amp;K1403&amp;" "&amp;L1403&amp;" "&amp;M1403&amp;" "&amp;N1403</f>
        <v>Jan &amp; Charles for dinner. </v>
      </c>
      <c r="G1403" t="s">
        <f>TEXT(D1403,"mmm dd")</f>
        <v>1550</v>
      </c>
      <c r="I1403" t="s">
        <v>1819</v>
      </c>
      <c r="J1403" t="s">
        <v>73</v>
      </c>
      <c r="K1403" t="s">
        <v>1874</v>
      </c>
      <c r="L1403" t="s">
        <v>439</v>
      </c>
      <c r="M1403" t="inlineStr">
        <is>
          <t>dinner.</t>
        </is>
      </c>
    </row>
    <row r="1404" spans="1:23">
      <c r="A1404">
        <v>13</v>
      </c>
      <c r="B1404">
        <v>3</v>
      </c>
      <c r="C1404">
        <v>2012</v>
      </c>
      <c r="D1404" s="3" t="str">
        <f>B1404&amp;"/"&amp;A1404&amp;"/"&amp;C1404</f>
        <v>3/13/2012</v>
      </c>
      <c r="E1404">
        <v>1</v>
      </c>
      <c r="F1404" t="s">
        <f>I1404&amp;" "&amp;J1404&amp;" "&amp;K1404&amp;" "&amp;L1404&amp;" "&amp;M1404&amp;" "&amp;N1404</f>
        <v>1875</v>
      </c>
      <c r="G1404" t="s">
        <f>TEXT(D1404,"mmm dd")</f>
        <v>1553</v>
      </c>
      <c r="I1404" t="s">
        <v>1266</v>
      </c>
      <c r="J1404" t="s">
        <v>1876</v>
      </c>
      <c r="K1404" t="s">
        <v>439</v>
      </c>
      <c r="L1404" t="s">
        <v>440</v>
      </c>
    </row>
    <row r="1405" spans="1:23">
      <c r="A1405">
        <v>14</v>
      </c>
      <c r="B1405">
        <v>3</v>
      </c>
      <c r="C1405">
        <v>2012</v>
      </c>
      <c r="D1405" s="3" t="str">
        <f>B1405&amp;"/"&amp;A1405&amp;"/"&amp;C1405</f>
        <v>3/14/2012</v>
      </c>
      <c r="E1405">
        <v>1.0625</v>
      </c>
      <c r="F1405" t="str">
        <f>I1405&amp;" "&amp;J1405&amp;" "&amp;K1405&amp;" "&amp;L1405&amp;" "&amp;M1405&amp;" "&amp;N1405</f>
        <v>Pick up Mary Pat trade cars</v>
      </c>
      <c r="G1405" t="s">
        <f>TEXT(D1405,"mmm dd")</f>
        <v>1877</v>
      </c>
      <c r="I1405" t="s">
        <v>806</v>
      </c>
      <c r="J1405" t="s">
        <v>807</v>
      </c>
      <c r="K1405" t="s">
        <v>410</v>
      </c>
      <c r="L1405" t="s">
        <v>702</v>
      </c>
      <c r="M1405" t="inlineStr">
        <is>
          <t>trade</t>
        </is>
      </c>
      <c r="N1405" t="inlineStr">
        <is>
          <t>cars</t>
        </is>
      </c>
    </row>
    <row r="1406" spans="1:23">
      <c r="A1406">
        <v>15</v>
      </c>
      <c r="B1406">
        <v>3</v>
      </c>
      <c r="C1406">
        <v>2012</v>
      </c>
      <c r="D1406" s="3" t="str">
        <f>B1406&amp;"/"&amp;A1406&amp;"/"&amp;C1406</f>
        <v>3/15/2012</v>
      </c>
      <c r="E1406">
        <v>0.14583333333333334</v>
      </c>
      <c r="F1406" t="str">
        <f>I1406&amp;" "&amp;J1406&amp;" "&amp;K1406&amp;" "&amp;L1406&amp;" "&amp;M1406&amp;" "&amp;N1406</f>
        <v>Dick as substitute   </v>
      </c>
      <c r="G1406" t="s">
        <f>TEXT(D1406,"mmm dd")</f>
        <v>1878</v>
      </c>
      <c r="I1406" t="s">
        <v>188</v>
      </c>
      <c r="J1406" t="inlineStr">
        <is>
          <t>as</t>
        </is>
      </c>
      <c r="K1406" t="s">
        <v>1879</v>
      </c>
    </row>
    <row r="1407" spans="1:23">
      <c r="A1407">
        <v>16</v>
      </c>
      <c r="B1407">
        <v>3</v>
      </c>
      <c r="C1407">
        <v>2012</v>
      </c>
      <c r="D1407" s="3" t="str">
        <f>B1407&amp;"/"&amp;A1407&amp;"/"&amp;C1407</f>
        <v>3/16/2012</v>
      </c>
      <c r="E1407">
        <v>0.25</v>
      </c>
      <c r="F1407" t="str">
        <f>I1407&amp;" "&amp;J1407&amp;" "&amp;K1407&amp;" "&amp;L1407&amp;" "&amp;M1407&amp;" "&amp;N1407</f>
        <v>Meet Leland &amp; Larke  </v>
      </c>
      <c r="G1407" t="s">
        <f>TEXT(D1407,"mmm dd")</f>
        <v>1554</v>
      </c>
      <c r="I1407" t="s">
        <v>300</v>
      </c>
      <c r="J1407" t="inlineStr">
        <is>
          <t>Leland</t>
        </is>
      </c>
      <c r="K1407" t="s">
        <v>73</v>
      </c>
      <c r="L1407" t="s">
        <v>1848</v>
      </c>
    </row>
    <row r="1408" spans="1:23">
      <c r="A1408">
        <v>19</v>
      </c>
      <c r="B1408">
        <v>3</v>
      </c>
      <c r="C1408">
        <v>2012</v>
      </c>
      <c r="D1408" s="3" t="str">
        <f>B1408&amp;"/"&amp;A1408&amp;"/"&amp;C1408</f>
        <v>3/19/2012</v>
      </c>
      <c r="E1408">
        <v>0.27083333333333331</v>
      </c>
      <c r="F1408" t="str">
        <f>I1408&amp;" "&amp;J1408&amp;" "&amp;K1408&amp;" "&amp;L1408&amp;" "&amp;M1408&amp;" "&amp;N1408</f>
        <v>Malianika meeting    </v>
      </c>
      <c r="G1408" t="s">
        <f>TEXT(D1408,"mmm dd")</f>
        <v>1254</v>
      </c>
      <c r="I1408" t="s">
        <v>1880</v>
      </c>
      <c r="J1408" t="s">
        <v>842</v>
      </c>
    </row>
    <row r="1409" spans="1:23">
      <c r="A1409">
        <v>21</v>
      </c>
      <c r="B1409">
        <v>3</v>
      </c>
      <c r="C1409">
        <v>2012</v>
      </c>
      <c r="D1409" s="3" t="s">
        <f>B1409&amp;"/"&amp;A1409&amp;"/"&amp;C1409</f>
        <v>1881</v>
      </c>
      <c r="E1409" t="s">
        <v>42</v>
      </c>
      <c r="F1409" t="str">
        <f>I1409&amp;" "&amp;J1409&amp;" "&amp;K1409&amp;" "&amp;L1409&amp;" "&amp;M1409&amp;" "&amp;N1409</f>
        <v>Final Day of Graduate Semester </v>
      </c>
      <c r="G1409" t="s">
        <f>TEXT(D1409,"mmm dd")</f>
        <v>1263</v>
      </c>
      <c r="I1409" t="s">
        <v>1763</v>
      </c>
      <c r="J1409" t="s">
        <v>10</v>
      </c>
      <c r="K1409" t="s">
        <v>86</v>
      </c>
      <c r="L1409" t="s">
        <v>1882</v>
      </c>
      <c r="M1409" t="s">
        <v>1883</v>
      </c>
    </row>
    <row r="1410" spans="1:23">
      <c r="A1410">
        <v>21</v>
      </c>
      <c r="B1410">
        <v>3</v>
      </c>
      <c r="C1410">
        <v>2012</v>
      </c>
      <c r="D1410" s="3" t="s">
        <f>B1410&amp;"/"&amp;A1410&amp;"/"&amp;C1410</f>
        <v>1881</v>
      </c>
      <c r="E1410" t="s">
        <v>42</v>
      </c>
      <c r="F1410" t="str">
        <f>I1410&amp;" "&amp;J1410&amp;" "&amp;K1410&amp;" "&amp;L1410&amp;" "&amp;M1410&amp;" "&amp;N1410</f>
        <v>Divorce court    </v>
      </c>
      <c r="G1410" t="s">
        <f>TEXT(D1410,"mmm dd")</f>
        <v>1263</v>
      </c>
      <c r="I1410" t="inlineStr">
        <is>
          <t>Divorce</t>
        </is>
      </c>
      <c r="J1410" t="s">
        <v>1884</v>
      </c>
    </row>
    <row r="1411" spans="1:23">
      <c r="A1411">
        <v>21</v>
      </c>
      <c r="B1411">
        <v>3</v>
      </c>
      <c r="C1411">
        <v>2012</v>
      </c>
      <c r="D1411" s="3" t="s">
        <f>B1411&amp;"/"&amp;A1411&amp;"/"&amp;C1411</f>
        <v>1881</v>
      </c>
      <c r="E1411">
        <v>0.14583333333333334</v>
      </c>
      <c r="F1411" t="s">
        <f>I1411&amp;" "&amp;J1411&amp;" "&amp;K1411&amp;" "&amp;L1411&amp;" "&amp;M1411&amp;" "&amp;N1411</f>
        <v>1705</v>
      </c>
      <c r="G1411" t="s">
        <f>TEXT(D1411,"mmm dd")</f>
        <v>1263</v>
      </c>
      <c r="I1411" t="s">
        <v>1706</v>
      </c>
    </row>
    <row r="1412" spans="1:23">
      <c r="A1412">
        <v>21</v>
      </c>
      <c r="B1412">
        <v>3</v>
      </c>
      <c r="C1412">
        <v>2012</v>
      </c>
      <c r="D1412" s="3" t="s">
        <f>B1412&amp;"/"&amp;A1412&amp;"/"&amp;C1412</f>
        <v>1881</v>
      </c>
      <c r="E1412">
        <v>0.14583333333333334</v>
      </c>
      <c r="F1412" t="s">
        <f>I1412&amp;" "&amp;J1412&amp;" "&amp;K1412&amp;" "&amp;L1412&amp;" "&amp;M1412&amp;" "&amp;N1412</f>
        <v>1705</v>
      </c>
      <c r="G1412" t="s">
        <f>TEXT(D1412,"mmm dd")</f>
        <v>1263</v>
      </c>
      <c r="I1412" t="s">
        <v>1706</v>
      </c>
    </row>
    <row r="1413" spans="1:23">
      <c r="A1413">
        <v>22</v>
      </c>
      <c r="B1413">
        <v>3</v>
      </c>
      <c r="C1413">
        <v>2012</v>
      </c>
      <c r="D1413" s="3" t="s">
        <f>B1413&amp;"/"&amp;A1413&amp;"/"&amp;C1413</f>
        <v>1885</v>
      </c>
      <c r="E1413">
        <v>0.3125</v>
      </c>
      <c r="F1413" t="str">
        <f>I1413&amp;" "&amp;J1413&amp;" "&amp;K1413&amp;" "&amp;L1413&amp;" "&amp;M1413&amp;" "&amp;N1413</f>
        <v>Vestry for March   </v>
      </c>
      <c r="G1413" t="s">
        <f>TEXT(D1413,"mmm dd")</f>
        <v>1886</v>
      </c>
      <c r="I1413" t="s">
        <v>194</v>
      </c>
      <c r="J1413" t="s">
        <v>439</v>
      </c>
      <c r="K1413" t="inlineStr">
        <is>
          <t>March</t>
        </is>
      </c>
    </row>
    <row r="1414" spans="1:23">
      <c r="A1414">
        <v>22</v>
      </c>
      <c r="B1414">
        <v>3</v>
      </c>
      <c r="C1414">
        <v>2012</v>
      </c>
      <c r="D1414" s="3" t="s">
        <f>B1414&amp;"/"&amp;A1414&amp;"/"&amp;C1414</f>
        <v>1885</v>
      </c>
      <c r="E1414" t="s">
        <v>42</v>
      </c>
      <c r="F1414" t="str">
        <f>I1414&amp;" "&amp;J1414&amp;" "&amp;K1414&amp;" "&amp;L1414&amp;" "&amp;M1414&amp;" "&amp;N1414</f>
        <v>HIM     </v>
      </c>
      <c r="G1414" t="s">
        <f>TEXT(D1414,"mmm dd")</f>
        <v>1886</v>
      </c>
      <c r="I1414" t="s">
        <v>1245</v>
      </c>
    </row>
    <row r="1415" spans="1:23">
      <c r="A1415">
        <v>23</v>
      </c>
      <c r="B1415">
        <v>3</v>
      </c>
      <c r="C1415">
        <v>2012</v>
      </c>
      <c r="D1415" s="3" t="s">
        <f>B1415&amp;"/"&amp;A1415&amp;"/"&amp;C1415</f>
        <v>1887</v>
      </c>
      <c r="E1415">
        <v>1</v>
      </c>
      <c r="F1415" t="str">
        <f>I1415&amp;" "&amp;J1415&amp;" "&amp;K1415&amp;" "&amp;L1415&amp;" "&amp;M1415&amp;" "&amp;N1415</f>
        <v>Riefer Edgar at Henry Hall </v>
      </c>
      <c r="G1415" t="s">
        <f>TEXT(D1415,"mmm dd")</f>
        <v>1888</v>
      </c>
      <c r="I1415" t="inlineStr">
        <is>
          <t>Riefer</t>
        </is>
      </c>
      <c r="J1415" t="inlineStr">
        <is>
          <t>Edgar</t>
        </is>
      </c>
      <c r="K1415" t="s">
        <v>53</v>
      </c>
      <c r="L1415" t="s">
        <v>1889</v>
      </c>
      <c r="M1415" t="s">
        <v>650</v>
      </c>
    </row>
    <row r="1416" spans="1:23">
      <c r="A1416">
        <v>23</v>
      </c>
      <c r="B1416">
        <v>3</v>
      </c>
      <c r="C1416">
        <v>2012</v>
      </c>
      <c r="D1416" s="3" t="s">
        <f>B1416&amp;"/"&amp;A1416&amp;"/"&amp;C1416</f>
        <v>1887</v>
      </c>
      <c r="E1416">
        <v>0.25</v>
      </c>
      <c r="F1416" t="s">
        <f>I1416&amp;" "&amp;J1416&amp;" "&amp;K1416&amp;" "&amp;L1416&amp;" "&amp;M1416&amp;" "&amp;N1416</f>
        <v>1840</v>
      </c>
      <c r="G1416" t="s">
        <f>TEXT(D1416,"mmm dd")</f>
        <v>1888</v>
      </c>
      <c r="I1416" t="s">
        <v>1273</v>
      </c>
    </row>
    <row r="1417" spans="1:23">
      <c r="A1417">
        <v>24</v>
      </c>
      <c r="B1417">
        <v>3</v>
      </c>
      <c r="C1417">
        <v>2012</v>
      </c>
      <c r="D1417" s="3" t="str">
        <f>B1417&amp;"/"&amp;A1417&amp;"/"&amp;C1417</f>
        <v>3/24/2012</v>
      </c>
      <c r="E1417" t="s">
        <v>42</v>
      </c>
      <c r="F1417" t="str">
        <f>I1417&amp;" "&amp;J1417&amp;" "&amp;K1417&amp;" "&amp;L1417&amp;" "&amp;M1417&amp;" "&amp;N1417</f>
        <v>Diana Butler Bass   </v>
      </c>
      <c r="G1417" t="s">
        <f>TEXT(D1417,"mmm dd")</f>
        <v>1265</v>
      </c>
      <c r="I1417" t="inlineStr">
        <is>
          <t>Diana</t>
        </is>
      </c>
      <c r="J1417" t="inlineStr">
        <is>
          <t>Butler</t>
        </is>
      </c>
      <c r="K1417" t="inlineStr">
        <is>
          <t>Bass</t>
        </is>
      </c>
    </row>
    <row r="1418" spans="1:23">
      <c r="A1418">
        <v>25</v>
      </c>
      <c r="B1418">
        <v>3</v>
      </c>
      <c r="C1418">
        <v>2012</v>
      </c>
      <c r="D1418" s="3" t="str">
        <f>B1418&amp;"/"&amp;A1418&amp;"/"&amp;C1418</f>
        <v>3/25/2012</v>
      </c>
      <c r="E1418">
        <v>0.29166666666666669</v>
      </c>
      <c r="F1418" t="str">
        <f>I1418&amp;" "&amp;J1418&amp;" "&amp;K1418&amp;" "&amp;L1418&amp;" "&amp;M1418&amp;" "&amp;N1418</f>
        <v>Louis' birthday    </v>
      </c>
      <c r="G1418" t="s">
        <f>TEXT(D1418,"mmm dd")</f>
        <v>1559</v>
      </c>
      <c r="I1418" t="inlineStr">
        <is>
          <t>Louis'</t>
        </is>
      </c>
      <c r="J1418" t="s">
        <v>319</v>
      </c>
    </row>
    <row r="1419" spans="1:23">
      <c r="A1419">
        <v>27</v>
      </c>
      <c r="B1419">
        <v>3</v>
      </c>
      <c r="C1419">
        <v>2012</v>
      </c>
      <c r="D1419" s="3" t="s">
        <f>B1419&amp;"/"&amp;A1419&amp;"/"&amp;C1419</f>
        <v>1890</v>
      </c>
      <c r="E1419" t="s">
        <v>42</v>
      </c>
      <c r="F1419" t="str">
        <f>I1419&amp;" "&amp;J1419&amp;" "&amp;K1419&amp;" "&amp;L1419&amp;" "&amp;M1419&amp;" "&amp;N1419</f>
        <v>No Joyce this week.  </v>
      </c>
      <c r="G1419" t="s">
        <f>TEXT(D1419,"mmm dd")</f>
        <v>1891</v>
      </c>
      <c r="I1419" t="s">
        <v>1264</v>
      </c>
      <c r="J1419" t="s">
        <v>1892</v>
      </c>
      <c r="K1419" t="s">
        <v>1893</v>
      </c>
      <c r="L1419" t="inlineStr">
        <is>
          <t>week.</t>
        </is>
      </c>
    </row>
    <row r="1420" spans="1:23">
      <c r="A1420">
        <v>27</v>
      </c>
      <c r="B1420">
        <v>3</v>
      </c>
      <c r="C1420">
        <v>2012</v>
      </c>
      <c r="D1420" s="3" t="s">
        <f>B1420&amp;"/"&amp;A1420&amp;"/"&amp;C1420</f>
        <v>1890</v>
      </c>
      <c r="E1420">
        <v>1.0833333333333333</v>
      </c>
      <c r="F1420" t="str">
        <f>I1420&amp;" "&amp;J1420&amp;" "&amp;K1420&amp;" "&amp;L1420&amp;" "&amp;M1420&amp;" "&amp;N1420</f>
        <v>Liz     </v>
      </c>
      <c r="G1420" t="s">
        <f>TEXT(D1420,"mmm dd")</f>
        <v>1891</v>
      </c>
      <c r="I1420" t="s">
        <v>1832</v>
      </c>
    </row>
    <row r="1421" spans="1:23">
      <c r="A1421">
        <v>28</v>
      </c>
      <c r="B1421">
        <v>3</v>
      </c>
      <c r="C1421">
        <v>2012</v>
      </c>
      <c r="D1421" s="3" t="str">
        <f>B1421&amp;"/"&amp;A1421&amp;"/"&amp;C1421</f>
        <v>3/28/2012</v>
      </c>
      <c r="E1421">
        <v>0.875</v>
      </c>
      <c r="F1421" t="s">
        <f>I1421&amp;" "&amp;J1421&amp;" "&amp;K1421&amp;" "&amp;L1421&amp;" "&amp;M1421&amp;" "&amp;N1421</f>
        <v>1894</v>
      </c>
      <c r="G1421" t="s">
        <f>TEXT(D1421,"mmm dd")</f>
        <v>1562</v>
      </c>
      <c r="I1421" t="s">
        <v>1341</v>
      </c>
      <c r="J1421" t="s">
        <v>1895</v>
      </c>
    </row>
    <row r="1422" spans="1:23">
      <c r="A1422">
        <v>29</v>
      </c>
      <c r="B1422">
        <v>3</v>
      </c>
      <c r="C1422">
        <v>2012</v>
      </c>
      <c r="D1422" s="3" t="s">
        <f>B1422&amp;"/"&amp;A1422&amp;"/"&amp;C1422</f>
        <v>1896</v>
      </c>
      <c r="E1422">
        <v>0.89583333333333337</v>
      </c>
      <c r="F1422" t="str">
        <f>I1422&amp;" "&amp;J1422&amp;" "&amp;K1422&amp;" "&amp;L1422&amp;" "&amp;M1422&amp;" "&amp;N1422</f>
        <v>Chrism Mass time?   </v>
      </c>
      <c r="G1422" t="s">
        <f>TEXT(D1422,"mmm dd")</f>
        <v>1897</v>
      </c>
      <c r="I1422" t="s">
        <v>1272</v>
      </c>
      <c r="J1422" t="s">
        <v>1273</v>
      </c>
      <c r="K1422" t="s">
        <v>537</v>
      </c>
    </row>
    <row r="1423" spans="1:23">
      <c r="A1423">
        <v>29</v>
      </c>
      <c r="B1423">
        <v>3</v>
      </c>
      <c r="C1423">
        <v>2012</v>
      </c>
      <c r="D1423" s="3" t="s">
        <f>B1423&amp;"/"&amp;A1423&amp;"/"&amp;C1423</f>
        <v>1896</v>
      </c>
      <c r="E1423">
        <v>0.3125</v>
      </c>
      <c r="F1423" t="str">
        <f>I1423&amp;" "&amp;J1423&amp;" "&amp;K1423&amp;" "&amp;L1423&amp;" "&amp;M1423&amp;" "&amp;N1423</f>
        <v>special vestry meeting   </v>
      </c>
      <c r="G1423" t="s">
        <f>TEXT(D1423,"mmm dd")</f>
        <v>1897</v>
      </c>
      <c r="I1423" t="s">
        <v>1898</v>
      </c>
      <c r="J1423" t="s">
        <v>1899</v>
      </c>
      <c r="K1423" t="s">
        <v>842</v>
      </c>
    </row>
    <row r="1424" spans="1:23">
      <c r="A1424">
        <v>30</v>
      </c>
      <c r="B1424">
        <v>3</v>
      </c>
      <c r="C1424">
        <v>2012</v>
      </c>
      <c r="D1424" s="3" t="str">
        <f>B1424&amp;"/"&amp;A1424&amp;"/"&amp;C1424</f>
        <v>3/30/2012</v>
      </c>
      <c r="E1424">
        <v>1.0625</v>
      </c>
      <c r="F1424" t="str">
        <f>I1424&amp;" "&amp;J1424&amp;" "&amp;K1424&amp;" "&amp;L1424&amp;" "&amp;M1424&amp;" "&amp;N1424</f>
        <v>Whale watch    </v>
      </c>
      <c r="G1424" t="s">
        <f>TEXT(D1424,"mmm dd")</f>
        <v>1900</v>
      </c>
      <c r="I1424" t="s">
        <v>1862</v>
      </c>
      <c r="J1424" t="s">
        <v>1863</v>
      </c>
    </row>
    <row r="1425" spans="1:23">
      <c r="A1425">
        <v>31</v>
      </c>
      <c r="B1425">
        <v>3</v>
      </c>
      <c r="C1425">
        <v>2012</v>
      </c>
      <c r="D1425" s="3" t="s">
        <f>B1425&amp;"/"&amp;A1425&amp;"/"&amp;C1425</f>
        <v>1901</v>
      </c>
      <c r="E1425">
        <v>0.29166666666666669</v>
      </c>
      <c r="F1425" t="str">
        <f>I1425&amp;" "&amp;J1425&amp;" "&amp;K1425&amp;" "&amp;L1425&amp;" "&amp;M1425&amp;" "&amp;N1425</f>
        <v>Dinner @ Mel &amp; Judy </v>
      </c>
      <c r="G1425" t="s">
        <f>TEXT(D1425,"mmm dd")</f>
        <v>1267</v>
      </c>
      <c r="I1425" t="s">
        <v>838</v>
      </c>
      <c r="J1425" t="s">
        <v>48</v>
      </c>
      <c r="K1425" t="s">
        <v>1902</v>
      </c>
      <c r="L1425" t="s">
        <v>73</v>
      </c>
      <c r="M1425" t="s">
        <v>438</v>
      </c>
    </row>
    <row r="1426" spans="1:23">
      <c r="A1426">
        <v>31</v>
      </c>
      <c r="B1426">
        <v>3</v>
      </c>
      <c r="C1426">
        <v>2012</v>
      </c>
      <c r="D1426" s="3" t="s">
        <f>B1426&amp;"/"&amp;A1426&amp;"/"&amp;C1426</f>
        <v>1901</v>
      </c>
      <c r="E1426">
        <v>1.0208333333333333</v>
      </c>
      <c r="F1426" t="str">
        <f>I1426&amp;" "&amp;J1426&amp;" "&amp;K1426&amp;" "&amp;L1426&amp;" "&amp;M1426&amp;" "&amp;N1426</f>
        <v>Nishikawa     </v>
      </c>
      <c r="G1426" t="s">
        <f>TEXT(D1426,"mmm dd")</f>
        <v>1267</v>
      </c>
      <c r="I1426" t="s">
        <v>1171</v>
      </c>
    </row>
    <row r="1427" spans="1:23">
      <c r="A1427">
        <v>2</v>
      </c>
      <c r="B1427">
        <v>4</v>
      </c>
      <c r="C1427">
        <v>2012</v>
      </c>
      <c r="D1427" s="3" t="str">
        <f>B1427&amp;"/"&amp;A1427&amp;"/"&amp;C1427</f>
        <v>4/2/2012</v>
      </c>
      <c r="E1427">
        <v>0.25</v>
      </c>
      <c r="F1427" t="s">
        <f>I1427&amp;" "&amp;J1427&amp;" "&amp;K1427&amp;" "&amp;L1427&amp;" "&amp;M1427&amp;" "&amp;N1427</f>
        <v>1903</v>
      </c>
      <c r="G1427" t="s">
        <f>TEXT(D1427,"mmm dd")</f>
        <v>65</v>
      </c>
      <c r="I1427" t="s">
        <v>1904</v>
      </c>
    </row>
    <row r="1428" spans="1:23">
      <c r="A1428">
        <v>4</v>
      </c>
      <c r="B1428">
        <v>4</v>
      </c>
      <c r="C1428">
        <v>2012</v>
      </c>
      <c r="D1428" s="3" t="str">
        <f>B1428&amp;"/"&amp;A1428&amp;"/"&amp;C1428</f>
        <v>4/4/2012</v>
      </c>
      <c r="E1428">
        <v>0.29166666666666669</v>
      </c>
      <c r="F1428" t="s">
        <f>I1428&amp;" "&amp;J1428&amp;" "&amp;K1428&amp;" "&amp;L1428&amp;" "&amp;M1428&amp;" "&amp;N1428</f>
        <v>1903</v>
      </c>
      <c r="G1428" t="s">
        <f>TEXT(D1428,"mmm dd")</f>
        <v>91</v>
      </c>
      <c r="I1428" t="s">
        <v>1904</v>
      </c>
    </row>
    <row r="1429" spans="1:23">
      <c r="A1429">
        <v>5</v>
      </c>
      <c r="B1429">
        <v>4</v>
      </c>
      <c r="C1429">
        <v>2012</v>
      </c>
      <c r="D1429" s="3" t="s">
        <f>B1429&amp;"/"&amp;A1429&amp;"/"&amp;C1429</f>
        <v>1905</v>
      </c>
      <c r="E1429">
        <v>0.95833333333333337</v>
      </c>
      <c r="F1429" t="str">
        <f>I1429&amp;" "&amp;J1429&amp;" "&amp;K1429&amp;" "&amp;L1429&amp;" "&amp;M1429&amp;" "&amp;N1429</f>
        <v>Charlene     </v>
      </c>
      <c r="G1429" t="s">
        <f>TEXT(D1429,"mmm dd")</f>
        <v>108</v>
      </c>
      <c r="I1429" t="s">
        <v>456</v>
      </c>
    </row>
    <row r="1430" spans="1:23">
      <c r="A1430">
        <v>5</v>
      </c>
      <c r="B1430">
        <v>4</v>
      </c>
      <c r="C1430">
        <v>2012</v>
      </c>
      <c r="D1430" s="3" t="s">
        <f>B1430&amp;"/"&amp;A1430&amp;"/"&amp;C1430</f>
        <v>1905</v>
      </c>
      <c r="E1430">
        <v>0.17708333333333334</v>
      </c>
      <c r="F1430" t="str">
        <f>I1430&amp;" "&amp;J1430&amp;" "&amp;K1430&amp;" "&amp;L1430&amp;" "&amp;M1430&amp;" "&amp;N1430</f>
        <v>blood bank    </v>
      </c>
      <c r="G1430" t="s">
        <f>TEXT(D1430,"mmm dd")</f>
        <v>108</v>
      </c>
      <c r="I1430" t="s">
        <v>1655</v>
      </c>
      <c r="J1430" t="s">
        <v>1723</v>
      </c>
    </row>
    <row r="1431" spans="1:23">
      <c r="A1431">
        <v>5</v>
      </c>
      <c r="B1431">
        <v>4</v>
      </c>
      <c r="C1431">
        <v>2012</v>
      </c>
      <c r="D1431" s="3" t="s">
        <f>B1431&amp;"/"&amp;A1431&amp;"/"&amp;C1431</f>
        <v>1905</v>
      </c>
      <c r="E1431">
        <v>1.0833333333333333</v>
      </c>
      <c r="F1431" t="str">
        <f>I1431&amp;" "&amp;J1431&amp;" "&amp;K1431&amp;" "&amp;L1431&amp;" "&amp;M1431&amp;" "&amp;N1431</f>
        <v>Joyce substitute    </v>
      </c>
      <c r="G1431" t="s">
        <f>TEXT(D1431,"mmm dd")</f>
        <v>108</v>
      </c>
      <c r="I1431" t="s">
        <v>1892</v>
      </c>
      <c r="J1431" t="s">
        <v>1879</v>
      </c>
    </row>
    <row r="1432" spans="1:23">
      <c r="A1432">
        <v>6</v>
      </c>
      <c r="B1432">
        <v>4</v>
      </c>
      <c r="C1432">
        <v>2012</v>
      </c>
      <c r="D1432" s="3" t="s">
        <f>B1432&amp;"/"&amp;A1432&amp;"/"&amp;C1432</f>
        <v>1906</v>
      </c>
      <c r="E1432">
        <v>0.33333333333333331</v>
      </c>
      <c r="F1432" t="s">
        <f>I1432&amp;" "&amp;J1432&amp;" "&amp;K1432&amp;" "&amp;L1432&amp;" "&amp;M1432&amp;" "&amp;N1432</f>
        <v>1907</v>
      </c>
      <c r="G1432" t="s">
        <f>TEXT(D1432,"mmm dd")</f>
        <v>118</v>
      </c>
      <c r="I1432" t="s">
        <v>1564</v>
      </c>
      <c r="J1432" t="s">
        <v>1908</v>
      </c>
    </row>
    <row r="1433" spans="1:23">
      <c r="A1433">
        <v>6</v>
      </c>
      <c r="B1433">
        <v>4</v>
      </c>
      <c r="C1433">
        <v>2012</v>
      </c>
      <c r="D1433" s="3" t="s">
        <f>B1433&amp;"/"&amp;A1433&amp;"/"&amp;C1433</f>
        <v>1906</v>
      </c>
      <c r="E1433">
        <v>1.0416666666666667</v>
      </c>
      <c r="F1433" t="str">
        <f>I1433&amp;" "&amp;J1433&amp;" "&amp;K1433&amp;" "&amp;L1433&amp;" "&amp;M1433&amp;" "&amp;N1433</f>
        <v>Good Friday time?   </v>
      </c>
      <c r="G1433" t="s">
        <f>TEXT(D1433,"mmm dd")</f>
        <v>118</v>
      </c>
      <c r="I1433" t="s">
        <v>1268</v>
      </c>
      <c r="J1433" t="s">
        <v>512</v>
      </c>
      <c r="K1433" t="s">
        <v>537</v>
      </c>
    </row>
    <row r="1434" spans="1:23">
      <c r="A1434">
        <v>7</v>
      </c>
      <c r="B1434">
        <v>4</v>
      </c>
      <c r="C1434">
        <v>2012</v>
      </c>
      <c r="D1434" s="3" t="str">
        <f>B1434&amp;"/"&amp;A1434&amp;"/"&amp;C1434</f>
        <v>4/7/2012</v>
      </c>
      <c r="E1434">
        <v>0.16666666666666666</v>
      </c>
      <c r="F1434" t="s">
        <f>I1434&amp;" "&amp;J1434&amp;" "&amp;K1434&amp;" "&amp;L1434&amp;" "&amp;M1434&amp;" "&amp;N1434</f>
        <v>1909</v>
      </c>
      <c r="G1434" t="s">
        <f>TEXT(D1434,"mmm dd")</f>
        <v>125</v>
      </c>
      <c r="I1434" t="s">
        <v>1268</v>
      </c>
      <c r="J1434" t="s">
        <v>512</v>
      </c>
    </row>
    <row r="1435" spans="1:23">
      <c r="A1435">
        <v>9</v>
      </c>
      <c r="B1435">
        <v>4</v>
      </c>
      <c r="C1435">
        <v>2012</v>
      </c>
      <c r="D1435" s="3" t="str">
        <f>B1435&amp;"/"&amp;A1435&amp;"/"&amp;C1435</f>
        <v>4/9/2012</v>
      </c>
      <c r="E1435">
        <v>0.20833333333333334</v>
      </c>
      <c r="F1435" t="str">
        <f>I1435&amp;" "&amp;J1435&amp;" "&amp;K1435&amp;" "&amp;L1435&amp;" "&amp;M1435&amp;" "&amp;N1435</f>
        <v>Sandwich ministry    </v>
      </c>
      <c r="G1435" t="s">
        <f>TEXT(D1435,"mmm dd")</f>
        <v>147</v>
      </c>
      <c r="I1435" t="s">
        <v>74</v>
      </c>
      <c r="J1435" t="s">
        <v>1016</v>
      </c>
    </row>
    <row r="1436" spans="1:23">
      <c r="A1436">
        <v>10</v>
      </c>
      <c r="B1436">
        <v>4</v>
      </c>
      <c r="C1436">
        <v>2012</v>
      </c>
      <c r="D1436" s="3" t="str">
        <f>B1436&amp;"/"&amp;A1436&amp;"/"&amp;C1436</f>
        <v>4/10/2012</v>
      </c>
      <c r="E1436">
        <v>0.91666666666666663</v>
      </c>
      <c r="F1436" t="str">
        <f>I1436&amp;" "&amp;J1436&amp;" "&amp;K1436&amp;" "&amp;L1436&amp;" "&amp;M1436&amp;" "&amp;N1436</f>
        <v>Eye appt Koide   </v>
      </c>
      <c r="G1436" t="s">
        <f>TEXT(D1436,"mmm dd")</f>
        <v>153</v>
      </c>
      <c r="I1436" t="s">
        <v>1910</v>
      </c>
      <c r="J1436" t="s">
        <v>1911</v>
      </c>
      <c r="K1436" t="inlineStr">
        <is>
          <t>Koide</t>
        </is>
      </c>
    </row>
    <row r="1437" spans="1:23">
      <c r="A1437">
        <v>11</v>
      </c>
      <c r="B1437">
        <v>4</v>
      </c>
      <c r="C1437">
        <v>2012</v>
      </c>
      <c r="D1437" s="3" t="str">
        <f>B1437&amp;"/"&amp;A1437&amp;"/"&amp;C1437</f>
        <v>4/11/2012</v>
      </c>
      <c r="E1437">
        <v>0.95833333333333337</v>
      </c>
      <c r="F1437" t="str">
        <f>I1437&amp;" "&amp;J1437&amp;" "&amp;K1437&amp;" "&amp;L1437&amp;" "&amp;M1437&amp;" "&amp;N1437</f>
        <v>Meet Noreen Charlene at church </v>
      </c>
      <c r="G1437" t="s">
        <f>TEXT(D1437,"mmm dd")</f>
        <v>161</v>
      </c>
      <c r="I1437" t="s">
        <v>300</v>
      </c>
      <c r="J1437" t="s">
        <v>1689</v>
      </c>
      <c r="K1437" t="s">
        <v>456</v>
      </c>
      <c r="L1437" t="s">
        <v>53</v>
      </c>
      <c r="M1437" t="s">
        <v>1912</v>
      </c>
    </row>
    <row r="1438" spans="1:23">
      <c r="A1438">
        <v>12</v>
      </c>
      <c r="B1438">
        <v>4</v>
      </c>
      <c r="C1438">
        <v>2012</v>
      </c>
      <c r="D1438" s="3" t="str">
        <f>B1438&amp;"/"&amp;A1438&amp;"/"&amp;C1438</f>
        <v>4/12/2012</v>
      </c>
      <c r="E1438">
        <v>0.58333333333333337</v>
      </c>
      <c r="F1438" t="s">
        <f>I1438&amp;" "&amp;J1438&amp;" "&amp;K1438&amp;" "&amp;L1438&amp;" "&amp;M1438&amp;" "&amp;N1438</f>
        <v>1875</v>
      </c>
      <c r="G1438" t="s">
        <f>TEXT(D1438,"mmm dd")</f>
        <v>168</v>
      </c>
      <c r="I1438" t="s">
        <v>1266</v>
      </c>
      <c r="J1438" t="s">
        <v>1876</v>
      </c>
      <c r="K1438" t="s">
        <v>439</v>
      </c>
      <c r="L1438" t="s">
        <v>440</v>
      </c>
    </row>
    <row r="1439" spans="1:23">
      <c r="A1439">
        <v>13</v>
      </c>
      <c r="B1439">
        <v>4</v>
      </c>
      <c r="C1439">
        <v>2012</v>
      </c>
      <c r="D1439" s="3" t="s">
        <f>B1439&amp;"/"&amp;A1439&amp;"/"&amp;C1439</f>
        <v>1913</v>
      </c>
      <c r="E1439">
        <v>0.25</v>
      </c>
      <c r="F1439" t="str">
        <f>I1439&amp;" "&amp;J1439&amp;" "&amp;K1439&amp;" "&amp;L1439&amp;" "&amp;M1439&amp;" "&amp;N1439</f>
        <v>Musical with Barb   </v>
      </c>
      <c r="G1439" t="s">
        <f>TEXT(D1439,"mmm dd")</f>
        <v>174</v>
      </c>
      <c r="I1439" t="inlineStr">
        <is>
          <t>Musical</t>
        </is>
      </c>
      <c r="J1439" t="s">
        <v>755</v>
      </c>
      <c r="K1439" t="s">
        <v>1707</v>
      </c>
    </row>
    <row r="1440" spans="1:23">
      <c r="A1440">
        <v>13</v>
      </c>
      <c r="B1440">
        <v>4</v>
      </c>
      <c r="C1440">
        <v>2012</v>
      </c>
      <c r="D1440" s="3" t="s">
        <f>B1440&amp;"/"&amp;A1440&amp;"/"&amp;C1440</f>
        <v>1913</v>
      </c>
      <c r="E1440">
        <v>0.875</v>
      </c>
      <c r="F1440" t="s">
        <f>I1440&amp;" "&amp;J1440&amp;" "&amp;K1440&amp;" "&amp;L1440&amp;" "&amp;M1440&amp;" "&amp;N1440</f>
        <v>1803</v>
      </c>
      <c r="G1440" t="s">
        <f>TEXT(D1440,"mmm dd")</f>
        <v>174</v>
      </c>
      <c r="I1440" t="s">
        <v>1804</v>
      </c>
      <c r="J1440" t="s">
        <v>1805</v>
      </c>
    </row>
    <row r="1441" spans="1:23">
      <c r="A1441">
        <v>14</v>
      </c>
      <c r="B1441">
        <v>4</v>
      </c>
      <c r="C1441">
        <v>2012</v>
      </c>
      <c r="D1441" s="3" t="s">
        <f>B1441&amp;"/"&amp;A1441&amp;"/"&amp;C1441</f>
        <v>1914</v>
      </c>
      <c r="E1441">
        <v>0.125</v>
      </c>
      <c r="F1441" t="str">
        <f>I1441&amp;" "&amp;J1441&amp;" "&amp;K1441&amp;" "&amp;L1441&amp;" "&amp;M1441&amp;" "&amp;N1441</f>
        <v>Hale Malia    </v>
      </c>
      <c r="G1441" t="s">
        <f>TEXT(D1441,"mmm dd")</f>
        <v>1576</v>
      </c>
      <c r="I1441" t="s">
        <v>1727</v>
      </c>
      <c r="J1441" t="s">
        <v>1728</v>
      </c>
    </row>
    <row r="1442" spans="1:23">
      <c r="A1442">
        <v>14</v>
      </c>
      <c r="B1442">
        <v>4</v>
      </c>
      <c r="C1442">
        <v>2012</v>
      </c>
      <c r="D1442" s="3" t="s">
        <f>B1442&amp;"/"&amp;A1442&amp;"/"&amp;C1442</f>
        <v>1914</v>
      </c>
      <c r="E1442">
        <v>0.29166666666666669</v>
      </c>
      <c r="F1442" t="str">
        <f>I1442&amp;" "&amp;J1442&amp;" "&amp;K1442&amp;" "&amp;L1442&amp;" "&amp;M1442&amp;" "&amp;N1442</f>
        <v>Extravaganza     </v>
      </c>
      <c r="G1442" t="s">
        <f>TEXT(D1442,"mmm dd")</f>
        <v>1576</v>
      </c>
      <c r="I1442" t="inlineStr">
        <is>
          <t>Extravaganza</t>
        </is>
      </c>
    </row>
    <row r="1443" spans="1:23">
      <c r="A1443">
        <v>14</v>
      </c>
      <c r="B1443">
        <v>4</v>
      </c>
      <c r="C1443">
        <v>2012</v>
      </c>
      <c r="D1443" s="3" t="s">
        <f>B1443&amp;"/"&amp;A1443&amp;"/"&amp;C1443</f>
        <v>1914</v>
      </c>
      <c r="E1443">
        <v>0.20833333333333334</v>
      </c>
      <c r="F1443" t="str">
        <f>I1443&amp;" "&amp;J1443&amp;" "&amp;K1443&amp;" "&amp;L1443&amp;" "&amp;M1443&amp;" "&amp;N1443</f>
        <v>UDP at EDUC   </v>
      </c>
      <c r="G1443" t="s">
        <f>TEXT(D1443,"mmm dd")</f>
        <v>1576</v>
      </c>
      <c r="I1443" t="inlineStr">
        <is>
          <t>UDP</t>
        </is>
      </c>
      <c r="J1443" t="s">
        <v>53</v>
      </c>
      <c r="K1443" t="s">
        <v>1915</v>
      </c>
    </row>
    <row r="1444" spans="1:23">
      <c r="A1444">
        <v>14</v>
      </c>
      <c r="B1444">
        <v>4</v>
      </c>
      <c r="C1444">
        <v>2012</v>
      </c>
      <c r="D1444" s="3" t="s">
        <f>B1444&amp;"/"&amp;A1444&amp;"/"&amp;C1444</f>
        <v>1914</v>
      </c>
      <c r="E1444">
        <v>1.0416666666666667</v>
      </c>
      <c r="F1444" t="str">
        <f>I1444&amp;" "&amp;J1444&amp;" "&amp;K1444&amp;" "&amp;L1444&amp;" "&amp;M1444&amp;" "&amp;N1444</f>
        <v>lunch Toru &amp; Naomi  </v>
      </c>
      <c r="G1444" t="s">
        <f>TEXT(D1444,"mmm dd")</f>
        <v>1576</v>
      </c>
      <c r="I1444" t="s">
        <v>440</v>
      </c>
      <c r="J1444" t="s">
        <v>1627</v>
      </c>
      <c r="K1444" t="s">
        <v>73</v>
      </c>
      <c r="L1444" t="inlineStr">
        <is>
          <t>Naomi</t>
        </is>
      </c>
    </row>
    <row r="1445" spans="1:23">
      <c r="A1445">
        <v>15</v>
      </c>
      <c r="B1445">
        <v>4</v>
      </c>
      <c r="C1445">
        <v>2012</v>
      </c>
      <c r="D1445" s="3" t="s">
        <f>B1445&amp;"/"&amp;A1445&amp;"/"&amp;C1445</f>
        <v>1916</v>
      </c>
      <c r="E1445">
        <v>0.29166666666666669</v>
      </c>
      <c r="F1445" t="str">
        <f>I1445&amp;" "&amp;J1445&amp;" "&amp;K1445&amp;" "&amp;L1445&amp;" "&amp;M1445&amp;" "&amp;N1445</f>
        <v>Titanic with Terry &amp; Andy time?</v>
      </c>
      <c r="G1445" t="s">
        <f>TEXT(D1445,"mmm dd")</f>
        <v>179</v>
      </c>
      <c r="I1445" t="inlineStr">
        <is>
          <t>Titanic</t>
        </is>
      </c>
      <c r="J1445" t="s">
        <v>755</v>
      </c>
      <c r="K1445" t="s">
        <v>1917</v>
      </c>
      <c r="L1445" t="s">
        <v>73</v>
      </c>
      <c r="M1445" t="s">
        <v>1918</v>
      </c>
      <c r="N1445" t="s">
        <v>537</v>
      </c>
    </row>
    <row r="1446" spans="1:23">
      <c r="A1446">
        <v>15</v>
      </c>
      <c r="B1446">
        <v>4</v>
      </c>
      <c r="C1446">
        <v>2012</v>
      </c>
      <c r="D1446" s="3" t="s">
        <f>B1446&amp;"/"&amp;A1446&amp;"/"&amp;C1446</f>
        <v>1916</v>
      </c>
      <c r="E1446">
        <v>1</v>
      </c>
      <c r="F1446" t="str">
        <f>I1446&amp;" "&amp;J1446&amp;" "&amp;K1446&amp;" "&amp;L1446&amp;" "&amp;M1446&amp;" "&amp;N1446</f>
        <v>Dalai Lama    </v>
      </c>
      <c r="G1446" t="s">
        <f>TEXT(D1446,"mmm dd")</f>
        <v>179</v>
      </c>
      <c r="I1446" t="inlineStr">
        <is>
          <t>Dalai</t>
        </is>
      </c>
      <c r="J1446" t="inlineStr">
        <is>
          <t>Lama</t>
        </is>
      </c>
    </row>
    <row r="1447" spans="1:23">
      <c r="A1447">
        <v>16</v>
      </c>
      <c r="B1447">
        <v>4</v>
      </c>
      <c r="C1447">
        <v>2012</v>
      </c>
      <c r="D1447" s="3" t="s">
        <f>B1447&amp;"/"&amp;A1447&amp;"/"&amp;C1447</f>
        <v>1919</v>
      </c>
      <c r="E1447">
        <v>0.25</v>
      </c>
      <c r="F1447" t="str">
        <f>I1447&amp;" "&amp;J1447&amp;" "&amp;K1447&amp;" "&amp;L1447&amp;" "&amp;M1447&amp;" "&amp;N1447</f>
        <v>Malianika at Ann's   </v>
      </c>
      <c r="G1447" t="s">
        <f>TEXT(D1447,"mmm dd")</f>
        <v>184</v>
      </c>
      <c r="I1447" t="s">
        <v>1880</v>
      </c>
      <c r="J1447" t="s">
        <v>53</v>
      </c>
      <c r="K1447" t="inlineStr">
        <is>
          <t>Ann's</t>
        </is>
      </c>
    </row>
    <row r="1448" spans="1:23">
      <c r="A1448">
        <v>16</v>
      </c>
      <c r="B1448">
        <v>4</v>
      </c>
      <c r="C1448">
        <v>2012</v>
      </c>
      <c r="D1448" s="3" t="s">
        <f>B1448&amp;"/"&amp;A1448&amp;"/"&amp;C1448</f>
        <v>1919</v>
      </c>
      <c r="E1448">
        <v>1.0416666666666667</v>
      </c>
      <c r="F1448" t="str">
        <f>I1448&amp;" "&amp;J1448&amp;" "&amp;K1448&amp;" "&amp;L1448&amp;" "&amp;M1448&amp;" "&amp;N1448</f>
        <v>Lunch with Jan and Charlene </v>
      </c>
      <c r="G1448" t="s">
        <f>TEXT(D1448,"mmm dd")</f>
        <v>184</v>
      </c>
      <c r="I1448" t="s">
        <v>813</v>
      </c>
      <c r="J1448" t="s">
        <v>755</v>
      </c>
      <c r="K1448" t="s">
        <v>1819</v>
      </c>
      <c r="L1448" t="s">
        <v>135</v>
      </c>
      <c r="M1448" t="s">
        <v>456</v>
      </c>
    </row>
    <row r="1449" spans="1:23">
      <c r="A1449">
        <v>17</v>
      </c>
      <c r="B1449">
        <v>4</v>
      </c>
      <c r="C1449">
        <v>2012</v>
      </c>
      <c r="D1449" s="3" t="s">
        <f>B1449&amp;"/"&amp;A1449&amp;"/"&amp;C1449</f>
        <v>1920</v>
      </c>
      <c r="E1449">
        <v>0.26041666666666669</v>
      </c>
      <c r="F1449" t="s">
        <f>I1449&amp;" "&amp;J1449&amp;" "&amp;K1449&amp;" "&amp;L1449&amp;" "&amp;M1449&amp;" "&amp;N1449</f>
        <v>1840</v>
      </c>
      <c r="G1449" t="s">
        <f>TEXT(D1449,"mmm dd")</f>
        <v>187</v>
      </c>
      <c r="I1449" t="s">
        <v>1273</v>
      </c>
    </row>
    <row r="1450" spans="1:23">
      <c r="A1450">
        <v>17</v>
      </c>
      <c r="B1450">
        <v>4</v>
      </c>
      <c r="C1450">
        <v>2012</v>
      </c>
      <c r="D1450" s="3" t="s">
        <f>B1450&amp;"/"&amp;A1450&amp;"/"&amp;C1450</f>
        <v>1920</v>
      </c>
      <c r="E1450">
        <v>0.66666666666666663</v>
      </c>
      <c r="F1450" t="str">
        <f>I1450&amp;" "&amp;J1450&amp;" "&amp;K1450&amp;" "&amp;L1450&amp;" "&amp;M1450&amp;" "&amp;N1450</f>
        <v>Counseling Center    </v>
      </c>
      <c r="G1450" t="s">
        <f>TEXT(D1450,"mmm dd")</f>
        <v>187</v>
      </c>
      <c r="I1450" t="s">
        <v>1857</v>
      </c>
      <c r="J1450" t="s">
        <v>1736</v>
      </c>
    </row>
    <row r="1451" spans="1:23">
      <c r="A1451">
        <v>18</v>
      </c>
      <c r="B1451">
        <v>4</v>
      </c>
      <c r="C1451">
        <v>2012</v>
      </c>
      <c r="D1451" s="3" t="s">
        <f>B1451&amp;"/"&amp;A1451&amp;"/"&amp;C1451</f>
        <v>1921</v>
      </c>
      <c r="E1451">
        <v>0.70833333333333337</v>
      </c>
      <c r="F1451" t="s">
        <f>I1451&amp;" "&amp;J1451&amp;" "&amp;K1451&amp;" "&amp;L1451&amp;" "&amp;M1451&amp;" "&amp;N1451</f>
        <v>1734</v>
      </c>
      <c r="G1451" t="s">
        <f>TEXT(D1451,"mmm dd")</f>
        <v>193</v>
      </c>
      <c r="I1451" t="s">
        <v>188</v>
      </c>
      <c r="J1451" t="s">
        <v>189</v>
      </c>
    </row>
    <row r="1452" spans="1:23">
      <c r="A1452">
        <v>18</v>
      </c>
      <c r="B1452">
        <v>4</v>
      </c>
      <c r="C1452">
        <v>2012</v>
      </c>
      <c r="D1452" s="3" t="s">
        <f>B1452&amp;"/"&amp;A1452&amp;"/"&amp;C1452</f>
        <v>1921</v>
      </c>
      <c r="E1452">
        <v>1.0208333333333333</v>
      </c>
      <c r="F1452" t="s">
        <f>I1452&amp;" "&amp;J1452&amp;" "&amp;K1452&amp;" "&amp;L1452&amp;" "&amp;M1452&amp;" "&amp;N1452</f>
        <v>1825</v>
      </c>
      <c r="G1452" t="s">
        <f>TEXT(D1452,"mmm dd")</f>
        <v>193</v>
      </c>
      <c r="I1452" t="s">
        <v>1826</v>
      </c>
    </row>
    <row r="1453" spans="1:23">
      <c r="A1453">
        <v>18</v>
      </c>
      <c r="B1453">
        <v>4</v>
      </c>
      <c r="C1453">
        <v>2012</v>
      </c>
      <c r="D1453" s="3" t="s">
        <f>B1453&amp;"/"&amp;A1453&amp;"/"&amp;C1453</f>
        <v>1921</v>
      </c>
      <c r="E1453">
        <v>1.0625</v>
      </c>
      <c r="F1453" t="str">
        <f>I1453&amp;" "&amp;J1453&amp;" "&amp;K1453&amp;" "&amp;L1453&amp;" "&amp;M1453&amp;" "&amp;N1453</f>
        <v>MP meeting peer review  </v>
      </c>
      <c r="G1453" t="s">
        <f>TEXT(D1453,"mmm dd")</f>
        <v>193</v>
      </c>
      <c r="I1453" t="s">
        <v>1664</v>
      </c>
      <c r="J1453" t="s">
        <v>842</v>
      </c>
      <c r="K1453" t="inlineStr">
        <is>
          <t>peer</t>
        </is>
      </c>
      <c r="L1453" t="s">
        <v>1922</v>
      </c>
    </row>
    <row r="1454" spans="1:23">
      <c r="A1454">
        <v>18</v>
      </c>
      <c r="B1454">
        <v>4</v>
      </c>
      <c r="C1454">
        <v>2012</v>
      </c>
      <c r="D1454" s="3" t="s">
        <f>B1454&amp;"/"&amp;A1454&amp;"/"&amp;C1454</f>
        <v>1921</v>
      </c>
      <c r="E1454">
        <v>0.96875</v>
      </c>
      <c r="F1454" t="str">
        <f>I1454&amp;" "&amp;J1454&amp;" "&amp;K1454&amp;" "&amp;L1454&amp;" "&amp;M1454&amp;" "&amp;N1454</f>
        <v>MP eye doctor   </v>
      </c>
      <c r="G1454" t="s">
        <f>TEXT(D1454,"mmm dd")</f>
        <v>193</v>
      </c>
      <c r="I1454" t="s">
        <v>1664</v>
      </c>
      <c r="J1454" t="s">
        <v>1923</v>
      </c>
      <c r="K1454" t="s">
        <v>1354</v>
      </c>
    </row>
    <row r="1455" spans="1:23">
      <c r="A1455">
        <v>19</v>
      </c>
      <c r="B1455">
        <v>4</v>
      </c>
      <c r="C1455">
        <v>2012</v>
      </c>
      <c r="D1455" s="3" t="s">
        <f>B1455&amp;"/"&amp;A1455&amp;"/"&amp;C1455</f>
        <v>1924</v>
      </c>
      <c r="E1455" t="s">
        <v>42</v>
      </c>
      <c r="F1455" t="str">
        <f>I1455&amp;" "&amp;J1455&amp;" "&amp;K1455&amp;" "&amp;L1455&amp;" "&amp;M1455&amp;" "&amp;N1455</f>
        <v>NCTM Philadelphia    </v>
      </c>
      <c r="G1455" t="s">
        <f>TEXT(D1455,"mmm dd")</f>
        <v>196</v>
      </c>
      <c r="I1455" t="s">
        <v>1925</v>
      </c>
      <c r="J1455" t="inlineStr">
        <is>
          <t>Philadelphia</t>
        </is>
      </c>
    </row>
    <row r="1456" spans="1:23">
      <c r="A1456">
        <v>19</v>
      </c>
      <c r="B1456">
        <v>4</v>
      </c>
      <c r="C1456">
        <v>2012</v>
      </c>
      <c r="D1456" s="3" t="s">
        <f>B1456&amp;"/"&amp;A1456&amp;"/"&amp;C1456</f>
        <v>1924</v>
      </c>
      <c r="E1456">
        <v>0.3125</v>
      </c>
      <c r="F1456" t="str">
        <f>I1456&amp;" "&amp;J1456&amp;" "&amp;K1456&amp;" "&amp;L1456&amp;" "&amp;M1456&amp;" "&amp;N1456</f>
        <v>Walk with Michael   </v>
      </c>
      <c r="G1456" t="s">
        <f>TEXT(D1456,"mmm dd")</f>
        <v>196</v>
      </c>
      <c r="I1456" t="s">
        <v>1443</v>
      </c>
      <c r="J1456" t="s">
        <v>755</v>
      </c>
      <c r="K1456" t="s">
        <v>745</v>
      </c>
    </row>
    <row r="1457" spans="1:23">
      <c r="A1457">
        <v>21</v>
      </c>
      <c r="B1457">
        <v>4</v>
      </c>
      <c r="C1457">
        <v>2012</v>
      </c>
      <c r="D1457" s="3" t="str">
        <f>B1457&amp;"/"&amp;A1457&amp;"/"&amp;C1457</f>
        <v>4/21/2012</v>
      </c>
      <c r="E1457">
        <v>0.875</v>
      </c>
      <c r="F1457" t="s">
        <f>I1457&amp;" "&amp;J1457&amp;" "&amp;K1457&amp;" "&amp;L1457&amp;" "&amp;M1457&amp;" "&amp;N1457</f>
        <v>1119</v>
      </c>
      <c r="G1457" t="s">
        <f>TEXT(D1457,"mmm dd")</f>
        <v>211</v>
      </c>
      <c r="I1457" t="s">
        <v>1121</v>
      </c>
      <c r="J1457" t="s">
        <v>1122</v>
      </c>
    </row>
    <row r="1458" spans="1:23">
      <c r="A1458">
        <v>3</v>
      </c>
      <c r="B1458">
        <v>5</v>
      </c>
      <c r="C1458">
        <v>2012</v>
      </c>
      <c r="D1458" s="3" t="s">
        <f>B1458&amp;"/"&amp;A1458&amp;"/"&amp;C1458</f>
        <v>1926</v>
      </c>
      <c r="E1458">
        <v>0.125</v>
      </c>
      <c r="F1458" t="str">
        <f>I1458&amp;" "&amp;J1458&amp;" "&amp;K1458&amp;" "&amp;L1458&amp;" "&amp;M1458&amp;" "&amp;N1458</f>
        <v>Meet Robin    </v>
      </c>
      <c r="G1458" t="s">
        <f>TEXT(D1458,"mmm dd")</f>
        <v>262</v>
      </c>
      <c r="I1458" t="s">
        <v>300</v>
      </c>
      <c r="J1458" t="s">
        <v>1927</v>
      </c>
    </row>
    <row r="1459" spans="1:23">
      <c r="A1459">
        <v>3</v>
      </c>
      <c r="B1459">
        <v>5</v>
      </c>
      <c r="C1459">
        <v>2012</v>
      </c>
      <c r="D1459" s="3" t="s">
        <f>B1459&amp;"/"&amp;A1459&amp;"/"&amp;C1459</f>
        <v>1926</v>
      </c>
      <c r="E1459" t="s">
        <v>42</v>
      </c>
      <c r="F1459" t="str">
        <f>I1459&amp;" "&amp;J1459&amp;" "&amp;K1459&amp;" "&amp;L1459&amp;" "&amp;M1459&amp;" "&amp;N1459</f>
        <v>Pre conference with judge time? </v>
      </c>
      <c r="G1459" t="s">
        <f>TEXT(D1459,"mmm dd")</f>
        <v>262</v>
      </c>
      <c r="I1459" t="inlineStr">
        <is>
          <t>Pre</t>
        </is>
      </c>
      <c r="J1459" t="s">
        <v>731</v>
      </c>
      <c r="K1459" t="s">
        <v>755</v>
      </c>
      <c r="L1459" t="inlineStr">
        <is>
          <t>judge</t>
        </is>
      </c>
      <c r="M1459" t="s">
        <v>537</v>
      </c>
    </row>
    <row r="1460" spans="1:23">
      <c r="A1460">
        <v>3</v>
      </c>
      <c r="B1460">
        <v>5</v>
      </c>
      <c r="C1460">
        <v>2012</v>
      </c>
      <c r="D1460" s="3" t="s">
        <f>B1460&amp;"/"&amp;A1460&amp;"/"&amp;C1460</f>
        <v>1926</v>
      </c>
      <c r="E1460">
        <v>0.33333333333333331</v>
      </c>
      <c r="F1460" t="str">
        <f>I1460&amp;" "&amp;J1460&amp;" "&amp;K1460&amp;" "&amp;L1460&amp;" "&amp;M1460&amp;" "&amp;N1460</f>
        <v>MP meet online class  </v>
      </c>
      <c r="G1460" t="s">
        <f>TEXT(D1460,"mmm dd")</f>
        <v>262</v>
      </c>
      <c r="I1460" t="s">
        <v>1664</v>
      </c>
      <c r="J1460" t="s">
        <v>1210</v>
      </c>
      <c r="K1460" t="inlineStr">
        <is>
          <t>online</t>
        </is>
      </c>
      <c r="L1460" t="s">
        <v>857</v>
      </c>
    </row>
    <row r="1461" spans="1:23">
      <c r="A1461">
        <v>4</v>
      </c>
      <c r="B1461">
        <v>5</v>
      </c>
      <c r="C1461">
        <v>2012</v>
      </c>
      <c r="D1461" s="3" t="s">
        <f>B1461&amp;"/"&amp;A1461&amp;"/"&amp;C1461</f>
        <v>1928</v>
      </c>
      <c r="E1461">
        <v>0.26041666666666669</v>
      </c>
      <c r="F1461" t="s">
        <f>I1461&amp;" "&amp;J1461&amp;" "&amp;K1461&amp;" "&amp;L1461&amp;" "&amp;M1461&amp;" "&amp;N1461</f>
        <v>1840</v>
      </c>
      <c r="G1461" t="s">
        <f>TEXT(D1461,"mmm dd")</f>
        <v>268</v>
      </c>
      <c r="I1461" t="s">
        <v>1273</v>
      </c>
    </row>
    <row r="1462" spans="1:23">
      <c r="A1462">
        <v>4</v>
      </c>
      <c r="B1462">
        <v>5</v>
      </c>
      <c r="C1462">
        <v>2012</v>
      </c>
      <c r="D1462" s="3" t="s">
        <f>B1462&amp;"/"&amp;A1462&amp;"/"&amp;C1462</f>
        <v>1928</v>
      </c>
      <c r="E1462">
        <v>1.0416666666666667</v>
      </c>
      <c r="F1462" t="str">
        <f>I1462&amp;" "&amp;J1462&amp;" "&amp;K1462&amp;" "&amp;L1462&amp;" "&amp;M1462&amp;" "&amp;N1462</f>
        <v>See Joe re cobbled position </v>
      </c>
      <c r="G1462" t="s">
        <f>TEXT(D1462,"mmm dd")</f>
        <v>268</v>
      </c>
      <c r="I1462" t="s">
        <v>1929</v>
      </c>
      <c r="J1462" t="s">
        <v>1345</v>
      </c>
      <c r="K1462" t="s">
        <v>594</v>
      </c>
      <c r="L1462" t="inlineStr">
        <is>
          <t>cobbled</t>
        </is>
      </c>
      <c r="M1462" t="inlineStr">
        <is>
          <t>position</t>
        </is>
      </c>
    </row>
    <row r="1463" spans="1:23">
      <c r="A1463">
        <v>4</v>
      </c>
      <c r="B1463">
        <v>5</v>
      </c>
      <c r="C1463">
        <v>2012</v>
      </c>
      <c r="D1463" s="3" t="s">
        <f>B1463&amp;"/"&amp;A1463&amp;"/"&amp;C1463</f>
        <v>1928</v>
      </c>
      <c r="E1463">
        <v>0.27083333333333331</v>
      </c>
      <c r="F1463" t="str">
        <f>I1463&amp;" "&amp;J1463&amp;" "&amp;K1463&amp;" "&amp;L1463&amp;" "&amp;M1463&amp;" "&amp;N1463</f>
        <v>Take Barb to airport  </v>
      </c>
      <c r="G1463" t="s">
        <f>TEXT(D1463,"mmm dd")</f>
        <v>268</v>
      </c>
      <c r="I1463" t="s">
        <v>821</v>
      </c>
      <c r="J1463" t="s">
        <v>1707</v>
      </c>
      <c r="K1463" t="s">
        <v>449</v>
      </c>
      <c r="L1463" t="s">
        <v>1477</v>
      </c>
    </row>
    <row r="1464" spans="1:23">
      <c r="A1464">
        <v>6</v>
      </c>
      <c r="B1464">
        <v>5</v>
      </c>
      <c r="C1464">
        <v>2012</v>
      </c>
      <c r="D1464" s="3" t="str">
        <f>B1464&amp;"/"&amp;A1464&amp;"/"&amp;C1464</f>
        <v>5/6/2012</v>
      </c>
      <c r="E1464">
        <v>0.30208333333333331</v>
      </c>
      <c r="F1464" t="str">
        <f>I1464&amp;" "&amp;J1464&amp;" "&amp;K1464&amp;" "&amp;L1464&amp;" "&amp;M1464&amp;" "&amp;N1464</f>
        <v>Baseball with Gary Jerry  </v>
      </c>
      <c r="G1464" t="s">
        <f>TEXT(D1464,"mmm dd")</f>
        <v>277</v>
      </c>
      <c r="I1464" t="inlineStr">
        <is>
          <t>Baseball</t>
        </is>
      </c>
      <c r="J1464" t="s">
        <v>755</v>
      </c>
      <c r="K1464" t="s">
        <v>1870</v>
      </c>
      <c r="L1464" t="inlineStr">
        <is>
          <t>Jerry</t>
        </is>
      </c>
    </row>
    <row r="1465" spans="1:23">
      <c r="A1465">
        <v>7</v>
      </c>
      <c r="B1465">
        <v>5</v>
      </c>
      <c r="C1465">
        <v>2012</v>
      </c>
      <c r="D1465" s="3" t="str">
        <f>B1465&amp;"/"&amp;A1465&amp;"/"&amp;C1465</f>
        <v>5/7/2012</v>
      </c>
      <c r="E1465">
        <v>0.27083333333333331</v>
      </c>
      <c r="F1465" t="s">
        <f>I1465&amp;" "&amp;J1465&amp;" "&amp;K1465&amp;" "&amp;L1465&amp;" "&amp;M1465&amp;" "&amp;N1465</f>
        <v>1930</v>
      </c>
      <c r="G1465" t="s">
        <f>TEXT(D1465,"mmm dd")</f>
        <v>279</v>
      </c>
      <c r="I1465" t="s">
        <v>1880</v>
      </c>
    </row>
    <row r="1466" spans="1:23">
      <c r="A1466">
        <v>9</v>
      </c>
      <c r="B1466">
        <v>5</v>
      </c>
      <c r="C1466">
        <v>2012</v>
      </c>
      <c r="D1466" s="3" t="s">
        <f>B1466&amp;"/"&amp;A1466&amp;"/"&amp;C1466</f>
        <v>1931</v>
      </c>
      <c r="E1466">
        <v>1.1041666666666667</v>
      </c>
      <c r="F1466" t="str">
        <f>I1466&amp;" "&amp;J1466&amp;" "&amp;K1466&amp;" "&amp;L1466&amp;" "&amp;M1466&amp;" "&amp;N1466</f>
        <v>Barb Street kayaking   </v>
      </c>
      <c r="G1466" t="s">
        <f>TEXT(D1466,"mmm dd")</f>
        <v>295</v>
      </c>
      <c r="I1466" t="s">
        <v>1707</v>
      </c>
      <c r="J1466" t="s">
        <v>1770</v>
      </c>
      <c r="K1466" t="inlineStr">
        <is>
          <t>kayaking</t>
        </is>
      </c>
    </row>
    <row r="1467" spans="1:23">
      <c r="A1467">
        <v>9</v>
      </c>
      <c r="B1467">
        <v>5</v>
      </c>
      <c r="C1467">
        <v>2012</v>
      </c>
      <c r="D1467" s="3" t="s">
        <f>B1467&amp;"/"&amp;A1467&amp;"/"&amp;C1467</f>
        <v>1931</v>
      </c>
      <c r="E1467">
        <v>0.16666666666666666</v>
      </c>
      <c r="F1467" t="str">
        <f>I1467&amp;" "&amp;J1467&amp;" "&amp;K1467&amp;" "&amp;L1467&amp;" "&amp;M1467&amp;" "&amp;N1467</f>
        <v>Clarence Liu at HH  </v>
      </c>
      <c r="G1467" t="s">
        <f>TEXT(D1467,"mmm dd")</f>
        <v>295</v>
      </c>
      <c r="I1467" t="inlineStr">
        <is>
          <t>Clarence</t>
        </is>
      </c>
      <c r="J1467" t="s">
        <v>1792</v>
      </c>
      <c r="K1467" t="s">
        <v>53</v>
      </c>
      <c r="L1467" t="inlineStr">
        <is>
          <t>HH</t>
        </is>
      </c>
    </row>
    <row r="1468" spans="1:23">
      <c r="A1468">
        <v>9</v>
      </c>
      <c r="B1468">
        <v>5</v>
      </c>
      <c r="C1468">
        <v>2012</v>
      </c>
      <c r="D1468" s="3" t="s">
        <f>B1468&amp;"/"&amp;A1468&amp;"/"&amp;C1468</f>
        <v>1931</v>
      </c>
      <c r="E1468">
        <v>0.29166666666666669</v>
      </c>
      <c r="F1468" t="str">
        <f>I1468&amp;" "&amp;J1468&amp;" "&amp;K1468&amp;" "&amp;L1468&amp;" "&amp;M1468&amp;" "&amp;N1468</f>
        <v>Terry S birthday   </v>
      </c>
      <c r="G1468" t="s">
        <f>TEXT(D1468,"mmm dd")</f>
        <v>295</v>
      </c>
      <c r="I1468" t="s">
        <v>1917</v>
      </c>
      <c r="J1468" t="s">
        <v>1460</v>
      </c>
      <c r="K1468" t="s">
        <v>319</v>
      </c>
    </row>
    <row r="1469" spans="1:23">
      <c r="A1469">
        <v>11</v>
      </c>
      <c r="B1469">
        <v>5</v>
      </c>
      <c r="C1469">
        <v>2012</v>
      </c>
      <c r="D1469" s="3" t="s">
        <f>B1469&amp;"/"&amp;A1469&amp;"/"&amp;C1469</f>
        <v>1932</v>
      </c>
      <c r="E1469">
        <v>1.0625</v>
      </c>
      <c r="F1469" t="str">
        <f>I1469&amp;" "&amp;J1469&amp;" "&amp;K1469&amp;" "&amp;L1469&amp;" "&amp;M1469&amp;" "&amp;N1469</f>
        <v>Tim walk    </v>
      </c>
      <c r="G1469" t="s">
        <f>TEXT(D1469,"mmm dd")</f>
        <v>308</v>
      </c>
      <c r="I1469" t="s">
        <v>1423</v>
      </c>
      <c r="J1469" t="s">
        <v>973</v>
      </c>
    </row>
    <row r="1470" spans="1:23">
      <c r="A1470">
        <v>11</v>
      </c>
      <c r="B1470">
        <v>5</v>
      </c>
      <c r="C1470">
        <v>2012</v>
      </c>
      <c r="D1470" s="3" t="s">
        <f>B1470&amp;"/"&amp;A1470&amp;"/"&amp;C1470</f>
        <v>1932</v>
      </c>
      <c r="E1470">
        <v>0.91666666666666663</v>
      </c>
      <c r="F1470" t="str">
        <f>I1470&amp;" "&amp;J1470&amp;" "&amp;K1470&amp;" "&amp;L1470&amp;" "&amp;M1470&amp;" "&amp;N1470</f>
        <v>SMILE workshop    </v>
      </c>
      <c r="G1470" t="s">
        <f>TEXT(D1470,"mmm dd")</f>
        <v>308</v>
      </c>
      <c r="I1470" t="inlineStr">
        <is>
          <t>SMILE</t>
        </is>
      </c>
      <c r="J1470" t="s">
        <v>908</v>
      </c>
    </row>
    <row r="1471" spans="1:23">
      <c r="A1471">
        <v>12</v>
      </c>
      <c r="B1471">
        <v>5</v>
      </c>
      <c r="C1471">
        <v>2012</v>
      </c>
      <c r="D1471" s="3" t="str">
        <f>B1471&amp;"/"&amp;A1471&amp;"/"&amp;C1471</f>
        <v>5/12/2012</v>
      </c>
      <c r="E1471">
        <v>0.125</v>
      </c>
      <c r="F1471" t="str">
        <f>I1471&amp;" "&amp;J1471&amp;" "&amp;K1471&amp;" "&amp;L1471&amp;" "&amp;M1471&amp;" "&amp;N1471</f>
        <v>Pau Hana    </v>
      </c>
      <c r="G1471" t="s">
        <f>TEXT(D1471,"mmm dd")</f>
        <v>317</v>
      </c>
      <c r="I1471" t="s">
        <v>1933</v>
      </c>
      <c r="J1471" t="inlineStr">
        <is>
          <t>Hana</t>
        </is>
      </c>
    </row>
    <row r="1472" spans="1:23">
      <c r="A1472">
        <v>13</v>
      </c>
      <c r="B1472">
        <v>5</v>
      </c>
      <c r="C1472">
        <v>2012</v>
      </c>
      <c r="D1472" s="3" t="s">
        <f>B1472&amp;"/"&amp;A1472&amp;"/"&amp;C1472</f>
        <v>1934</v>
      </c>
      <c r="E1472">
        <v>0.91666666666666663</v>
      </c>
      <c r="F1472" t="str">
        <f>I1472&amp;" "&amp;J1472&amp;" "&amp;K1472&amp;" "&amp;L1472&amp;" "&amp;M1472&amp;" "&amp;N1472</f>
        <v>Piano at Mystical Rose  </v>
      </c>
      <c r="G1472" t="s">
        <f>TEXT(D1472,"mmm dd")</f>
        <v>321</v>
      </c>
      <c r="I1472" t="s">
        <v>1935</v>
      </c>
      <c r="J1472" t="s">
        <v>53</v>
      </c>
      <c r="K1472" t="s">
        <v>1936</v>
      </c>
      <c r="L1472" t="s">
        <v>127</v>
      </c>
    </row>
    <row r="1473" spans="1:23">
      <c r="A1473">
        <v>13</v>
      </c>
      <c r="B1473">
        <v>5</v>
      </c>
      <c r="C1473">
        <v>2012</v>
      </c>
      <c r="D1473" s="3" t="s">
        <f>B1473&amp;"/"&amp;A1473&amp;"/"&amp;C1473</f>
        <v>1934</v>
      </c>
      <c r="E1473">
        <v>0.125</v>
      </c>
      <c r="F1473" t="str">
        <f>I1473&amp;" "&amp;J1473&amp;" "&amp;K1473&amp;" "&amp;L1473&amp;" "&amp;M1473&amp;" "&amp;N1473</f>
        <v>Barbershop quartet with Gary  </v>
      </c>
      <c r="G1473" t="s">
        <f>TEXT(D1473,"mmm dd")</f>
        <v>321</v>
      </c>
      <c r="I1473" t="inlineStr">
        <is>
          <t>Barbershop</t>
        </is>
      </c>
      <c r="J1473" t="inlineStr">
        <is>
          <t>quartet</t>
        </is>
      </c>
      <c r="K1473" t="s">
        <v>755</v>
      </c>
      <c r="L1473" t="s">
        <v>1870</v>
      </c>
    </row>
    <row r="1474" spans="1:23">
      <c r="A1474">
        <v>14</v>
      </c>
      <c r="B1474">
        <v>5</v>
      </c>
      <c r="C1474">
        <v>2012</v>
      </c>
      <c r="D1474" s="3" t="str">
        <f>B1474&amp;"/"&amp;A1474&amp;"/"&amp;C1474</f>
        <v>5/14/2012</v>
      </c>
      <c r="E1474">
        <v>0.125</v>
      </c>
      <c r="F1474" t="str">
        <f>I1474&amp;" "&amp;J1474&amp;" "&amp;K1474&amp;" "&amp;L1474&amp;" "&amp;M1474&amp;" "&amp;N1474</f>
        <v>Baccalaureate     </v>
      </c>
      <c r="G1474" t="s">
        <f>TEXT(D1474,"mmm dd")</f>
        <v>323</v>
      </c>
      <c r="I1474" t="s">
        <v>1937</v>
      </c>
    </row>
    <row r="1475" spans="1:23">
      <c r="A1475">
        <v>15</v>
      </c>
      <c r="B1475">
        <v>5</v>
      </c>
      <c r="C1475">
        <v>2012</v>
      </c>
      <c r="D1475" s="3" t="s">
        <f>B1475&amp;"/"&amp;A1475&amp;"/"&amp;C1475</f>
        <v>1938</v>
      </c>
      <c r="E1475">
        <v>0.29166666666666669</v>
      </c>
      <c r="F1475" t="str">
        <f>I1475&amp;" "&amp;J1475&amp;" "&amp;K1475&amp;" "&amp;L1475&amp;" "&amp;M1475&amp;" "&amp;N1475</f>
        <v>Graduation with reception at Blaisdell </v>
      </c>
      <c r="G1475" t="s">
        <f>TEXT(D1475,"mmm dd")</f>
        <v>326</v>
      </c>
      <c r="I1475" t="s">
        <v>1313</v>
      </c>
      <c r="J1475" t="s">
        <v>755</v>
      </c>
      <c r="K1475" t="s">
        <v>1595</v>
      </c>
      <c r="L1475" t="s">
        <v>53</v>
      </c>
      <c r="M1475" t="inlineStr">
        <is>
          <t>Blaisdell</t>
        </is>
      </c>
    </row>
    <row r="1476" spans="1:23">
      <c r="A1476">
        <v>15</v>
      </c>
      <c r="B1476">
        <v>5</v>
      </c>
      <c r="C1476">
        <v>2012</v>
      </c>
      <c r="D1476" s="3" t="s">
        <f>B1476&amp;"/"&amp;A1476&amp;"/"&amp;C1476</f>
        <v>1938</v>
      </c>
      <c r="E1476">
        <v>1.0416666666666667</v>
      </c>
      <c r="F1476" t="str">
        <f>I1476&amp;" "&amp;J1476&amp;" "&amp;K1476&amp;" "&amp;L1476&amp;" "&amp;M1476&amp;" "&amp;N1476</f>
        <v>Tim party    </v>
      </c>
      <c r="G1476" t="s">
        <f>TEXT(D1476,"mmm dd")</f>
        <v>326</v>
      </c>
      <c r="I1476" t="s">
        <v>1423</v>
      </c>
      <c r="J1476" t="s">
        <v>1346</v>
      </c>
    </row>
    <row r="1477" spans="1:23">
      <c r="A1477">
        <v>17</v>
      </c>
      <c r="B1477">
        <v>5</v>
      </c>
      <c r="C1477">
        <v>2012</v>
      </c>
      <c r="D1477" s="3" t="s">
        <f>B1477&amp;"/"&amp;A1477&amp;"/"&amp;C1477</f>
        <v>1939</v>
      </c>
      <c r="E1477">
        <v>0.91666666666666663</v>
      </c>
      <c r="F1477" t="str">
        <f>I1477&amp;" "&amp;J1477&amp;" "&amp;K1477&amp;" "&amp;L1477&amp;" "&amp;M1477&amp;" "&amp;N1477</f>
        <v>Ascension Day at Priory  </v>
      </c>
      <c r="G1477" t="s">
        <f>TEXT(D1477,"mmm dd")</f>
        <v>335</v>
      </c>
      <c r="I1477" t="s">
        <v>254</v>
      </c>
      <c r="J1477" t="s">
        <v>10</v>
      </c>
      <c r="K1477" t="s">
        <v>53</v>
      </c>
      <c r="L1477" t="s">
        <v>756</v>
      </c>
    </row>
    <row r="1478" spans="1:23">
      <c r="A1478">
        <v>17</v>
      </c>
      <c r="B1478">
        <v>5</v>
      </c>
      <c r="C1478">
        <v>2012</v>
      </c>
      <c r="D1478" s="3" t="s">
        <f>B1478&amp;"/"&amp;A1478&amp;"/"&amp;C1478</f>
        <v>1939</v>
      </c>
      <c r="E1478">
        <v>0.58333333333333337</v>
      </c>
      <c r="F1478" t="s">
        <f>I1478&amp;" "&amp;J1478&amp;" "&amp;K1478&amp;" "&amp;L1478&amp;" "&amp;M1478&amp;" "&amp;N1478</f>
        <v>1875</v>
      </c>
      <c r="G1478" t="s">
        <f>TEXT(D1478,"mmm dd")</f>
        <v>335</v>
      </c>
      <c r="I1478" t="s">
        <v>1266</v>
      </c>
      <c r="J1478" t="s">
        <v>1876</v>
      </c>
      <c r="K1478" t="s">
        <v>439</v>
      </c>
      <c r="L1478" t="s">
        <v>440</v>
      </c>
    </row>
    <row r="1479" spans="1:23">
      <c r="A1479">
        <v>18</v>
      </c>
      <c r="B1479">
        <v>5</v>
      </c>
      <c r="C1479">
        <v>2012</v>
      </c>
      <c r="D1479" s="3" t="s">
        <f>B1479&amp;"/"&amp;A1479&amp;"/"&amp;C1479</f>
        <v>1940</v>
      </c>
      <c r="E1479">
        <v>0.14583333333333334</v>
      </c>
      <c r="F1479" t="str">
        <f>I1479&amp;" "&amp;J1479&amp;" "&amp;K1479&amp;" "&amp;L1479&amp;" "&amp;M1479&amp;" "&amp;N1479</f>
        <v>Courthouse     </v>
      </c>
      <c r="G1479" t="s">
        <f>TEXT(D1479,"mmm dd")</f>
        <v>339</v>
      </c>
      <c r="I1479" t="inlineStr">
        <is>
          <t>Courthouse</t>
        </is>
      </c>
    </row>
    <row r="1480" spans="1:23">
      <c r="A1480">
        <v>18</v>
      </c>
      <c r="B1480">
        <v>5</v>
      </c>
      <c r="C1480">
        <v>2012</v>
      </c>
      <c r="D1480" s="3" t="s">
        <f>B1480&amp;"/"&amp;A1480&amp;"/"&amp;C1480</f>
        <v>1940</v>
      </c>
      <c r="E1480">
        <v>1</v>
      </c>
      <c r="F1480" t="str">
        <f>I1480&amp;" "&amp;J1480&amp;" "&amp;K1480&amp;" "&amp;L1480&amp;" "&amp;M1480&amp;" "&amp;N1480</f>
        <v>Meet Joe Lacked re 790 </v>
      </c>
      <c r="G1480" t="s">
        <f>TEXT(D1480,"mmm dd")</f>
        <v>339</v>
      </c>
      <c r="I1480" t="s">
        <v>300</v>
      </c>
      <c r="J1480" t="s">
        <v>1345</v>
      </c>
      <c r="K1480" t="inlineStr">
        <is>
          <t>Lacked</t>
        </is>
      </c>
      <c r="L1480" t="s">
        <v>594</v>
      </c>
      <c r="M1480">
        <v>790</v>
      </c>
    </row>
    <row r="1481" spans="1:23">
      <c r="A1481">
        <v>19</v>
      </c>
      <c r="B1481">
        <v>5</v>
      </c>
      <c r="C1481">
        <v>2012</v>
      </c>
      <c r="D1481" s="3" t="s">
        <f>B1481&amp;"/"&amp;A1481&amp;"/"&amp;C1481</f>
        <v>1941</v>
      </c>
      <c r="E1481">
        <v>0.375</v>
      </c>
      <c r="F1481" t="str">
        <f>I1481&amp;" "&amp;J1481&amp;" "&amp;K1481&amp;" "&amp;L1481&amp;" "&amp;M1481&amp;" "&amp;N1481</f>
        <v>Manoa Theater    </v>
      </c>
      <c r="G1481" t="s">
        <f>TEXT(D1481,"mmm dd")</f>
        <v>344</v>
      </c>
      <c r="I1481" t="s">
        <v>1738</v>
      </c>
      <c r="J1481" t="inlineStr">
        <is>
          <t>Theater</t>
        </is>
      </c>
    </row>
    <row r="1482" spans="1:23">
      <c r="A1482">
        <v>19</v>
      </c>
      <c r="B1482">
        <v>5</v>
      </c>
      <c r="C1482">
        <v>2012</v>
      </c>
      <c r="D1482" s="3" t="s">
        <f>B1482&amp;"/"&amp;A1482&amp;"/"&amp;C1482</f>
        <v>1941</v>
      </c>
      <c r="E1482">
        <v>0.875</v>
      </c>
      <c r="F1482" t="str">
        <f>I1482&amp;" "&amp;J1482&amp;" "&amp;K1482&amp;" "&amp;L1482&amp;" "&amp;M1482&amp;" "&amp;N1482</f>
        <v>Mary Pat to UH  </v>
      </c>
      <c r="G1482" t="s">
        <f>TEXT(D1482,"mmm dd")</f>
        <v>344</v>
      </c>
      <c r="I1482" t="s">
        <v>410</v>
      </c>
      <c r="J1482" t="s">
        <v>702</v>
      </c>
      <c r="K1482" t="s">
        <v>449</v>
      </c>
      <c r="L1482" t="s">
        <v>208</v>
      </c>
    </row>
    <row r="1483" spans="1:23">
      <c r="A1483">
        <v>19</v>
      </c>
      <c r="B1483">
        <v>5</v>
      </c>
      <c r="C1483">
        <v>2012</v>
      </c>
      <c r="D1483" s="3" t="s">
        <f>B1483&amp;"/"&amp;A1483&amp;"/"&amp;C1483</f>
        <v>1941</v>
      </c>
      <c r="E1483">
        <v>0.29166666666666669</v>
      </c>
      <c r="F1483" t="s">
        <f>I1483&amp;" "&amp;J1483&amp;" "&amp;K1483&amp;" "&amp;L1483&amp;" "&amp;M1483&amp;" "&amp;N1483</f>
        <v>1942</v>
      </c>
      <c r="G1483" t="s">
        <f>TEXT(D1483,"mmm dd")</f>
        <v>344</v>
      </c>
      <c r="I1483" t="s">
        <v>838</v>
      </c>
    </row>
    <row r="1484" spans="1:23">
      <c r="A1484">
        <v>20</v>
      </c>
      <c r="B1484">
        <v>5</v>
      </c>
      <c r="C1484">
        <v>2012</v>
      </c>
      <c r="D1484" s="3" t="str">
        <f>B1484&amp;"/"&amp;A1484&amp;"/"&amp;C1484</f>
        <v>5/20/2012</v>
      </c>
      <c r="E1484">
        <v>0.35416666666666669</v>
      </c>
      <c r="F1484" t="str">
        <f>I1484&amp;" "&amp;J1484&amp;" "&amp;K1484&amp;" "&amp;L1484&amp;" "&amp;M1484&amp;" "&amp;N1484</f>
        <v>HVE concert    </v>
      </c>
      <c r="G1484" t="s">
        <f>TEXT(D1484,"mmm dd")</f>
        <v>347</v>
      </c>
      <c r="I1484" t="inlineStr">
        <is>
          <t>HVE</t>
        </is>
      </c>
      <c r="J1484" t="s">
        <v>205</v>
      </c>
    </row>
    <row r="1485" spans="1:23">
      <c r="A1485">
        <v>21</v>
      </c>
      <c r="B1485">
        <v>5</v>
      </c>
      <c r="C1485">
        <v>2012</v>
      </c>
      <c r="D1485" s="3" t="str">
        <f>B1485&amp;"/"&amp;A1485&amp;"/"&amp;C1485</f>
        <v>5/21/2012</v>
      </c>
      <c r="E1485">
        <v>0.3125</v>
      </c>
      <c r="F1485" t="str">
        <f>I1485&amp;" "&amp;J1485&amp;" "&amp;K1485&amp;" "&amp;L1485&amp;" "&amp;M1485&amp;" "&amp;N1485</f>
        <v>Dinner Michael    </v>
      </c>
      <c r="G1485" t="s">
        <f>TEXT(D1485,"mmm dd")</f>
        <v>354</v>
      </c>
      <c r="I1485" t="s">
        <v>838</v>
      </c>
      <c r="J1485" t="s">
        <v>745</v>
      </c>
    </row>
    <row r="1486" spans="1:23">
      <c r="A1486">
        <v>22</v>
      </c>
      <c r="B1486">
        <v>5</v>
      </c>
      <c r="C1486">
        <v>2012</v>
      </c>
      <c r="D1486" s="3" t="str">
        <f>B1486&amp;"/"&amp;A1486&amp;"/"&amp;C1486</f>
        <v>5/22/2012</v>
      </c>
      <c r="E1486">
        <v>0.33333333333333331</v>
      </c>
      <c r="F1486" t="str">
        <f>I1486&amp;" "&amp;J1486&amp;" "&amp;K1486&amp;" "&amp;L1486&amp;" "&amp;M1486&amp;" "&amp;N1486</f>
        <v>Newman centering    </v>
      </c>
      <c r="G1486" t="s">
        <f>TEXT(D1486,"mmm dd")</f>
        <v>357</v>
      </c>
      <c r="I1486" t="s">
        <v>1845</v>
      </c>
      <c r="J1486" t="s">
        <v>1943</v>
      </c>
    </row>
    <row r="1487" spans="1:23">
      <c r="A1487">
        <v>24</v>
      </c>
      <c r="B1487">
        <v>5</v>
      </c>
      <c r="C1487">
        <v>2012</v>
      </c>
      <c r="D1487" s="3" t="str">
        <f>B1487&amp;"/"&amp;A1487&amp;"/"&amp;C1487</f>
        <v>5/24/2012</v>
      </c>
      <c r="E1487">
        <v>0.35416666666666669</v>
      </c>
      <c r="F1487" t="str">
        <f>I1487&amp;" "&amp;J1487&amp;" "&amp;K1487&amp;" "&amp;L1487&amp;" "&amp;M1487&amp;" "&amp;N1487</f>
        <v>Dancing     </v>
      </c>
      <c r="G1487" t="s">
        <f>TEXT(D1487,"mmm dd")</f>
        <v>367</v>
      </c>
      <c r="I1487" t="inlineStr">
        <is>
          <t>Dancing</t>
        </is>
      </c>
    </row>
    <row r="1488" spans="1:23">
      <c r="A1488">
        <v>25</v>
      </c>
      <c r="B1488">
        <v>5</v>
      </c>
      <c r="C1488">
        <v>2012</v>
      </c>
      <c r="D1488" s="3" t="s">
        <f>B1488&amp;"/"&amp;A1488&amp;"/"&amp;C1488</f>
        <v>1944</v>
      </c>
      <c r="E1488">
        <v>1.0416666666666667</v>
      </c>
      <c r="F1488" t="str">
        <f>I1488&amp;" "&amp;J1488&amp;" "&amp;K1488&amp;" "&amp;L1488&amp;" "&amp;M1488&amp;" "&amp;N1488</f>
        <v>Glenn Honda's Farewell   </v>
      </c>
      <c r="G1488" t="s">
        <f>TEXT(D1488,"mmm dd")</f>
        <v>380</v>
      </c>
      <c r="I1488" t="inlineStr">
        <is>
          <t>Glenn</t>
        </is>
      </c>
      <c r="J1488" t="inlineStr">
        <is>
          <t>Honda's</t>
        </is>
      </c>
      <c r="K1488" t="s">
        <v>1945</v>
      </c>
    </row>
    <row r="1489" spans="1:23">
      <c r="A1489">
        <v>25</v>
      </c>
      <c r="B1489">
        <v>5</v>
      </c>
      <c r="C1489">
        <v>2012</v>
      </c>
      <c r="D1489" s="3" t="s">
        <f>B1489&amp;"/"&amp;A1489&amp;"/"&amp;C1489</f>
        <v>1944</v>
      </c>
      <c r="E1489">
        <v>0.35416666666666669</v>
      </c>
      <c r="F1489" t="str">
        <f>I1489&amp;" "&amp;J1489&amp;" "&amp;K1489&amp;" "&amp;L1489&amp;" "&amp;M1489&amp;" "&amp;N1489</f>
        <v>Arthur Miller    </v>
      </c>
      <c r="G1489" t="s">
        <f>TEXT(D1489,"mmm dd")</f>
        <v>380</v>
      </c>
      <c r="I1489" t="s">
        <v>1946</v>
      </c>
      <c r="J1489" t="s">
        <v>1577</v>
      </c>
    </row>
    <row r="1490" spans="1:23">
      <c r="A1490">
        <v>26</v>
      </c>
      <c r="B1490">
        <v>5</v>
      </c>
      <c r="C1490">
        <v>2012</v>
      </c>
      <c r="D1490" s="3" t="s">
        <f>B1490&amp;"/"&amp;A1490&amp;"/"&amp;C1490</f>
        <v>1947</v>
      </c>
      <c r="E1490">
        <v>0.1875</v>
      </c>
      <c r="F1490" t="str">
        <f>I1490&amp;" "&amp;J1490&amp;" "&amp;K1490&amp;" "&amp;L1490&amp;" "&amp;M1490&amp;" "&amp;N1490</f>
        <v>Aina Haina (Koide)   </v>
      </c>
      <c r="G1490" t="s">
        <f>TEXT(D1490,"mmm dd")</f>
        <v>386</v>
      </c>
      <c r="I1490" t="s">
        <v>1810</v>
      </c>
      <c r="J1490" t="s">
        <v>1811</v>
      </c>
      <c r="K1490" t="inlineStr">
        <is>
          <t>(Koide)</t>
        </is>
      </c>
    </row>
    <row r="1491" spans="1:23">
      <c r="A1491">
        <v>26</v>
      </c>
      <c r="B1491">
        <v>5</v>
      </c>
      <c r="C1491">
        <v>2012</v>
      </c>
      <c r="D1491" s="3" t="s">
        <f>B1491&amp;"/"&amp;A1491&amp;"/"&amp;C1491</f>
        <v>1947</v>
      </c>
      <c r="E1491">
        <v>0.4375</v>
      </c>
      <c r="F1491" t="str">
        <f>I1491&amp;" "&amp;J1491&amp;" "&amp;K1491&amp;" "&amp;L1491&amp;" "&amp;M1491&amp;" "&amp;N1491</f>
        <v>Victoria     </v>
      </c>
      <c r="G1491" t="s">
        <f>TEXT(D1491,"mmm dd")</f>
        <v>386</v>
      </c>
      <c r="I1491" t="s">
        <v>1948</v>
      </c>
    </row>
    <row r="1492" spans="1:23">
      <c r="A1492">
        <v>26</v>
      </c>
      <c r="B1492">
        <v>5</v>
      </c>
      <c r="C1492">
        <v>2012</v>
      </c>
      <c r="D1492" s="3" t="s">
        <f>B1492&amp;"/"&amp;A1492&amp;"/"&amp;C1492</f>
        <v>1947</v>
      </c>
      <c r="E1492">
        <v>0.35416666666666669</v>
      </c>
      <c r="F1492" t="str">
        <f>I1492&amp;" "&amp;J1492&amp;" "&amp;K1492&amp;" "&amp;L1492&amp;" "&amp;M1492&amp;" "&amp;N1492</f>
        <v>Jitterbug night    </v>
      </c>
      <c r="G1492" t="s">
        <f>TEXT(D1492,"mmm dd")</f>
        <v>386</v>
      </c>
      <c r="I1492" t="inlineStr">
        <is>
          <t>Jitterbug</t>
        </is>
      </c>
      <c r="J1492" t="s">
        <v>751</v>
      </c>
    </row>
    <row r="1493" spans="1:23">
      <c r="A1493">
        <v>28</v>
      </c>
      <c r="B1493">
        <v>5</v>
      </c>
      <c r="C1493">
        <v>2012</v>
      </c>
      <c r="D1493" s="3" t="str">
        <f>B1493&amp;"/"&amp;A1493&amp;"/"&amp;C1493</f>
        <v>5/28/2012</v>
      </c>
      <c r="E1493">
        <v>0.27083333333333331</v>
      </c>
      <c r="F1493" t="s">
        <f>I1493&amp;" "&amp;J1493&amp;" "&amp;K1493&amp;" "&amp;L1493&amp;" "&amp;M1493&amp;" "&amp;N1493</f>
        <v>1569</v>
      </c>
      <c r="G1493" t="s">
        <f>TEXT(D1493,"mmm dd")</f>
        <v>393</v>
      </c>
      <c r="I1493" t="s">
        <v>1543</v>
      </c>
    </row>
    <row r="1494" spans="1:23">
      <c r="A1494">
        <v>29</v>
      </c>
      <c r="B1494">
        <v>5</v>
      </c>
      <c r="C1494">
        <v>2012</v>
      </c>
      <c r="D1494" s="3" t="str">
        <f>B1494&amp;"/"&amp;A1494&amp;"/"&amp;C1494</f>
        <v>5/29/2012</v>
      </c>
      <c r="E1494">
        <v>1.1145833333333333</v>
      </c>
      <c r="F1494" t="s">
        <f>I1494&amp;" "&amp;J1494&amp;" "&amp;K1494&amp;" "&amp;L1494&amp;" "&amp;M1494&amp;" "&amp;N1494</f>
        <v>1949</v>
      </c>
      <c r="G1494" t="s">
        <f>TEXT(D1494,"mmm dd")</f>
        <v>397</v>
      </c>
      <c r="I1494" t="s">
        <v>1950</v>
      </c>
    </row>
    <row r="1495" spans="1:23">
      <c r="A1495">
        <v>30</v>
      </c>
      <c r="B1495">
        <v>5</v>
      </c>
      <c r="C1495">
        <v>2012</v>
      </c>
      <c r="D1495" s="3" t="s">
        <f>B1495&amp;"/"&amp;A1495&amp;"/"&amp;C1495</f>
        <v>1951</v>
      </c>
      <c r="E1495" t="s">
        <v>42</v>
      </c>
      <c r="F1495" t="str">
        <f>I1495&amp;" "&amp;J1495&amp;" "&amp;K1495&amp;" "&amp;L1495&amp;" "&amp;M1495&amp;" "&amp;N1495</f>
        <v>Tim's surgery    </v>
      </c>
      <c r="G1495" t="s">
        <f>TEXT(D1495,"mmm dd")</f>
        <v>402</v>
      </c>
      <c r="I1495" t="s">
        <v>219</v>
      </c>
      <c r="J1495" t="s">
        <v>1448</v>
      </c>
    </row>
    <row r="1496" spans="1:23">
      <c r="A1496">
        <v>30</v>
      </c>
      <c r="B1496">
        <v>5</v>
      </c>
      <c r="C1496">
        <v>2012</v>
      </c>
      <c r="D1496" s="3" t="s">
        <f>B1496&amp;"/"&amp;A1496&amp;"/"&amp;C1496</f>
        <v>1951</v>
      </c>
      <c r="E1496">
        <v>0.89583333333333337</v>
      </c>
      <c r="F1496" t="str">
        <f>I1496&amp;" "&amp;J1496&amp;" "&amp;K1496&amp;" "&amp;L1496&amp;" "&amp;M1496&amp;" "&amp;N1496</f>
        <v>MP doctor appointment   </v>
      </c>
      <c r="G1496" t="s">
        <f>TEXT(D1496,"mmm dd")</f>
        <v>402</v>
      </c>
      <c r="I1496" t="s">
        <v>1664</v>
      </c>
      <c r="J1496" t="s">
        <v>1354</v>
      </c>
      <c r="K1496" t="s">
        <v>648</v>
      </c>
    </row>
    <row r="1497" spans="1:23">
      <c r="A1497">
        <v>30</v>
      </c>
      <c r="B1497">
        <v>5</v>
      </c>
      <c r="C1497">
        <v>2012</v>
      </c>
      <c r="D1497" s="3" t="s">
        <f>B1497&amp;"/"&amp;A1497&amp;"/"&amp;C1497</f>
        <v>1951</v>
      </c>
      <c r="E1497">
        <v>1.0833333333333333</v>
      </c>
      <c r="F1497" t="s">
        <f>I1497&amp;" "&amp;J1497&amp;" "&amp;K1497&amp;" "&amp;L1497&amp;" "&amp;M1497&amp;" "&amp;N1497</f>
        <v>1952</v>
      </c>
      <c r="G1497" t="s">
        <f>TEXT(D1497,"mmm dd")</f>
        <v>402</v>
      </c>
      <c r="I1497" t="s">
        <v>1722</v>
      </c>
      <c r="J1497" t="s">
        <v>1855</v>
      </c>
    </row>
    <row r="1498" spans="1:23">
      <c r="A1498">
        <v>31</v>
      </c>
      <c r="B1498">
        <v>5</v>
      </c>
      <c r="C1498">
        <v>2012</v>
      </c>
      <c r="D1498" s="3" t="s">
        <f>B1498&amp;"/"&amp;A1498&amp;"/"&amp;C1498</f>
        <v>1953</v>
      </c>
      <c r="E1498">
        <v>0.91666666666666663</v>
      </c>
      <c r="F1498" t="str">
        <f>I1498&amp;" "&amp;J1498&amp;" "&amp;K1498&amp;" "&amp;L1498&amp;" "&amp;M1498&amp;" "&amp;N1498</f>
        <v>Barb Street to see house. </v>
      </c>
      <c r="G1498" t="s">
        <f>TEXT(D1498,"mmm dd")</f>
        <v>406</v>
      </c>
      <c r="I1498" t="s">
        <v>1707</v>
      </c>
      <c r="J1498" t="s">
        <v>1770</v>
      </c>
      <c r="K1498" t="s">
        <v>449</v>
      </c>
      <c r="L1498" t="s">
        <v>1954</v>
      </c>
      <c r="M1498" t="s">
        <v>1841</v>
      </c>
    </row>
    <row r="1499" spans="1:23">
      <c r="A1499">
        <v>31</v>
      </c>
      <c r="B1499">
        <v>5</v>
      </c>
      <c r="C1499">
        <v>2012</v>
      </c>
      <c r="D1499" s="3" t="s">
        <f>B1499&amp;"/"&amp;A1499&amp;"/"&amp;C1499</f>
        <v>1953</v>
      </c>
      <c r="E1499">
        <v>1.0208333333333333</v>
      </c>
      <c r="F1499" t="str">
        <f>I1499&amp;" "&amp;J1499&amp;" "&amp;K1499&amp;" "&amp;L1499&amp;" "&amp;M1499&amp;" "&amp;N1499</f>
        <v>John Renke    </v>
      </c>
      <c r="G1499" t="s">
        <f>TEXT(D1499,"mmm dd")</f>
        <v>406</v>
      </c>
      <c r="I1499" t="s">
        <v>585</v>
      </c>
      <c r="J1499" t="s">
        <v>1688</v>
      </c>
    </row>
    <row r="1500" spans="1:23">
      <c r="A1500">
        <v>31</v>
      </c>
      <c r="B1500">
        <v>5</v>
      </c>
      <c r="C1500">
        <v>2012</v>
      </c>
      <c r="D1500" s="3" t="s">
        <f>B1500&amp;"/"&amp;A1500&amp;"/"&amp;C1500</f>
        <v>1953</v>
      </c>
      <c r="E1500">
        <v>0.29166666666666669</v>
      </c>
      <c r="F1500" t="str">
        <f>I1500&amp;" "&amp;J1500&amp;" "&amp;K1500&amp;" "&amp;L1500&amp;" "&amp;M1500&amp;" "&amp;N1500</f>
        <v>MEA thingy    </v>
      </c>
      <c r="G1500" t="s">
        <f>TEXT(D1500,"mmm dd")</f>
        <v>406</v>
      </c>
      <c r="I1500" t="s">
        <v>1955</v>
      </c>
      <c r="J1500" t="inlineStr">
        <is>
          <t>thingy</t>
        </is>
      </c>
    </row>
    <row r="1501" spans="1:23">
      <c r="A1501">
        <v>1</v>
      </c>
      <c r="B1501">
        <v>6</v>
      </c>
      <c r="C1501">
        <v>2012</v>
      </c>
      <c r="D1501" s="3" t="s">
        <f>B1501&amp;"/"&amp;A1501&amp;"/"&amp;C1501</f>
        <v>1956</v>
      </c>
      <c r="E1501">
        <v>0.95833333333333337</v>
      </c>
      <c r="F1501" t="s">
        <f>I1501&amp;" "&amp;J1501&amp;" "&amp;K1501&amp;" "&amp;L1501&amp;" "&amp;M1501&amp;" "&amp;N1501</f>
        <v>1865</v>
      </c>
      <c r="G1501" t="s">
        <f>TEXT(D1501,"mmm dd")</f>
        <v>421</v>
      </c>
      <c r="I1501" t="s">
        <v>1423</v>
      </c>
      <c r="J1501" t="s">
        <v>1706</v>
      </c>
    </row>
    <row r="1502" spans="1:23">
      <c r="A1502">
        <v>1</v>
      </c>
      <c r="B1502">
        <v>6</v>
      </c>
      <c r="C1502">
        <v>2012</v>
      </c>
      <c r="D1502" s="3" t="s">
        <f>B1502&amp;"/"&amp;A1502&amp;"/"&amp;C1502</f>
        <v>1956</v>
      </c>
      <c r="E1502">
        <v>1.0208333333333333</v>
      </c>
      <c r="F1502" t="str">
        <f>I1502&amp;" "&amp;J1502&amp;" "&amp;K1502&amp;" "&amp;L1502&amp;" "&amp;M1502&amp;" "&amp;N1502</f>
        <v>Dr. Roland Tam   </v>
      </c>
      <c r="G1502" t="s">
        <f>TEXT(D1502,"mmm dd")</f>
        <v>421</v>
      </c>
      <c r="I1502" t="s">
        <v>847</v>
      </c>
      <c r="J1502" t="inlineStr">
        <is>
          <t>Roland</t>
        </is>
      </c>
      <c r="K1502" t="inlineStr">
        <is>
          <t>Tam</t>
        </is>
      </c>
    </row>
    <row r="1503" spans="1:23">
      <c r="A1503">
        <v>1</v>
      </c>
      <c r="B1503">
        <v>6</v>
      </c>
      <c r="C1503">
        <v>2012</v>
      </c>
      <c r="D1503" s="3" t="s">
        <f>B1503&amp;"/"&amp;A1503&amp;"/"&amp;C1503</f>
        <v>1956</v>
      </c>
      <c r="E1503">
        <v>0.125</v>
      </c>
      <c r="F1503" t="str">
        <f>I1503&amp;" "&amp;J1503&amp;" "&amp;K1503&amp;" "&amp;L1503&amp;" "&amp;M1503&amp;" "&amp;N1503</f>
        <v>Talk with Billy   </v>
      </c>
      <c r="G1503" t="s">
        <f>TEXT(D1503,"mmm dd")</f>
        <v>421</v>
      </c>
      <c r="I1503" t="s">
        <v>1957</v>
      </c>
      <c r="J1503" t="s">
        <v>755</v>
      </c>
      <c r="K1503" t="s">
        <v>1958</v>
      </c>
    </row>
    <row r="1504" spans="1:23">
      <c r="A1504">
        <v>2</v>
      </c>
      <c r="B1504">
        <v>6</v>
      </c>
      <c r="C1504">
        <v>2012</v>
      </c>
      <c r="D1504" s="3" t="str">
        <f>B1504&amp;"/"&amp;A1504&amp;"/"&amp;C1504</f>
        <v>6/2/2012</v>
      </c>
      <c r="E1504">
        <v>0.22916666666666666</v>
      </c>
      <c r="F1504" t="str">
        <f>I1504&amp;" "&amp;J1504&amp;" "&amp;K1504&amp;" "&amp;L1504&amp;" "&amp;M1504&amp;" "&amp;N1504</f>
        <v>MEA picnic time?   </v>
      </c>
      <c r="G1504" t="s">
        <f>TEXT(D1504,"mmm dd")</f>
        <v>430</v>
      </c>
      <c r="I1504" t="s">
        <v>1955</v>
      </c>
      <c r="J1504" t="s">
        <v>1959</v>
      </c>
      <c r="K1504" t="s">
        <v>537</v>
      </c>
    </row>
    <row r="1505" spans="1:23">
      <c r="A1505">
        <v>3</v>
      </c>
      <c r="B1505">
        <v>6</v>
      </c>
      <c r="C1505">
        <v>2012</v>
      </c>
      <c r="D1505" s="3" t="str">
        <f>B1505&amp;"/"&amp;A1505&amp;"/"&amp;C1505</f>
        <v>6/3/2012</v>
      </c>
      <c r="E1505">
        <v>1</v>
      </c>
      <c r="F1505" t="str">
        <f>I1505&amp;" "&amp;J1505&amp;" "&amp;K1505&amp;" "&amp;L1505&amp;" "&amp;M1505&amp;" "&amp;N1505</f>
        <v>Brunch Hale Malia   </v>
      </c>
      <c r="G1505" t="s">
        <f>TEXT(D1505,"mmm dd")</f>
        <v>434</v>
      </c>
      <c r="I1505" t="s">
        <v>536</v>
      </c>
      <c r="J1505" t="s">
        <v>1727</v>
      </c>
      <c r="K1505" t="s">
        <v>1728</v>
      </c>
    </row>
    <row r="1506" spans="1:23">
      <c r="A1506">
        <v>4</v>
      </c>
      <c r="B1506">
        <v>6</v>
      </c>
      <c r="C1506">
        <v>2012</v>
      </c>
      <c r="D1506" s="3" t="str">
        <f>B1506&amp;"/"&amp;A1506&amp;"/"&amp;C1506</f>
        <v>6/4/2012</v>
      </c>
      <c r="E1506">
        <v>0.54166666666666663</v>
      </c>
      <c r="F1506" t="str">
        <f>I1506&amp;" "&amp;J1506&amp;" "&amp;K1506&amp;" "&amp;L1506&amp;" "&amp;M1506&amp;" "&amp;N1506</f>
        <v>partial lunar eclipse   </v>
      </c>
      <c r="G1506" t="s">
        <f>TEXT(D1506,"mmm dd")</f>
        <v>443</v>
      </c>
      <c r="I1506" t="inlineStr">
        <is>
          <t>partial</t>
        </is>
      </c>
      <c r="J1506" t="inlineStr">
        <is>
          <t>lunar</t>
        </is>
      </c>
      <c r="K1506" t="s">
        <v>1960</v>
      </c>
    </row>
    <row r="1507" spans="1:23">
      <c r="A1507">
        <v>5</v>
      </c>
      <c r="B1507">
        <v>6</v>
      </c>
      <c r="C1507">
        <v>2012</v>
      </c>
      <c r="D1507" s="3" t="str">
        <f>B1507&amp;"/"&amp;A1507&amp;"/"&amp;C1507</f>
        <v>6/5/2012</v>
      </c>
      <c r="E1507">
        <v>0.20833333333333334</v>
      </c>
      <c r="F1507" t="str">
        <f>I1507&amp;" "&amp;J1507&amp;" "&amp;K1507&amp;" "&amp;L1507&amp;" "&amp;M1507&amp;" "&amp;N1507</f>
        <v>MEA discussion    </v>
      </c>
      <c r="G1507" t="s">
        <f>TEXT(D1507,"mmm dd")</f>
        <v>446</v>
      </c>
      <c r="I1507" t="s">
        <v>1955</v>
      </c>
      <c r="J1507" t="s">
        <v>1009</v>
      </c>
    </row>
    <row r="1508" spans="1:23">
      <c r="A1508">
        <v>6</v>
      </c>
      <c r="B1508">
        <v>6</v>
      </c>
      <c r="C1508">
        <v>2012</v>
      </c>
      <c r="D1508" s="3" t="s">
        <f>B1508&amp;"/"&amp;A1508&amp;"/"&amp;C1508</f>
        <v>1961</v>
      </c>
      <c r="E1508" t="s">
        <v>42</v>
      </c>
      <c r="F1508" t="str">
        <f>I1508&amp;" "&amp;J1508&amp;" "&amp;K1508&amp;" "&amp;L1508&amp;" "&amp;M1508&amp;" "&amp;N1508</f>
        <v>MP 42 wedding anniversary  </v>
      </c>
      <c r="G1508" t="s">
        <f>TEXT(D1508,"mmm dd")</f>
        <v>462</v>
      </c>
      <c r="I1508" t="s">
        <v>1664</v>
      </c>
      <c r="J1508">
        <v>42</v>
      </c>
      <c r="K1508" t="s">
        <v>861</v>
      </c>
      <c r="L1508" t="s">
        <v>1962</v>
      </c>
    </row>
    <row r="1509" spans="1:23">
      <c r="A1509">
        <v>6</v>
      </c>
      <c r="B1509">
        <v>6</v>
      </c>
      <c r="C1509">
        <v>2012</v>
      </c>
      <c r="D1509" s="3" t="s">
        <f>B1509&amp;"/"&amp;A1509&amp;"/"&amp;C1509</f>
        <v>1961</v>
      </c>
      <c r="E1509">
        <v>0.125</v>
      </c>
      <c r="F1509" t="str">
        <f>I1509&amp;" "&amp;J1509&amp;" "&amp;K1509&amp;" "&amp;L1509&amp;" "&amp;M1509&amp;" "&amp;N1509</f>
        <v>Dr Yamada    </v>
      </c>
      <c r="G1509" t="s">
        <f>TEXT(D1509,"mmm dd")</f>
        <v>462</v>
      </c>
      <c r="I1509" t="s">
        <v>1791</v>
      </c>
      <c r="J1509" t="s">
        <v>1657</v>
      </c>
    </row>
    <row r="1510" spans="1:23">
      <c r="A1510">
        <v>6</v>
      </c>
      <c r="B1510">
        <v>6</v>
      </c>
      <c r="C1510">
        <v>2012</v>
      </c>
      <c r="D1510" s="3" t="s">
        <f>B1510&amp;"/"&amp;A1510&amp;"/"&amp;C1510</f>
        <v>1961</v>
      </c>
      <c r="E1510" t="s">
        <v>42</v>
      </c>
      <c r="F1510" t="str">
        <f>I1510&amp;" "&amp;J1510&amp;" "&amp;K1510&amp;" "&amp;L1510&amp;" "&amp;M1510&amp;" "&amp;N1510</f>
        <v>Bedroom window replaced   </v>
      </c>
      <c r="G1510" t="s">
        <f>TEXT(D1510,"mmm dd")</f>
        <v>462</v>
      </c>
      <c r="I1510" t="inlineStr">
        <is>
          <t>Bedroom</t>
        </is>
      </c>
      <c r="J1510" t="s">
        <v>1963</v>
      </c>
      <c r="K1510" t="inlineStr">
        <is>
          <t>replaced</t>
        </is>
      </c>
    </row>
    <row r="1511" spans="1:23">
      <c r="A1511">
        <v>7</v>
      </c>
      <c r="B1511">
        <v>6</v>
      </c>
      <c r="C1511">
        <v>2012</v>
      </c>
      <c r="D1511" s="3" t="s">
        <f>B1511&amp;"/"&amp;A1511&amp;"/"&amp;C1511</f>
        <v>1964</v>
      </c>
      <c r="E1511" t="s">
        <v>42</v>
      </c>
      <c r="F1511" t="s">
        <f>I1511&amp;" "&amp;J1511&amp;" "&amp;K1511&amp;" "&amp;L1511&amp;" "&amp;M1511&amp;" "&amp;N1511</f>
        <v>1965</v>
      </c>
      <c r="G1511" t="s">
        <f>TEXT(D1511,"mmm dd")</f>
        <v>464</v>
      </c>
      <c r="I1511" t="s">
        <v>814</v>
      </c>
      <c r="J1511" t="s">
        <v>135</v>
      </c>
      <c r="K1511" t="s">
        <v>1413</v>
      </c>
      <c r="L1511" t="s">
        <v>1962</v>
      </c>
      <c r="M1511">
        <v>-20</v>
      </c>
    </row>
    <row r="1512" spans="1:23">
      <c r="A1512">
        <v>9</v>
      </c>
      <c r="B1512">
        <v>6</v>
      </c>
      <c r="C1512">
        <v>2012</v>
      </c>
      <c r="D1512" s="3" t="s">
        <f>B1512&amp;"/"&amp;A1512&amp;"/"&amp;C1512</f>
        <v>1966</v>
      </c>
      <c r="E1512">
        <v>0.16666666666666666</v>
      </c>
      <c r="F1512" t="str">
        <f>I1512&amp;" "&amp;J1512&amp;" "&amp;K1512&amp;" "&amp;L1512&amp;" "&amp;M1512&amp;" "&amp;N1512</f>
        <v>Return chair to Lowe's  </v>
      </c>
      <c r="G1512" t="s">
        <f>TEXT(D1512,"mmm dd")</f>
        <v>467</v>
      </c>
      <c r="I1512" t="s">
        <v>548</v>
      </c>
      <c r="J1512" t="s">
        <v>1967</v>
      </c>
      <c r="K1512" t="s">
        <v>449</v>
      </c>
      <c r="L1512" t="inlineStr">
        <is>
          <t>Lowe's</t>
        </is>
      </c>
    </row>
    <row r="1513" spans="1:23">
      <c r="A1513">
        <v>9</v>
      </c>
      <c r="B1513">
        <v>6</v>
      </c>
      <c r="C1513">
        <v>2012</v>
      </c>
      <c r="D1513" s="3" t="s">
        <f>B1513&amp;"/"&amp;A1513&amp;"/"&amp;C1513</f>
        <v>1966</v>
      </c>
      <c r="E1513">
        <v>0.91666666666666663</v>
      </c>
      <c r="F1513" t="str">
        <f>I1513&amp;" "&amp;J1513&amp;" "&amp;K1513&amp;" "&amp;L1513&amp;" "&amp;M1513&amp;" "&amp;N1513</f>
        <v>Shredding at capitol   </v>
      </c>
      <c r="G1513" t="s">
        <f>TEXT(D1513,"mmm dd")</f>
        <v>467</v>
      </c>
      <c r="I1513" t="inlineStr">
        <is>
          <t>Shredding</t>
        </is>
      </c>
      <c r="J1513" t="s">
        <v>53</v>
      </c>
      <c r="K1513" t="inlineStr">
        <is>
          <t>capitol</t>
        </is>
      </c>
    </row>
    <row r="1514" spans="1:23">
      <c r="A1514">
        <v>9</v>
      </c>
      <c r="B1514">
        <v>6</v>
      </c>
      <c r="C1514">
        <v>2012</v>
      </c>
      <c r="D1514" s="3" t="s">
        <f>B1514&amp;"/"&amp;A1514&amp;"/"&amp;C1514</f>
        <v>1966</v>
      </c>
      <c r="E1514">
        <v>0.25</v>
      </c>
      <c r="F1514" t="str">
        <f>I1514&amp;" "&amp;J1514&amp;" "&amp;K1514&amp;" "&amp;L1514&amp;" "&amp;M1514&amp;" "&amp;N1514</f>
        <v>Gary Tom for dinner  </v>
      </c>
      <c r="G1514" t="s">
        <f>TEXT(D1514,"mmm dd")</f>
        <v>467</v>
      </c>
      <c r="I1514" t="s">
        <v>1870</v>
      </c>
      <c r="J1514" t="s">
        <v>873</v>
      </c>
      <c r="K1514" t="s">
        <v>439</v>
      </c>
      <c r="L1514" t="s">
        <v>517</v>
      </c>
    </row>
    <row r="1515" spans="1:23">
      <c r="A1515">
        <v>13</v>
      </c>
      <c r="B1515">
        <v>6</v>
      </c>
      <c r="C1515">
        <v>2012</v>
      </c>
      <c r="D1515" s="3" t="s">
        <f>B1515&amp;"/"&amp;A1515&amp;"/"&amp;C1515</f>
        <v>1968</v>
      </c>
      <c r="E1515">
        <v>1.0208333333333333</v>
      </c>
      <c r="F1515" t="str">
        <f>I1515&amp;" "&amp;J1515&amp;" "&amp;K1515&amp;" "&amp;L1515&amp;" "&amp;M1515&amp;" "&amp;N1515</f>
        <v>Starbucks     </v>
      </c>
      <c r="G1515" t="s">
        <f>TEXT(D1515,"mmm dd")</f>
        <v>511</v>
      </c>
      <c r="I1515" t="inlineStr">
        <is>
          <t>Starbucks</t>
        </is>
      </c>
    </row>
    <row r="1516" spans="1:23">
      <c r="A1516">
        <v>13</v>
      </c>
      <c r="B1516">
        <v>6</v>
      </c>
      <c r="C1516">
        <v>2012</v>
      </c>
      <c r="D1516" s="3" t="s">
        <f>B1516&amp;"/"&amp;A1516&amp;"/"&amp;C1516</f>
        <v>1968</v>
      </c>
      <c r="E1516">
        <v>1</v>
      </c>
      <c r="F1516" t="s">
        <f>I1516&amp;" "&amp;J1516&amp;" "&amp;K1516&amp;" "&amp;L1516&amp;" "&amp;M1516&amp;" "&amp;N1516</f>
        <v>1825</v>
      </c>
      <c r="G1516" t="s">
        <f>TEXT(D1516,"mmm dd")</f>
        <v>511</v>
      </c>
      <c r="I1516" t="s">
        <v>1826</v>
      </c>
    </row>
    <row r="1517" spans="1:23">
      <c r="A1517">
        <v>13</v>
      </c>
      <c r="B1517">
        <v>6</v>
      </c>
      <c r="C1517">
        <v>2012</v>
      </c>
      <c r="D1517" s="3" t="s">
        <f>B1517&amp;"/"&amp;A1517&amp;"/"&amp;C1517</f>
        <v>1968</v>
      </c>
      <c r="E1517">
        <v>1.0416666666666667</v>
      </c>
      <c r="F1517" t="str">
        <f>I1517&amp;" "&amp;J1517&amp;" "&amp;K1517&amp;" "&amp;L1517&amp;" "&amp;M1517&amp;" "&amp;N1517</f>
        <v>Hawaii Kai    </v>
      </c>
      <c r="G1517" t="s">
        <f>TEXT(D1517,"mmm dd")</f>
        <v>511</v>
      </c>
      <c r="I1517" t="s">
        <v>1274</v>
      </c>
      <c r="J1517" t="s">
        <v>1275</v>
      </c>
    </row>
    <row r="1518" spans="1:23">
      <c r="A1518">
        <v>14</v>
      </c>
      <c r="B1518">
        <v>6</v>
      </c>
      <c r="C1518">
        <v>2012</v>
      </c>
      <c r="D1518" s="3" t="s">
        <f>B1518&amp;"/"&amp;A1518&amp;"/"&amp;C1518</f>
        <v>1969</v>
      </c>
      <c r="E1518">
        <v>0.16666666666666666</v>
      </c>
      <c r="F1518" t="str">
        <f>I1518&amp;" "&amp;J1518&amp;" "&amp;K1518&amp;" "&amp;L1518&amp;" "&amp;M1518&amp;" "&amp;N1518</f>
        <v>Division for plants   </v>
      </c>
      <c r="G1518" t="s">
        <f>TEXT(D1518,"mmm dd")</f>
        <v>524</v>
      </c>
      <c r="I1518" t="s">
        <v>1970</v>
      </c>
      <c r="J1518" t="s">
        <v>439</v>
      </c>
      <c r="K1518" t="inlineStr">
        <is>
          <t>plants</t>
        </is>
      </c>
    </row>
    <row r="1519" spans="1:23">
      <c r="A1519">
        <v>14</v>
      </c>
      <c r="B1519">
        <v>6</v>
      </c>
      <c r="C1519">
        <v>2012</v>
      </c>
      <c r="D1519" s="3" t="s">
        <f>B1519&amp;"/"&amp;A1519&amp;"/"&amp;C1519</f>
        <v>1969</v>
      </c>
      <c r="E1519" t="s">
        <v>42</v>
      </c>
      <c r="F1519" t="str">
        <f>I1519&amp;" "&amp;J1519&amp;" "&amp;K1519&amp;" "&amp;L1519&amp;" "&amp;M1519&amp;" "&amp;N1519</f>
        <v>Travel   Refreshment at Kaua'i</v>
      </c>
      <c r="G1519" t="s">
        <f>TEXT(D1519,"mmm dd")</f>
        <v>524</v>
      </c>
      <c r="I1519" t="s">
        <v>1971</v>
      </c>
      <c r="L1519" t="inlineStr">
        <is>
          <t>Refreshment</t>
        </is>
      </c>
      <c r="M1519" t="s">
        <v>53</v>
      </c>
      <c r="N1519" t="s">
        <v>1755</v>
      </c>
    </row>
    <row r="1520" spans="1:23">
      <c r="A1520">
        <v>16</v>
      </c>
      <c r="B1520">
        <v>6</v>
      </c>
      <c r="C1520">
        <v>2012</v>
      </c>
      <c r="D1520" s="3" t="str">
        <f>B1520&amp;"/"&amp;A1520&amp;"/"&amp;C1520</f>
        <v>6/16/2012</v>
      </c>
      <c r="E1520">
        <v>1.0416666666666667</v>
      </c>
      <c r="F1520" t="str">
        <f>I1520&amp;" "&amp;J1520&amp;" "&amp;K1520&amp;" "&amp;L1520&amp;" "&amp;M1520&amp;" "&amp;N1520</f>
        <v>Tim to Kaua'i   </v>
      </c>
      <c r="G1520" t="s">
        <f>TEXT(D1520,"mmm dd")</f>
        <v>543</v>
      </c>
      <c r="I1520" t="s">
        <v>1423</v>
      </c>
      <c r="J1520" t="s">
        <v>449</v>
      </c>
      <c r="K1520" t="s">
        <v>1755</v>
      </c>
    </row>
    <row r="1521" spans="1:23">
      <c r="A1521">
        <v>18</v>
      </c>
      <c r="B1521">
        <v>6</v>
      </c>
      <c r="C1521">
        <v>2012</v>
      </c>
      <c r="D1521" s="3" t="str">
        <f>B1521&amp;"/"&amp;A1521&amp;"/"&amp;C1521</f>
        <v>6/18/2012</v>
      </c>
      <c r="E1521">
        <v>0.27083333333333331</v>
      </c>
      <c r="F1521" t="s">
        <f>I1521&amp;" "&amp;J1521&amp;" "&amp;K1521&amp;" "&amp;L1521&amp;" "&amp;M1521&amp;" "&amp;N1521</f>
        <v>1569</v>
      </c>
      <c r="G1521" t="s">
        <f>TEXT(D1521,"mmm dd")</f>
        <v>558</v>
      </c>
      <c r="I1521" t="s">
        <v>1543</v>
      </c>
    </row>
    <row r="1522" spans="1:23">
      <c r="A1522">
        <v>20</v>
      </c>
      <c r="B1522">
        <v>6</v>
      </c>
      <c r="C1522">
        <v>2012</v>
      </c>
      <c r="D1522" s="3" t="str">
        <f>B1522&amp;"/"&amp;A1522&amp;"/"&amp;C1522</f>
        <v>6/20/2012</v>
      </c>
      <c r="E1522">
        <v>0.70833333333333337</v>
      </c>
      <c r="F1522" t="s">
        <f>I1522&amp;" "&amp;J1522&amp;" "&amp;K1522&amp;" "&amp;L1522&amp;" "&amp;M1522&amp;" "&amp;N1522</f>
        <v>1734</v>
      </c>
      <c r="G1522" t="s">
        <f>TEXT(D1522,"mmm dd")</f>
        <v>566</v>
      </c>
      <c r="I1522" t="s">
        <v>188</v>
      </c>
      <c r="J1522" t="s">
        <v>189</v>
      </c>
    </row>
    <row r="1523" spans="1:23">
      <c r="A1523">
        <v>22</v>
      </c>
      <c r="B1523">
        <v>6</v>
      </c>
      <c r="C1523">
        <v>2012</v>
      </c>
      <c r="D1523" s="3" t="s">
        <f>B1523&amp;"/"&amp;A1523&amp;"/"&amp;C1523</f>
        <v>1972</v>
      </c>
      <c r="E1523">
        <v>0.91666666666666663</v>
      </c>
      <c r="F1523" t="s">
        <f>I1523&amp;" "&amp;J1523&amp;" "&amp;K1523&amp;" "&amp;L1523&amp;" "&amp;M1523&amp;" "&amp;N1523</f>
        <v>1225</v>
      </c>
      <c r="G1523" t="s">
        <f>TEXT(D1523,"mmm dd")</f>
        <v>574</v>
      </c>
      <c r="I1523" t="s">
        <v>847</v>
      </c>
      <c r="J1523" t="s">
        <v>770</v>
      </c>
    </row>
    <row r="1524" spans="1:23">
      <c r="A1524">
        <v>22</v>
      </c>
      <c r="B1524">
        <v>6</v>
      </c>
      <c r="C1524">
        <v>2012</v>
      </c>
      <c r="D1524" s="3" t="s">
        <f>B1524&amp;"/"&amp;A1524&amp;"/"&amp;C1524</f>
        <v>1972</v>
      </c>
      <c r="E1524">
        <v>1.0416666666666667</v>
      </c>
      <c r="F1524" t="str">
        <f>I1524&amp;" "&amp;J1524&amp;" "&amp;K1524&amp;" "&amp;L1524&amp;" "&amp;M1524&amp;" "&amp;N1524</f>
        <v>HK house    </v>
      </c>
      <c r="G1524" t="s">
        <f>TEXT(D1524,"mmm dd")</f>
        <v>574</v>
      </c>
      <c r="I1524" t="s">
        <v>1355</v>
      </c>
      <c r="J1524" t="s">
        <v>726</v>
      </c>
    </row>
    <row r="1525" spans="1:23">
      <c r="A1525">
        <v>22</v>
      </c>
      <c r="B1525">
        <v>6</v>
      </c>
      <c r="C1525">
        <v>2012</v>
      </c>
      <c r="D1525" s="3" t="s">
        <f>B1525&amp;"/"&amp;A1525&amp;"/"&amp;C1525</f>
        <v>1972</v>
      </c>
      <c r="E1525">
        <v>0.54166666666666663</v>
      </c>
      <c r="F1525" t="str">
        <f>I1525&amp;" "&amp;J1525&amp;" "&amp;K1525&amp;" "&amp;L1525&amp;" "&amp;M1525&amp;" "&amp;N1525</f>
        <v>MP dentist    </v>
      </c>
      <c r="G1525" t="s">
        <f>TEXT(D1525,"mmm dd")</f>
        <v>574</v>
      </c>
      <c r="I1525" t="s">
        <v>1664</v>
      </c>
      <c r="J1525" t="s">
        <v>1973</v>
      </c>
    </row>
    <row r="1526" spans="1:23">
      <c r="A1526">
        <v>22</v>
      </c>
      <c r="B1526">
        <v>6</v>
      </c>
      <c r="C1526">
        <v>2012</v>
      </c>
      <c r="D1526" s="3" t="s">
        <f>B1526&amp;"/"&amp;A1526&amp;"/"&amp;C1526</f>
        <v>1972</v>
      </c>
      <c r="E1526" t="s">
        <v>42</v>
      </c>
      <c r="F1526" t="str">
        <f>I1526&amp;" "&amp;J1526&amp;" "&amp;K1526&amp;" "&amp;L1526&amp;" "&amp;M1526&amp;" "&amp;N1526</f>
        <v>Ordination Corey Thornton   </v>
      </c>
      <c r="G1526" t="s">
        <f>TEXT(D1526,"mmm dd")</f>
        <v>574</v>
      </c>
      <c r="I1526" t="s">
        <v>411</v>
      </c>
      <c r="J1526" t="inlineStr">
        <is>
          <t>Corey</t>
        </is>
      </c>
      <c r="K1526" t="inlineStr">
        <is>
          <t>Thornton</t>
        </is>
      </c>
    </row>
    <row r="1527" spans="1:23">
      <c r="A1527">
        <v>25</v>
      </c>
      <c r="B1527">
        <v>6</v>
      </c>
      <c r="C1527">
        <v>2012</v>
      </c>
      <c r="D1527" s="3" t="str">
        <f>B1527&amp;"/"&amp;A1527&amp;"/"&amp;C1527</f>
        <v>6/25/2012</v>
      </c>
      <c r="E1527">
        <v>0.89583333333333337</v>
      </c>
      <c r="F1527" t="s">
        <f>I1527&amp;" "&amp;J1527&amp;" "&amp;K1527&amp;" "&amp;L1527&amp;" "&amp;M1527&amp;" "&amp;N1527</f>
        <v>1894</v>
      </c>
      <c r="G1527" t="s">
        <f>TEXT(D1527,"mmm dd")</f>
        <v>589</v>
      </c>
      <c r="I1527" t="s">
        <v>1341</v>
      </c>
      <c r="J1527" t="s">
        <v>1895</v>
      </c>
    </row>
    <row r="1528" spans="1:23">
      <c r="A1528">
        <v>26</v>
      </c>
      <c r="B1528">
        <v>6</v>
      </c>
      <c r="C1528">
        <v>2012</v>
      </c>
      <c r="D1528" s="3" t="str">
        <f>B1528&amp;"/"&amp;A1528&amp;"/"&amp;C1528</f>
        <v>6/26/2012</v>
      </c>
      <c r="E1528">
        <v>0.95833333333333337</v>
      </c>
      <c r="F1528" t="str">
        <f>I1528&amp;" "&amp;J1528&amp;" "&amp;K1528&amp;" "&amp;L1528&amp;" "&amp;M1528&amp;" "&amp;N1528</f>
        <v>Joyce phone appt   </v>
      </c>
      <c r="G1528" t="s">
        <f>TEXT(D1528,"mmm dd")</f>
        <v>1335</v>
      </c>
      <c r="I1528" t="s">
        <v>1892</v>
      </c>
      <c r="J1528" t="s">
        <v>417</v>
      </c>
      <c r="K1528" t="s">
        <v>1911</v>
      </c>
    </row>
    <row r="1529" spans="1:23">
      <c r="A1529">
        <v>27</v>
      </c>
      <c r="B1529">
        <v>6</v>
      </c>
      <c r="C1529">
        <v>2012</v>
      </c>
      <c r="D1529" s="3" t="str">
        <f>B1529&amp;"/"&amp;A1529&amp;"/"&amp;C1529</f>
        <v>6/27/2012</v>
      </c>
      <c r="E1529" t="s">
        <v>42</v>
      </c>
      <c r="F1529" t="str">
        <f>I1529&amp;" "&amp;J1529&amp;" "&amp;K1529&amp;" "&amp;L1529&amp;" "&amp;M1529&amp;" "&amp;N1529</f>
        <v>Go to Ewa beach  </v>
      </c>
      <c r="G1529" t="s">
        <f>TEXT(D1529,"mmm dd")</f>
        <v>1336</v>
      </c>
      <c r="I1529" t="s">
        <v>1861</v>
      </c>
      <c r="J1529" t="s">
        <v>449</v>
      </c>
      <c r="K1529" t="s">
        <v>1714</v>
      </c>
      <c r="L1529" t="s">
        <v>1974</v>
      </c>
    </row>
    <row r="1530" spans="1:23">
      <c r="A1530">
        <v>29</v>
      </c>
      <c r="B1530">
        <v>6</v>
      </c>
      <c r="C1530">
        <v>2012</v>
      </c>
      <c r="D1530" s="3" t="s">
        <f>B1530&amp;"/"&amp;A1530&amp;"/"&amp;C1530</f>
        <v>1975</v>
      </c>
      <c r="E1530">
        <v>0.25</v>
      </c>
      <c r="F1530" t="str">
        <f>I1530&amp;" "&amp;J1530&amp;" "&amp;K1530&amp;" "&amp;L1530&amp;" "&amp;M1530&amp;" "&amp;N1530</f>
        <v>Malianika dinner    </v>
      </c>
      <c r="G1530" t="s">
        <f>TEXT(D1530,"mmm dd")</f>
        <v>603</v>
      </c>
      <c r="I1530" t="s">
        <v>1880</v>
      </c>
      <c r="J1530" t="s">
        <v>517</v>
      </c>
    </row>
    <row r="1531" spans="1:23">
      <c r="A1531">
        <v>29</v>
      </c>
      <c r="B1531">
        <v>6</v>
      </c>
      <c r="C1531">
        <v>2012</v>
      </c>
      <c r="D1531" s="3" t="s">
        <f>B1531&amp;"/"&amp;A1531&amp;"/"&amp;C1531</f>
        <v>1975</v>
      </c>
      <c r="E1531">
        <v>1.0416666666666667</v>
      </c>
      <c r="F1531" t="str">
        <f>I1531&amp;" "&amp;J1531&amp;" "&amp;K1531&amp;" "&amp;L1531&amp;" "&amp;M1531&amp;" "&amp;N1531</f>
        <v>Lunch with June   </v>
      </c>
      <c r="G1531" t="s">
        <f>TEXT(D1531,"mmm dd")</f>
        <v>603</v>
      </c>
      <c r="I1531" t="s">
        <v>813</v>
      </c>
      <c r="J1531" t="s">
        <v>755</v>
      </c>
      <c r="K1531" t="s">
        <v>1539</v>
      </c>
    </row>
    <row r="1532" spans="1:23">
      <c r="A1532">
        <v>30</v>
      </c>
      <c r="B1532">
        <v>6</v>
      </c>
      <c r="C1532">
        <v>2012</v>
      </c>
      <c r="D1532" s="3" t="s">
        <f>B1532&amp;"/"&amp;A1532&amp;"/"&amp;C1532</f>
        <v>1976</v>
      </c>
      <c r="E1532">
        <v>0.25</v>
      </c>
      <c r="F1532" t="str">
        <f>I1532&amp;" "&amp;J1532&amp;" "&amp;K1532&amp;" "&amp;L1532&amp;" "&amp;M1532&amp;" "&amp;N1532</f>
        <v>Tim for dinner   </v>
      </c>
      <c r="G1532" t="s">
        <f>TEXT(D1532,"mmm dd")</f>
        <v>12</v>
      </c>
      <c r="I1532" t="s">
        <v>1423</v>
      </c>
      <c r="J1532" t="s">
        <v>439</v>
      </c>
      <c r="K1532" t="s">
        <v>517</v>
      </c>
    </row>
    <row r="1533" spans="1:23">
      <c r="A1533">
        <v>30</v>
      </c>
      <c r="B1533">
        <v>6</v>
      </c>
      <c r="C1533">
        <v>2012</v>
      </c>
      <c r="D1533" s="3" t="s">
        <f>B1533&amp;"/"&amp;A1533&amp;"/"&amp;C1533</f>
        <v>1976</v>
      </c>
      <c r="E1533">
        <v>1.0416666666666667</v>
      </c>
      <c r="F1533" t="str">
        <f>I1533&amp;" "&amp;J1533&amp;" "&amp;K1533&amp;" "&amp;L1533&amp;" "&amp;M1533&amp;" "&amp;N1533</f>
        <v>lunch on the beach for Lisa</v>
      </c>
      <c r="G1533" t="s">
        <f>TEXT(D1533,"mmm dd")</f>
        <v>12</v>
      </c>
      <c r="I1533" t="s">
        <v>440</v>
      </c>
      <c r="J1533" t="s">
        <v>1449</v>
      </c>
      <c r="K1533" t="s">
        <v>139</v>
      </c>
      <c r="L1533" t="s">
        <v>1974</v>
      </c>
      <c r="M1533" t="s">
        <v>439</v>
      </c>
      <c r="N1533" t="s">
        <v>1471</v>
      </c>
    </row>
    <row r="1534" spans="1:23">
      <c r="A1534">
        <v>1</v>
      </c>
      <c r="B1534">
        <v>7</v>
      </c>
      <c r="C1534">
        <v>2012</v>
      </c>
      <c r="D1534" s="3" t="s">
        <f>B1534&amp;"/"&amp;A1534&amp;"/"&amp;C1534</f>
        <v>1977</v>
      </c>
      <c r="E1534">
        <v>0.3125</v>
      </c>
      <c r="F1534" t="str">
        <f>I1534&amp;" "&amp;J1534&amp;" "&amp;K1534&amp;" "&amp;L1534&amp;" "&amp;M1534&amp;" "&amp;N1534</f>
        <v>Dolls House (Cathy B)  </v>
      </c>
      <c r="G1534" t="s">
        <f>TEXT(D1534,"mmm dd")</f>
        <v>13</v>
      </c>
      <c r="I1534" t="inlineStr">
        <is>
          <t>Dolls</t>
        </is>
      </c>
      <c r="J1534" t="s">
        <v>1517</v>
      </c>
      <c r="K1534" t="inlineStr">
        <is>
          <t>(Cathy</t>
        </is>
      </c>
      <c r="L1534" t="inlineStr">
        <is>
          <t>B)</t>
        </is>
      </c>
    </row>
    <row r="1535" spans="1:23">
      <c r="A1535">
        <v>1</v>
      </c>
      <c r="B1535">
        <v>7</v>
      </c>
      <c r="C1535">
        <v>2012</v>
      </c>
      <c r="D1535" s="3" t="s">
        <f>B1535&amp;"/"&amp;A1535&amp;"/"&amp;C1535</f>
        <v>1977</v>
      </c>
      <c r="E1535">
        <v>1</v>
      </c>
      <c r="F1535" t="str">
        <f>I1535&amp;" "&amp;J1535&amp;" "&amp;K1535&amp;" "&amp;L1535&amp;" "&amp;M1535&amp;" "&amp;N1535</f>
        <v>Get key from Gary  </v>
      </c>
      <c r="G1535" t="s">
        <f>TEXT(D1535,"mmm dd")</f>
        <v>13</v>
      </c>
      <c r="I1535" t="s">
        <v>1332</v>
      </c>
      <c r="J1535" t="s">
        <v>1724</v>
      </c>
      <c r="K1535" t="s">
        <v>874</v>
      </c>
      <c r="L1535" t="s">
        <v>1870</v>
      </c>
    </row>
    <row r="1536" spans="1:23">
      <c r="A1536">
        <v>2</v>
      </c>
      <c r="B1536">
        <v>7</v>
      </c>
      <c r="C1536">
        <v>2012</v>
      </c>
      <c r="D1536" s="3" t="s">
        <f>B1536&amp;"/"&amp;A1536&amp;"/"&amp;C1536</f>
        <v>1978</v>
      </c>
      <c r="E1536">
        <v>0.20833333333333334</v>
      </c>
      <c r="F1536" t="str">
        <f>I1536&amp;" "&amp;J1536&amp;" "&amp;K1536&amp;" "&amp;L1536&amp;" "&amp;M1536&amp;" "&amp;N1536</f>
        <v>Hawaii Vocal Arts Brahms  </v>
      </c>
      <c r="G1536" t="s">
        <f>TEXT(D1536,"mmm dd")</f>
        <v>15</v>
      </c>
      <c r="I1536" t="s">
        <v>1274</v>
      </c>
      <c r="J1536" t="inlineStr">
        <is>
          <t>Vocal</t>
        </is>
      </c>
      <c r="K1536" t="inlineStr">
        <is>
          <t>Arts</t>
        </is>
      </c>
      <c r="L1536" t="inlineStr">
        <is>
          <t>Brahms</t>
        </is>
      </c>
    </row>
    <row r="1537" spans="1:23">
      <c r="A1537">
        <v>2</v>
      </c>
      <c r="B1537">
        <v>7</v>
      </c>
      <c r="C1537">
        <v>2012</v>
      </c>
      <c r="D1537" s="3" t="s">
        <f>B1537&amp;"/"&amp;A1537&amp;"/"&amp;C1537</f>
        <v>1978</v>
      </c>
      <c r="E1537">
        <v>0.95833333333333337</v>
      </c>
      <c r="F1537" t="s">
        <f>I1537&amp;" "&amp;J1537&amp;" "&amp;K1537&amp;" "&amp;L1537&amp;" "&amp;M1537&amp;" "&amp;N1537</f>
        <v>1979</v>
      </c>
      <c r="G1537" t="s">
        <f>TEXT(D1537,"mmm dd")</f>
        <v>15</v>
      </c>
      <c r="I1537" t="s">
        <v>1345</v>
      </c>
      <c r="J1537" t="s">
        <v>1980</v>
      </c>
    </row>
    <row r="1538" spans="1:23">
      <c r="A1538">
        <v>2</v>
      </c>
      <c r="B1538">
        <v>7</v>
      </c>
      <c r="C1538">
        <v>2012</v>
      </c>
      <c r="D1538" s="3" t="s">
        <f>B1538&amp;"/"&amp;A1538&amp;"/"&amp;C1538</f>
        <v>1978</v>
      </c>
      <c r="E1538">
        <v>1</v>
      </c>
      <c r="F1538" t="str">
        <f>I1538&amp;" "&amp;J1538&amp;" "&amp;K1538&amp;" "&amp;L1538&amp;" "&amp;M1538&amp;" "&amp;N1538</f>
        <v>Teddie     </v>
      </c>
      <c r="G1538" t="s">
        <f>TEXT(D1538,"mmm dd")</f>
        <v>15</v>
      </c>
      <c r="I1538" t="inlineStr">
        <is>
          <t>Teddie</t>
        </is>
      </c>
    </row>
    <row r="1539" spans="1:23">
      <c r="A1539">
        <v>2</v>
      </c>
      <c r="B1539">
        <v>7</v>
      </c>
      <c r="C1539">
        <v>2012</v>
      </c>
      <c r="D1539" s="3" t="s">
        <f>B1539&amp;"/"&amp;A1539&amp;"/"&amp;C1539</f>
        <v>1978</v>
      </c>
      <c r="E1539" t="s">
        <v>42</v>
      </c>
      <c r="F1539" t="str">
        <f>I1539&amp;" "&amp;J1539&amp;" "&amp;K1539&amp;" "&amp;L1539&amp;" "&amp;M1539&amp;" "&amp;N1539</f>
        <v>ED 600 starts   </v>
      </c>
      <c r="G1539" t="s">
        <f>TEXT(D1539,"mmm dd")</f>
        <v>15</v>
      </c>
      <c r="I1539" t="s">
        <v>1981</v>
      </c>
      <c r="J1539">
        <v>600</v>
      </c>
      <c r="K1539" t="s">
        <v>244</v>
      </c>
    </row>
    <row r="1540" spans="1:23">
      <c r="A1540">
        <v>3</v>
      </c>
      <c r="B1540">
        <v>7</v>
      </c>
      <c r="C1540">
        <v>2012</v>
      </c>
      <c r="D1540" s="3" t="str">
        <f>B1540&amp;"/"&amp;A1540&amp;"/"&amp;C1540</f>
        <v>7/3/2012</v>
      </c>
      <c r="E1540">
        <v>0.95833333333333337</v>
      </c>
      <c r="F1540" t="str">
        <f>I1540&amp;" "&amp;J1540&amp;" "&amp;K1540&amp;" "&amp;L1540&amp;" "&amp;M1540&amp;" "&amp;N1540</f>
        <v>Teo with Joe   </v>
      </c>
      <c r="G1540" t="s">
        <f>TEXT(D1540,"mmm dd")</f>
        <v>16</v>
      </c>
      <c r="I1540" t="inlineStr">
        <is>
          <t>Teo</t>
        </is>
      </c>
      <c r="J1540" t="s">
        <v>755</v>
      </c>
      <c r="K1540" t="s">
        <v>1345</v>
      </c>
    </row>
    <row r="1541" spans="1:23">
      <c r="A1541">
        <v>7</v>
      </c>
      <c r="B1541">
        <v>7</v>
      </c>
      <c r="C1541">
        <v>2012</v>
      </c>
      <c r="D1541" s="3" t="s">
        <f>B1541&amp;"/"&amp;A1541&amp;"/"&amp;C1541</f>
        <v>1982</v>
      </c>
      <c r="E1541">
        <v>1.1041666666666667</v>
      </c>
      <c r="F1541" t="str">
        <f>I1541&amp;" "&amp;J1541&amp;" "&amp;K1541&amp;" "&amp;L1541&amp;" "&amp;M1541&amp;" "&amp;N1541</f>
        <v>Retrieve piano from Gary  </v>
      </c>
      <c r="G1541" t="s">
        <f>TEXT(D1541,"mmm dd")</f>
        <v>24</v>
      </c>
      <c r="I1541" t="inlineStr">
        <is>
          <t>Retrieve</t>
        </is>
      </c>
      <c r="J1541" t="s">
        <v>1983</v>
      </c>
      <c r="K1541" t="s">
        <v>874</v>
      </c>
      <c r="L1541" t="s">
        <v>1870</v>
      </c>
    </row>
    <row r="1542" spans="1:23">
      <c r="A1542">
        <v>7</v>
      </c>
      <c r="B1542">
        <v>7</v>
      </c>
      <c r="C1542">
        <v>2012</v>
      </c>
      <c r="D1542" s="3" t="s">
        <f>B1542&amp;"/"&amp;A1542&amp;"/"&amp;C1542</f>
        <v>1982</v>
      </c>
      <c r="E1542">
        <v>0.25</v>
      </c>
      <c r="F1542" t="str">
        <f>I1542&amp;" "&amp;J1542&amp;" "&amp;K1542&amp;" "&amp;L1542&amp;" "&amp;M1542&amp;" "&amp;N1542</f>
        <v>Annie &amp; Rick for dinner </v>
      </c>
      <c r="G1542" t="s">
        <f>TEXT(D1542,"mmm dd")</f>
        <v>24</v>
      </c>
      <c r="I1542" t="s">
        <v>1984</v>
      </c>
      <c r="J1542" t="s">
        <v>73</v>
      </c>
      <c r="K1542" t="s">
        <v>1809</v>
      </c>
      <c r="L1542" t="s">
        <v>439</v>
      </c>
      <c r="M1542" t="s">
        <v>517</v>
      </c>
    </row>
    <row r="1543" spans="1:23">
      <c r="A1543">
        <v>9</v>
      </c>
      <c r="B1543">
        <v>7</v>
      </c>
      <c r="C1543">
        <v>2012</v>
      </c>
      <c r="D1543" s="3" t="s">
        <f>B1543&amp;"/"&amp;A1543&amp;"/"&amp;C1543</f>
        <v>1985</v>
      </c>
      <c r="E1543">
        <v>0.25</v>
      </c>
      <c r="F1543" t="str">
        <f>I1543&amp;" "&amp;J1543&amp;" "&amp;K1543&amp;" "&amp;L1543&amp;" "&amp;M1543&amp;" "&amp;N1543</f>
        <v>Officiate evensong    </v>
      </c>
      <c r="G1543" t="s">
        <f>TEXT(D1543,"mmm dd")</f>
        <v>625</v>
      </c>
      <c r="I1543" t="s">
        <v>1683</v>
      </c>
      <c r="J1543" t="inlineStr">
        <is>
          <t>evensong</t>
        </is>
      </c>
    </row>
    <row r="1544" spans="1:23">
      <c r="A1544">
        <v>9</v>
      </c>
      <c r="B1544">
        <v>7</v>
      </c>
      <c r="C1544">
        <v>2012</v>
      </c>
      <c r="D1544" s="3" t="s">
        <f>B1544&amp;"/"&amp;A1544&amp;"/"&amp;C1544</f>
        <v>1985</v>
      </c>
      <c r="E1544">
        <v>0.95833333333333337</v>
      </c>
      <c r="F1544" t="str">
        <f>I1544&amp;" "&amp;J1544&amp;" "&amp;K1544&amp;" "&amp;L1544&amp;" "&amp;M1544&amp;" "&amp;N1544</f>
        <v>Meet Joe Lackner   </v>
      </c>
      <c r="G1544" t="s">
        <f>TEXT(D1544,"mmm dd")</f>
        <v>625</v>
      </c>
      <c r="I1544" t="s">
        <v>300</v>
      </c>
      <c r="J1544" t="s">
        <v>1345</v>
      </c>
      <c r="K1544" t="inlineStr">
        <is>
          <t>Lackner</t>
        </is>
      </c>
    </row>
    <row r="1545" spans="1:23">
      <c r="A1545">
        <v>10</v>
      </c>
      <c r="B1545">
        <v>7</v>
      </c>
      <c r="C1545">
        <v>2012</v>
      </c>
      <c r="D1545" s="3" t="s">
        <f>B1545&amp;"/"&amp;A1545&amp;"/"&amp;C1545</f>
        <v>1986</v>
      </c>
      <c r="E1545">
        <v>0.375</v>
      </c>
      <c r="F1545" t="str">
        <f>I1545&amp;" "&amp;J1545&amp;" "&amp;K1545&amp;" "&amp;L1545&amp;" "&amp;M1545&amp;" "&amp;N1545</f>
        <v>Beer with Murray   </v>
      </c>
      <c r="G1545" t="s">
        <f>TEXT(D1545,"mmm dd")</f>
        <v>1712</v>
      </c>
      <c r="I1545" t="inlineStr">
        <is>
          <t>Beer</t>
        </is>
      </c>
      <c r="J1545" t="s">
        <v>755</v>
      </c>
      <c r="K1545" t="s">
        <v>1008</v>
      </c>
    </row>
    <row r="1546" spans="1:23">
      <c r="A1546">
        <v>10</v>
      </c>
      <c r="B1546">
        <v>7</v>
      </c>
      <c r="C1546">
        <v>2012</v>
      </c>
      <c r="D1546" s="3" t="s">
        <f>B1546&amp;"/"&amp;A1546&amp;"/"&amp;C1546</f>
        <v>1986</v>
      </c>
      <c r="E1546">
        <v>0.95833333333333337</v>
      </c>
      <c r="F1546" t="str">
        <f>I1546&amp;" "&amp;J1546&amp;" "&amp;K1546&amp;" "&amp;L1546&amp;" "&amp;M1546&amp;" "&amp;N1546</f>
        <v>Take Gary et al to airport</v>
      </c>
      <c r="G1546" t="s">
        <f>TEXT(D1546,"mmm dd")</f>
        <v>1712</v>
      </c>
      <c r="I1546" t="s">
        <v>821</v>
      </c>
      <c r="J1546" t="s">
        <v>1870</v>
      </c>
      <c r="K1546" t="s">
        <v>1589</v>
      </c>
      <c r="L1546" t="s">
        <v>1590</v>
      </c>
      <c r="M1546" t="s">
        <v>449</v>
      </c>
      <c r="N1546" t="s">
        <v>1477</v>
      </c>
    </row>
    <row r="1547" spans="1:23">
      <c r="A1547">
        <v>10</v>
      </c>
      <c r="B1547">
        <v>7</v>
      </c>
      <c r="C1547">
        <v>2012</v>
      </c>
      <c r="D1547" s="3" t="s">
        <f>B1547&amp;"/"&amp;A1547&amp;"/"&amp;C1547</f>
        <v>1986</v>
      </c>
      <c r="E1547">
        <v>0.31944444444444442</v>
      </c>
      <c r="F1547" t="str">
        <f>I1547&amp;" "&amp;J1547&amp;" "&amp;K1547&amp;" "&amp;L1547&amp;" "&amp;M1547&amp;" "&amp;N1547</f>
        <v>Pick up Murray   </v>
      </c>
      <c r="G1547" t="s">
        <f>TEXT(D1547,"mmm dd")</f>
        <v>1712</v>
      </c>
      <c r="I1547" t="s">
        <v>806</v>
      </c>
      <c r="J1547" t="s">
        <v>807</v>
      </c>
      <c r="K1547" t="s">
        <v>1008</v>
      </c>
    </row>
    <row r="1548" spans="1:23">
      <c r="A1548">
        <v>10</v>
      </c>
      <c r="B1548">
        <v>7</v>
      </c>
      <c r="C1548">
        <v>2012</v>
      </c>
      <c r="D1548" s="3" t="s">
        <f>B1548&amp;"/"&amp;A1548&amp;"/"&amp;C1548</f>
        <v>1986</v>
      </c>
      <c r="E1548">
        <v>0.95833333333333337</v>
      </c>
      <c r="F1548" t="str">
        <f>I1548&amp;" "&amp;J1548&amp;" "&amp;K1548&amp;" "&amp;L1548&amp;" "&amp;M1548&amp;" "&amp;N1548</f>
        <v>Phone call Joyce   </v>
      </c>
      <c r="G1548" t="s">
        <f>TEXT(D1548,"mmm dd")</f>
        <v>1712</v>
      </c>
      <c r="I1548" t="s">
        <v>1987</v>
      </c>
      <c r="J1548" t="s">
        <v>418</v>
      </c>
      <c r="K1548" t="s">
        <v>1892</v>
      </c>
    </row>
    <row r="1549" spans="1:23">
      <c r="A1549">
        <v>12</v>
      </c>
      <c r="B1549">
        <v>7</v>
      </c>
      <c r="C1549">
        <v>2012</v>
      </c>
      <c r="D1549" s="3" t="str">
        <f>B1549&amp;"/"&amp;A1549&amp;"/"&amp;C1549</f>
        <v>7/12/2012</v>
      </c>
      <c r="E1549">
        <v>0.20833333333333334</v>
      </c>
      <c r="F1549" t="str">
        <f>I1549&amp;" "&amp;J1549&amp;" "&amp;K1549&amp;" "&amp;L1549&amp;" "&amp;M1549&amp;" "&amp;N1549</f>
        <v>Casey for dinner   </v>
      </c>
      <c r="G1549" t="s">
        <f>TEXT(D1549,"mmm dd")</f>
        <v>638</v>
      </c>
      <c r="I1549" t="inlineStr">
        <is>
          <t>Casey</t>
        </is>
      </c>
      <c r="J1549" t="s">
        <v>439</v>
      </c>
      <c r="K1549" t="s">
        <v>517</v>
      </c>
    </row>
    <row r="1550" spans="1:23">
      <c r="A1550">
        <v>13</v>
      </c>
      <c r="B1550">
        <v>7</v>
      </c>
      <c r="C1550">
        <v>2012</v>
      </c>
      <c r="D1550" s="3" t="s">
        <f>B1550&amp;"/"&amp;A1550&amp;"/"&amp;C1550</f>
        <v>1988</v>
      </c>
      <c r="E1550">
        <v>0.875</v>
      </c>
      <c r="F1550" t="str">
        <f>I1550&amp;" "&amp;J1550&amp;" "&amp;K1550&amp;" "&amp;L1550&amp;" "&amp;M1550&amp;" "&amp;N1550</f>
        <v>Dr. Sakamoto    </v>
      </c>
      <c r="G1550" t="s">
        <f>TEXT(D1550,"mmm dd")</f>
        <v>1989</v>
      </c>
      <c r="I1550" t="s">
        <v>847</v>
      </c>
      <c r="J1550" t="s">
        <v>1990</v>
      </c>
    </row>
    <row r="1551" spans="1:23">
      <c r="A1551">
        <v>13</v>
      </c>
      <c r="B1551">
        <v>7</v>
      </c>
      <c r="C1551">
        <v>2012</v>
      </c>
      <c r="D1551" s="3" t="s">
        <f>B1551&amp;"/"&amp;A1551&amp;"/"&amp;C1551</f>
        <v>1988</v>
      </c>
      <c r="E1551">
        <v>0.22916666666666666</v>
      </c>
      <c r="F1551" t="s">
        <f>I1551&amp;" "&amp;J1551&amp;" "&amp;K1551&amp;" "&amp;L1551&amp;" "&amp;M1551&amp;" "&amp;N1551</f>
        <v>1991</v>
      </c>
      <c r="G1551" t="s">
        <f>TEXT(D1551,"mmm dd")</f>
        <v>1989</v>
      </c>
      <c r="I1551" t="s">
        <v>1028</v>
      </c>
      <c r="J1551" t="s">
        <v>1992</v>
      </c>
    </row>
    <row r="1552" spans="1:23">
      <c r="A1552">
        <v>14</v>
      </c>
      <c r="B1552">
        <v>7</v>
      </c>
      <c r="C1552">
        <v>2012</v>
      </c>
      <c r="D1552" s="3" t="str">
        <f>B1552&amp;"/"&amp;A1552&amp;"/"&amp;C1552</f>
        <v>7/14/2012</v>
      </c>
      <c r="E1552">
        <v>0.29166666666666669</v>
      </c>
      <c r="F1552" t="str">
        <f>I1552&amp;" "&amp;J1552&amp;" "&amp;K1552&amp;" "&amp;L1552&amp;" "&amp;M1552&amp;" "&amp;N1552</f>
        <v>Terry &amp; Andy   </v>
      </c>
      <c r="G1552" t="s">
        <f>TEXT(D1552,"mmm dd")</f>
        <v>1340</v>
      </c>
      <c r="I1552" t="s">
        <v>1917</v>
      </c>
      <c r="J1552" t="s">
        <v>73</v>
      </c>
      <c r="K1552" t="s">
        <v>1918</v>
      </c>
    </row>
    <row r="1553" spans="1:23">
      <c r="A1553">
        <v>15</v>
      </c>
      <c r="B1553">
        <v>7</v>
      </c>
      <c r="C1553">
        <v>2012</v>
      </c>
      <c r="D1553" s="3" t="str">
        <f>B1553&amp;"/"&amp;A1553&amp;"/"&amp;C1553</f>
        <v>7/15/2012</v>
      </c>
      <c r="E1553">
        <v>0.29166666666666669</v>
      </c>
      <c r="F1553" t="str">
        <f>I1553&amp;" "&amp;J1553&amp;" "&amp;K1553&amp;" "&amp;L1553&amp;" "&amp;M1553&amp;" "&amp;N1553</f>
        <v>MP friends birthday   </v>
      </c>
      <c r="G1553" t="s">
        <f>TEXT(D1553,"mmm dd")</f>
        <v>640</v>
      </c>
      <c r="I1553" t="s">
        <v>1664</v>
      </c>
      <c r="J1553" t="inlineStr">
        <is>
          <t>friends</t>
        </is>
      </c>
      <c r="K1553" t="s">
        <v>319</v>
      </c>
    </row>
    <row r="1554" spans="1:23">
      <c r="A1554">
        <v>16</v>
      </c>
      <c r="B1554">
        <v>7</v>
      </c>
      <c r="C1554">
        <v>2012</v>
      </c>
      <c r="D1554" s="3" t="str">
        <f>B1554&amp;"/"&amp;A1554&amp;"/"&amp;C1554</f>
        <v>7/16/2012</v>
      </c>
      <c r="E1554">
        <v>0.91666666666666663</v>
      </c>
      <c r="F1554" t="str">
        <f>I1554&amp;" "&amp;J1554&amp;" "&amp;K1554&amp;" "&amp;L1554&amp;" "&amp;M1554&amp;" "&amp;N1554</f>
        <v>call Luria    </v>
      </c>
      <c r="G1554" t="s">
        <f>TEXT(D1554,"mmm dd")</f>
        <v>646</v>
      </c>
      <c r="I1554" t="s">
        <v>418</v>
      </c>
      <c r="J1554" t="s">
        <v>1706</v>
      </c>
    </row>
    <row r="1555" spans="1:23">
      <c r="A1555">
        <v>17</v>
      </c>
      <c r="B1555">
        <v>7</v>
      </c>
      <c r="C1555">
        <v>2012</v>
      </c>
      <c r="D1555" s="3" t="s">
        <f>B1555&amp;"/"&amp;A1555&amp;"/"&amp;C1555</f>
        <v>1993</v>
      </c>
      <c r="E1555">
        <v>0.16666666666666666</v>
      </c>
      <c r="F1555" t="str">
        <f>I1555&amp;" "&amp;J1555&amp;" "&amp;K1555&amp;" "&amp;L1555&amp;" "&amp;M1555&amp;" "&amp;N1555</f>
        <v>Dave Coleman et al re. CS</v>
      </c>
      <c r="G1555" t="s">
        <f>TEXT(D1555,"mmm dd")</f>
        <v>653</v>
      </c>
      <c r="I1555" t="s">
        <v>1798</v>
      </c>
      <c r="J1555" t="s">
        <v>1799</v>
      </c>
      <c r="K1555" t="s">
        <v>1589</v>
      </c>
      <c r="L1555" t="s">
        <v>1590</v>
      </c>
      <c r="M1555" t="s">
        <v>633</v>
      </c>
      <c r="N1555" t="s">
        <v>1994</v>
      </c>
    </row>
    <row r="1556" spans="1:23">
      <c r="A1556">
        <v>17</v>
      </c>
      <c r="B1556">
        <v>7</v>
      </c>
      <c r="C1556">
        <v>2012</v>
      </c>
      <c r="D1556" s="3" t="s">
        <f>B1556&amp;"/"&amp;A1556&amp;"/"&amp;C1556</f>
        <v>1993</v>
      </c>
      <c r="E1556" t="s">
        <v>42</v>
      </c>
      <c r="F1556" t="str">
        <f>I1556&amp;" "&amp;J1556&amp;" "&amp;K1556&amp;" "&amp;L1556&amp;" "&amp;M1556&amp;" "&amp;N1556</f>
        <v>Robin to house   </v>
      </c>
      <c r="G1556" t="s">
        <f>TEXT(D1556,"mmm dd")</f>
        <v>653</v>
      </c>
      <c r="I1556" t="s">
        <v>1927</v>
      </c>
      <c r="J1556" t="s">
        <v>449</v>
      </c>
      <c r="K1556" t="s">
        <v>726</v>
      </c>
    </row>
    <row r="1557" spans="1:23">
      <c r="A1557">
        <v>19</v>
      </c>
      <c r="B1557">
        <v>7</v>
      </c>
      <c r="C1557">
        <v>2012</v>
      </c>
      <c r="D1557" s="3" t="s">
        <f>B1557&amp;"/"&amp;A1557&amp;"/"&amp;C1557</f>
        <v>1995</v>
      </c>
      <c r="E1557">
        <v>0.58333333333333337</v>
      </c>
      <c r="F1557" t="s">
        <f>I1557&amp;" "&amp;J1557&amp;" "&amp;K1557&amp;" "&amp;L1557&amp;" "&amp;M1557&amp;" "&amp;N1557</f>
        <v>1875</v>
      </c>
      <c r="G1557" t="s">
        <f>TEXT(D1557,"mmm dd")</f>
        <v>28</v>
      </c>
      <c r="I1557" t="s">
        <v>1266</v>
      </c>
      <c r="J1557" t="s">
        <v>1876</v>
      </c>
      <c r="K1557" t="s">
        <v>439</v>
      </c>
      <c r="L1557" t="s">
        <v>440</v>
      </c>
    </row>
    <row r="1558" spans="1:23">
      <c r="A1558">
        <v>19</v>
      </c>
      <c r="B1558">
        <v>7</v>
      </c>
      <c r="C1558">
        <v>2012</v>
      </c>
      <c r="D1558" s="3" t="s">
        <f>B1558&amp;"/"&amp;A1558&amp;"/"&amp;C1558</f>
        <v>1995</v>
      </c>
      <c r="E1558">
        <v>0.89583333333333337</v>
      </c>
      <c r="F1558" t="str">
        <f>I1558&amp;" "&amp;J1558&amp;" "&amp;K1558&amp;" "&amp;L1558&amp;" "&amp;M1558&amp;" "&amp;N1558</f>
        <v>Hula     </v>
      </c>
      <c r="G1558" t="s">
        <f>TEXT(D1558,"mmm dd")</f>
        <v>28</v>
      </c>
      <c r="I1558" t="inlineStr">
        <is>
          <t>Hula</t>
        </is>
      </c>
      <c r="O1558" t="inlineStr">
        <is>
          <t>Wed)</t>
        </is>
      </c>
    </row>
    <row r="1559" spans="1:23">
      <c r="A1559">
        <v>20</v>
      </c>
      <c r="B1559">
        <v>7</v>
      </c>
      <c r="C1559">
        <v>2012</v>
      </c>
      <c r="D1559" s="3" t="str">
        <f>B1559&amp;"/"&amp;A1559&amp;"/"&amp;C1559</f>
        <v>7/20/2012</v>
      </c>
      <c r="E1559">
        <v>0.14583333333333334</v>
      </c>
      <c r="F1559" t="str">
        <f>I1559&amp;" "&amp;J1559&amp;" "&amp;K1559&amp;" "&amp;L1559&amp;" "&amp;M1559&amp;" "&amp;N1559</f>
        <v>Court Date    </v>
      </c>
      <c r="G1559" t="s">
        <f>TEXT(D1559,"mmm dd")</f>
        <v>29</v>
      </c>
      <c r="I1559" t="s">
        <v>1996</v>
      </c>
      <c r="J1559" t="s">
        <v>0</v>
      </c>
    </row>
    <row r="1560" spans="1:23">
      <c r="A1560">
        <v>21</v>
      </c>
      <c r="B1560">
        <v>7</v>
      </c>
      <c r="C1560">
        <v>2012</v>
      </c>
      <c r="D1560" s="3" t="s">
        <f>B1560&amp;"/"&amp;A1560&amp;"/"&amp;C1560</f>
        <v>1997</v>
      </c>
      <c r="E1560">
        <v>0.875</v>
      </c>
      <c r="F1560" t="s">
        <f>I1560&amp;" "&amp;J1560&amp;" "&amp;K1560&amp;" "&amp;L1560&amp;" "&amp;M1560&amp;" "&amp;N1560</f>
        <v>1602</v>
      </c>
      <c r="G1560" t="s">
        <f>TEXT(D1560,"mmm dd")</f>
        <v>672</v>
      </c>
      <c r="I1560" t="s">
        <v>1121</v>
      </c>
      <c r="J1560" t="s">
        <v>1081</v>
      </c>
    </row>
    <row r="1561" spans="1:23">
      <c r="A1561">
        <v>21</v>
      </c>
      <c r="B1561">
        <v>7</v>
      </c>
      <c r="C1561">
        <v>2012</v>
      </c>
      <c r="D1561" s="3" t="s">
        <f>B1561&amp;"/"&amp;A1561&amp;"/"&amp;C1561</f>
        <v>1997</v>
      </c>
      <c r="E1561">
        <v>1</v>
      </c>
      <c r="F1561" t="str">
        <f>I1561&amp;" "&amp;J1561&amp;" "&amp;K1561&amp;" "&amp;L1561&amp;" "&amp;M1561&amp;" "&amp;N1561</f>
        <v>Teri Ann lunch   </v>
      </c>
      <c r="G1561" t="s">
        <f>TEXT(D1561,"mmm dd")</f>
        <v>672</v>
      </c>
      <c r="I1561" t="inlineStr">
        <is>
          <t>Teri</t>
        </is>
      </c>
      <c r="J1561" t="s">
        <v>1713</v>
      </c>
      <c r="K1561" t="s">
        <v>440</v>
      </c>
    </row>
    <row r="1562" spans="1:23">
      <c r="A1562">
        <v>22</v>
      </c>
      <c r="B1562">
        <v>7</v>
      </c>
      <c r="C1562">
        <v>2012</v>
      </c>
      <c r="D1562" s="3" t="s">
        <f>B1562&amp;"/"&amp;A1562&amp;"/"&amp;C1562</f>
        <v>1998</v>
      </c>
      <c r="E1562">
        <v>1.0416666666666667</v>
      </c>
      <c r="F1562" t="str">
        <f>I1562&amp;" "&amp;J1562&amp;" "&amp;K1562&amp;" "&amp;L1562&amp;" "&amp;M1562&amp;" "&amp;N1562</f>
        <v>Skype River    </v>
      </c>
      <c r="G1562" t="s">
        <f>TEXT(D1562,"mmm dd")</f>
        <v>678</v>
      </c>
      <c r="I1562" t="s">
        <v>1999</v>
      </c>
      <c r="J1562" t="s">
        <v>2000</v>
      </c>
    </row>
    <row r="1563" spans="1:23">
      <c r="A1563">
        <v>22</v>
      </c>
      <c r="B1563">
        <v>7</v>
      </c>
      <c r="C1563">
        <v>2012</v>
      </c>
      <c r="D1563" s="3" t="s">
        <f>B1563&amp;"/"&amp;A1563&amp;"/"&amp;C1563</f>
        <v>1998</v>
      </c>
      <c r="E1563">
        <v>0.27083333333333331</v>
      </c>
      <c r="F1563" t="str">
        <f>I1563&amp;" "&amp;J1563&amp;" "&amp;K1563&amp;" "&amp;L1563&amp;" "&amp;M1563&amp;" "&amp;N1563</f>
        <v>Dinner with Naka's   </v>
      </c>
      <c r="G1563" t="s">
        <f>TEXT(D1563,"mmm dd")</f>
        <v>678</v>
      </c>
      <c r="I1563" t="s">
        <v>838</v>
      </c>
      <c r="J1563" t="s">
        <v>755</v>
      </c>
      <c r="K1563" t="inlineStr">
        <is>
          <t>Naka's</t>
        </is>
      </c>
    </row>
    <row r="1564" spans="1:23">
      <c r="A1564">
        <v>23</v>
      </c>
      <c r="B1564">
        <v>7</v>
      </c>
      <c r="C1564">
        <v>2012</v>
      </c>
      <c r="D1564" s="3" t="s">
        <f>B1564&amp;"/"&amp;A1564&amp;"/"&amp;C1564</f>
        <v>2001</v>
      </c>
      <c r="E1564">
        <v>1.0416666666666667</v>
      </c>
      <c r="F1564" t="str">
        <f>I1564&amp;" "&amp;J1564&amp;" "&amp;K1564&amp;" "&amp;L1564&amp;" "&amp;M1564&amp;" "&amp;N1564</f>
        <v>Robin     </v>
      </c>
      <c r="G1564" t="s">
        <f>TEXT(D1564,"mmm dd")</f>
        <v>681</v>
      </c>
      <c r="I1564" t="s">
        <v>1927</v>
      </c>
    </row>
    <row r="1565" spans="1:23">
      <c r="A1565">
        <v>23</v>
      </c>
      <c r="B1565">
        <v>7</v>
      </c>
      <c r="C1565">
        <v>2012</v>
      </c>
      <c r="D1565" s="3" t="s">
        <f>B1565&amp;"/"&amp;A1565&amp;"/"&amp;C1565</f>
        <v>2001</v>
      </c>
      <c r="E1565">
        <v>0.89583333333333337</v>
      </c>
      <c r="F1565" t="s">
        <f>I1565&amp;" "&amp;J1565&amp;" "&amp;K1565&amp;" "&amp;L1565&amp;" "&amp;M1565&amp;" "&amp;N1565</f>
        <v>2002</v>
      </c>
      <c r="G1565" t="s">
        <f>TEXT(D1565,"mmm dd")</f>
        <v>681</v>
      </c>
      <c r="I1565" t="s">
        <v>1282</v>
      </c>
      <c r="J1565" t="s">
        <v>1283</v>
      </c>
      <c r="K1565" t="s">
        <v>53</v>
      </c>
      <c r="L1565" t="s">
        <v>1845</v>
      </c>
      <c r="M1565" t="s">
        <v>1736</v>
      </c>
    </row>
    <row r="1566" spans="1:23">
      <c r="A1566">
        <v>24</v>
      </c>
      <c r="B1566">
        <v>7</v>
      </c>
      <c r="C1566">
        <v>2012</v>
      </c>
      <c r="D1566" s="3" t="s">
        <f>B1566&amp;"/"&amp;A1566&amp;"/"&amp;C1566</f>
        <v>2003</v>
      </c>
      <c r="E1566" t="s">
        <v>42</v>
      </c>
      <c r="F1566" t="str">
        <f>I1566&amp;" "&amp;J1566&amp;" "&amp;K1566&amp;" "&amp;L1566&amp;" "&amp;M1566&amp;" "&amp;N1566</f>
        <v>call to confirm dentist appt. (cf.</v>
      </c>
      <c r="G1566" t="s">
        <f>TEXT(D1566,"mmm dd")</f>
        <v>684</v>
      </c>
      <c r="I1566" t="s">
        <v>418</v>
      </c>
      <c r="J1566" t="s">
        <v>449</v>
      </c>
      <c r="K1566" t="s">
        <v>2004</v>
      </c>
      <c r="L1566" t="s">
        <v>1973</v>
      </c>
      <c r="M1566" t="inlineStr">
        <is>
          <t>appt.</t>
        </is>
      </c>
      <c r="N1566" t="inlineStr">
        <is>
          <t>(cf.</t>
        </is>
      </c>
    </row>
    <row r="1567" spans="1:23">
      <c r="A1567">
        <v>24</v>
      </c>
      <c r="B1567">
        <v>7</v>
      </c>
      <c r="C1567">
        <v>2012</v>
      </c>
      <c r="D1567" s="3" t="s">
        <f>B1567&amp;"/"&amp;A1567&amp;"/"&amp;C1567</f>
        <v>2003</v>
      </c>
      <c r="E1567" t="s">
        <v>42</v>
      </c>
      <c r="F1567" t="str">
        <f>I1567&amp;" "&amp;J1567&amp;" "&amp;K1567&amp;" "&amp;L1567&amp;" "&amp;M1567&amp;" "&amp;N1567</f>
        <v>Moms surgery    </v>
      </c>
      <c r="G1567" t="s">
        <f>TEXT(D1567,"mmm dd")</f>
        <v>684</v>
      </c>
      <c r="I1567" t="inlineStr">
        <is>
          <t>Moms</t>
        </is>
      </c>
      <c r="J1567" t="s">
        <v>1448</v>
      </c>
    </row>
    <row r="1568" spans="1:23">
      <c r="A1568">
        <v>25</v>
      </c>
      <c r="B1568">
        <v>7</v>
      </c>
      <c r="C1568">
        <v>2012</v>
      </c>
      <c r="D1568" s="3" t="s">
        <f>B1568&amp;"/"&amp;A1568&amp;"/"&amp;C1568</f>
        <v>2005</v>
      </c>
      <c r="E1568">
        <v>0.16666666666666666</v>
      </c>
      <c r="F1568" t="str">
        <f>I1568&amp;" "&amp;J1568&amp;" "&amp;K1568&amp;" "&amp;L1568&amp;" "&amp;M1568&amp;" "&amp;N1568</f>
        <v>Barber shop    </v>
      </c>
      <c r="G1568" t="s">
        <f>TEXT(D1568,"mmm dd")</f>
        <v>25</v>
      </c>
      <c r="I1568" t="s">
        <v>2006</v>
      </c>
      <c r="J1568" t="s">
        <v>1806</v>
      </c>
    </row>
    <row r="1569" spans="1:23">
      <c r="A1569">
        <v>25</v>
      </c>
      <c r="B1569">
        <v>7</v>
      </c>
      <c r="C1569">
        <v>2012</v>
      </c>
      <c r="D1569" s="3" t="s">
        <f>B1569&amp;"/"&amp;A1569&amp;"/"&amp;C1569</f>
        <v>2005</v>
      </c>
      <c r="E1569" t="s">
        <v>42</v>
      </c>
      <c r="F1569" t="str">
        <f>I1569&amp;" "&amp;J1569&amp;" "&amp;K1569&amp;" "&amp;L1569&amp;" "&amp;M1569&amp;" "&amp;N1569</f>
        <v>Maui pt 1   </v>
      </c>
      <c r="G1569" t="s">
        <f>TEXT(D1569,"mmm dd")</f>
        <v>25</v>
      </c>
      <c r="I1569" t="s">
        <v>1186</v>
      </c>
      <c r="J1569" t="s">
        <v>2007</v>
      </c>
      <c r="K1569">
        <v>1</v>
      </c>
    </row>
    <row r="1570" spans="1:23">
      <c r="A1570">
        <v>26</v>
      </c>
      <c r="B1570">
        <v>7</v>
      </c>
      <c r="C1570">
        <v>2012</v>
      </c>
      <c r="D1570" s="3" t="str">
        <f>B1570&amp;"/"&amp;A1570&amp;"/"&amp;C1570</f>
        <v>7/26/2012</v>
      </c>
      <c r="E1570">
        <v>0.89583333333333337</v>
      </c>
      <c r="F1570" t="str">
        <f>I1570&amp;" "&amp;J1570&amp;" "&amp;K1570&amp;" "&amp;L1570&amp;" "&amp;M1570&amp;" "&amp;N1570</f>
        <v>Orientation     </v>
      </c>
      <c r="G1570" t="s">
        <f>TEXT(D1570,"mmm dd")</f>
        <v>27</v>
      </c>
      <c r="I1570" t="s">
        <v>720</v>
      </c>
    </row>
    <row r="1571" spans="1:23">
      <c r="A1571">
        <v>27</v>
      </c>
      <c r="B1571">
        <v>7</v>
      </c>
      <c r="C1571">
        <v>2012</v>
      </c>
      <c r="D1571" s="3" t="s">
        <f>B1571&amp;"/"&amp;A1571&amp;"/"&amp;C1571</f>
        <v>2008</v>
      </c>
      <c r="E1571">
        <v>1.09375</v>
      </c>
      <c r="F1571" t="str">
        <f>I1571&amp;" "&amp;J1571&amp;" "&amp;K1571&amp;" "&amp;L1571&amp;" "&amp;M1571&amp;" "&amp;N1571</f>
        <v>Sales pitch    </v>
      </c>
      <c r="G1571" t="s">
        <f>TEXT(D1571,"mmm dd")</f>
        <v>699</v>
      </c>
      <c r="I1571" t="inlineStr">
        <is>
          <t>Sales</t>
        </is>
      </c>
      <c r="J1571" t="inlineStr">
        <is>
          <t>pitch</t>
        </is>
      </c>
    </row>
    <row r="1572" spans="1:23">
      <c r="A1572">
        <v>27</v>
      </c>
      <c r="B1572">
        <v>7</v>
      </c>
      <c r="C1572">
        <v>2012</v>
      </c>
      <c r="D1572" s="3" t="s">
        <f>B1572&amp;"/"&amp;A1572&amp;"/"&amp;C1572</f>
        <v>2008</v>
      </c>
      <c r="E1572">
        <v>0.89583333333333337</v>
      </c>
      <c r="F1572" t="s">
        <f>I1572&amp;" "&amp;J1572&amp;" "&amp;K1572&amp;" "&amp;L1572&amp;" "&amp;M1572&amp;" "&amp;N1572</f>
        <v>2009</v>
      </c>
      <c r="G1572" t="s">
        <f>TEXT(D1572,"mmm dd")</f>
        <v>699</v>
      </c>
      <c r="I1572" t="s">
        <v>1650</v>
      </c>
    </row>
    <row r="1573" spans="1:23">
      <c r="A1573">
        <v>27</v>
      </c>
      <c r="B1573">
        <v>7</v>
      </c>
      <c r="C1573">
        <v>2012</v>
      </c>
      <c r="D1573" s="3" t="s">
        <f>B1573&amp;"/"&amp;A1573&amp;"/"&amp;C1573</f>
        <v>2008</v>
      </c>
      <c r="E1573">
        <v>0.3125</v>
      </c>
      <c r="F1573" t="str">
        <f>I1573&amp;" "&amp;J1573&amp;" "&amp;K1573&amp;" "&amp;L1573&amp;" "&amp;M1573&amp;" "&amp;N1573</f>
        <v>Ulalena     </v>
      </c>
      <c r="G1573" t="s">
        <f>TEXT(D1573,"mmm dd")</f>
        <v>699</v>
      </c>
      <c r="I1573" t="inlineStr">
        <is>
          <t>Ulalena</t>
        </is>
      </c>
    </row>
    <row r="1574" spans="1:23">
      <c r="A1574">
        <v>28</v>
      </c>
      <c r="B1574">
        <v>7</v>
      </c>
      <c r="C1574">
        <v>2012</v>
      </c>
      <c r="D1574" s="3" t="str">
        <f>B1574&amp;"/"&amp;A1574&amp;"/"&amp;C1574</f>
        <v>7/28/2012</v>
      </c>
      <c r="E1574">
        <v>0.5</v>
      </c>
      <c r="F1574" t="str">
        <f>I1574&amp;" "&amp;J1574&amp;" "&amp;K1574&amp;" "&amp;L1574&amp;" "&amp;M1574&amp;" "&amp;N1574</f>
        <v>Barbecue     </v>
      </c>
      <c r="G1574" t="s">
        <f>TEXT(D1574,"mmm dd")</f>
        <v>1745</v>
      </c>
      <c r="I1574" t="inlineStr">
        <is>
          <t>Barbecue</t>
        </is>
      </c>
    </row>
    <row r="1575" spans="1:23">
      <c r="A1575">
        <v>29</v>
      </c>
      <c r="B1575">
        <v>7</v>
      </c>
      <c r="C1575">
        <v>2012</v>
      </c>
      <c r="D1575" s="3" t="str">
        <f>B1575&amp;"/"&amp;A1575&amp;"/"&amp;C1575</f>
        <v>7/29/2012</v>
      </c>
      <c r="E1575">
        <v>0.29166666666666669</v>
      </c>
      <c r="F1575" t="str">
        <f>I1575&amp;" "&amp;J1575&amp;" "&amp;K1575&amp;" "&amp;L1575&amp;" "&amp;M1575&amp;" "&amp;N1575</f>
        <v>Terry and Andy for dinner </v>
      </c>
      <c r="G1575" t="s">
        <f>TEXT(D1575,"mmm dd")</f>
        <v>705</v>
      </c>
      <c r="I1575" t="s">
        <v>1917</v>
      </c>
      <c r="J1575" t="s">
        <v>135</v>
      </c>
      <c r="K1575" t="s">
        <v>1918</v>
      </c>
      <c r="L1575" t="s">
        <v>439</v>
      </c>
      <c r="M1575" t="s">
        <v>517</v>
      </c>
    </row>
    <row r="1576" spans="1:23">
      <c r="A1576">
        <v>30</v>
      </c>
      <c r="B1576">
        <v>7</v>
      </c>
      <c r="C1576">
        <v>2012</v>
      </c>
      <c r="D1576" s="3" t="s">
        <f>B1576&amp;"/"&amp;A1576&amp;"/"&amp;C1576</f>
        <v>2010</v>
      </c>
      <c r="E1576" t="s">
        <v>42</v>
      </c>
      <c r="F1576" t="str">
        <f>I1576&amp;" "&amp;J1576&amp;" "&amp;K1576&amp;" "&amp;L1576&amp;" "&amp;M1576&amp;" "&amp;N1576</f>
        <v>Lucy for more forms  </v>
      </c>
      <c r="G1576" t="s">
        <f>TEXT(D1576,"mmm dd")</f>
        <v>709</v>
      </c>
      <c r="I1576" t="s">
        <v>2011</v>
      </c>
      <c r="J1576" t="s">
        <v>439</v>
      </c>
      <c r="K1576" t="inlineStr">
        <is>
          <t>more</t>
        </is>
      </c>
      <c r="L1576" t="inlineStr">
        <is>
          <t>forms</t>
        </is>
      </c>
    </row>
    <row r="1577" spans="1:23">
      <c r="A1577">
        <v>30</v>
      </c>
      <c r="B1577">
        <v>7</v>
      </c>
      <c r="C1577">
        <v>2012</v>
      </c>
      <c r="D1577" s="3" t="s">
        <f>B1577&amp;"/"&amp;A1577&amp;"/"&amp;C1577</f>
        <v>2010</v>
      </c>
      <c r="E1577" t="s">
        <v>42</v>
      </c>
      <c r="F1577" t="str">
        <f>I1577&amp;" "&amp;J1577&amp;" "&amp;K1577&amp;" "&amp;L1577&amp;" "&amp;M1577&amp;" "&amp;N1577</f>
        <v>Drug test    </v>
      </c>
      <c r="G1577" t="s">
        <f>TEXT(D1577,"mmm dd")</f>
        <v>709</v>
      </c>
      <c r="I1577" t="inlineStr">
        <is>
          <t>Drug</t>
        </is>
      </c>
      <c r="J1577" t="s">
        <v>768</v>
      </c>
    </row>
    <row r="1578" spans="1:23">
      <c r="A1578">
        <v>30</v>
      </c>
      <c r="B1578">
        <v>7</v>
      </c>
      <c r="C1578">
        <v>2012</v>
      </c>
      <c r="D1578" s="3" t="s">
        <f>B1578&amp;"/"&amp;A1578&amp;"/"&amp;C1578</f>
        <v>2010</v>
      </c>
      <c r="E1578" t="s">
        <v>42</v>
      </c>
      <c r="F1578" t="str">
        <f>I1578&amp;" "&amp;J1578&amp;" "&amp;K1578&amp;" "&amp;L1578&amp;" "&amp;M1578&amp;" "&amp;N1578</f>
        <v>Do window    </v>
      </c>
      <c r="G1578" t="s">
        <f>TEXT(D1578,"mmm dd")</f>
        <v>709</v>
      </c>
      <c r="I1578" t="s">
        <v>852</v>
      </c>
      <c r="J1578" t="s">
        <v>1963</v>
      </c>
    </row>
    <row r="1579" spans="1:23">
      <c r="A1579">
        <v>31</v>
      </c>
      <c r="B1579">
        <v>7</v>
      </c>
      <c r="C1579">
        <v>2012</v>
      </c>
      <c r="D1579" s="3" t="str">
        <f>B1579&amp;"/"&amp;A1579&amp;"/"&amp;C1579</f>
        <v>7/31/2012</v>
      </c>
      <c r="E1579">
        <v>1.0833333333333333</v>
      </c>
      <c r="F1579" t="str">
        <f>I1579&amp;" "&amp;J1579&amp;" "&amp;K1579&amp;" "&amp;L1579&amp;" "&amp;M1579&amp;" "&amp;N1579</f>
        <v>Joyce Samaritan Ctr   </v>
      </c>
      <c r="G1579" t="s">
        <f>TEXT(D1579,"mmm dd")</f>
        <v>714</v>
      </c>
      <c r="I1579" t="s">
        <v>1892</v>
      </c>
      <c r="J1579" t="inlineStr">
        <is>
          <t>Samaritan</t>
        </is>
      </c>
      <c r="K1579" t="inlineStr">
        <is>
          <t>Ctr</t>
        </is>
      </c>
    </row>
    <row r="1580" spans="1:23">
      <c r="A1580">
        <v>1</v>
      </c>
      <c r="B1580">
        <v>8</v>
      </c>
      <c r="C1580">
        <v>2012</v>
      </c>
      <c r="D1580" s="3" t="s">
        <f>B1580&amp;"/"&amp;A1580&amp;"/"&amp;C1580</f>
        <v>2012</v>
      </c>
      <c r="E1580">
        <v>1.0833333333333333</v>
      </c>
      <c r="F1580" t="s">
        <f>I1580&amp;" "&amp;J1580&amp;" "&amp;K1580&amp;" "&amp;L1580&amp;" "&amp;M1580&amp;" "&amp;N1580</f>
        <v>2013</v>
      </c>
      <c r="G1580" t="s">
        <f>TEXT(D1580,"mmm dd")</f>
        <v>1357</v>
      </c>
      <c r="I1580" t="s">
        <v>2014</v>
      </c>
    </row>
    <row r="1581" spans="1:23">
      <c r="A1581">
        <v>1</v>
      </c>
      <c r="B1581">
        <v>8</v>
      </c>
      <c r="C1581">
        <v>2012</v>
      </c>
      <c r="D1581" s="3" t="s">
        <f>B1581&amp;"/"&amp;A1581&amp;"/"&amp;C1581</f>
        <v>2012</v>
      </c>
      <c r="E1581">
        <v>0.29166666666666669</v>
      </c>
      <c r="F1581" t="str">
        <f>I1581&amp;" "&amp;J1581&amp;" "&amp;K1581&amp;" "&amp;L1581&amp;" "&amp;M1581&amp;" "&amp;N1581</f>
        <v>George to dinner   </v>
      </c>
      <c r="G1581" t="s">
        <f>TEXT(D1581,"mmm dd")</f>
        <v>1357</v>
      </c>
      <c r="I1581" t="s">
        <v>162</v>
      </c>
      <c r="J1581" t="s">
        <v>449</v>
      </c>
      <c r="K1581" t="s">
        <v>517</v>
      </c>
    </row>
    <row r="1582" spans="1:23">
      <c r="A1582">
        <v>2</v>
      </c>
      <c r="B1582">
        <v>8</v>
      </c>
      <c r="C1582">
        <v>2012</v>
      </c>
      <c r="D1582" s="3" t="s">
        <f>B1582&amp;"/"&amp;A1582&amp;"/"&amp;C1582</f>
        <v>2015</v>
      </c>
      <c r="E1582" t="s">
        <v>42</v>
      </c>
      <c r="F1582" t="str">
        <f>I1582&amp;" "&amp;J1582&amp;" "&amp;K1582&amp;" "&amp;L1582&amp;" "&amp;M1582&amp;" "&amp;N1582</f>
        <v>MP former student visit  </v>
      </c>
      <c r="G1582" t="s">
        <f>TEXT(D1582,"mmm dd")</f>
        <v>724</v>
      </c>
      <c r="I1582" t="s">
        <v>1664</v>
      </c>
      <c r="J1582" t="inlineStr">
        <is>
          <t>former</t>
        </is>
      </c>
      <c r="K1582" t="s">
        <v>2016</v>
      </c>
      <c r="L1582" t="s">
        <v>1230</v>
      </c>
    </row>
    <row r="1583" spans="1:23">
      <c r="A1583">
        <v>2</v>
      </c>
      <c r="B1583">
        <v>8</v>
      </c>
      <c r="C1583">
        <v>2012</v>
      </c>
      <c r="D1583" s="3" t="s">
        <f>B1583&amp;"/"&amp;A1583&amp;"/"&amp;C1583</f>
        <v>2015</v>
      </c>
      <c r="E1583" t="s">
        <v>42</v>
      </c>
      <c r="F1583" t="str">
        <f>I1583&amp;" "&amp;J1583&amp;" "&amp;K1583&amp;" "&amp;L1583&amp;" "&amp;M1583&amp;" "&amp;N1583</f>
        <v>Maui pt 2   </v>
      </c>
      <c r="G1583" t="s">
        <f>TEXT(D1583,"mmm dd")</f>
        <v>724</v>
      </c>
      <c r="I1583" t="s">
        <v>1186</v>
      </c>
      <c r="J1583" t="s">
        <v>2007</v>
      </c>
      <c r="K1583">
        <v>2</v>
      </c>
    </row>
    <row r="1584" spans="1:23">
      <c r="A1584">
        <v>2</v>
      </c>
      <c r="B1584">
        <v>8</v>
      </c>
      <c r="C1584">
        <v>2012</v>
      </c>
      <c r="D1584" s="3" t="s">
        <f>B1584&amp;"/"&amp;A1584&amp;"/"&amp;C1584</f>
        <v>2015</v>
      </c>
      <c r="E1584">
        <v>0.22916666666666666</v>
      </c>
      <c r="F1584" t="str">
        <f>I1584&amp;" "&amp;J1584&amp;" "&amp;K1584&amp;" "&amp;L1584&amp;" "&amp;M1584&amp;" "&amp;N1584</f>
        <v>Ralph Carol for dinner piano </v>
      </c>
      <c r="G1584" t="s">
        <f>TEXT(D1584,"mmm dd")</f>
        <v>724</v>
      </c>
      <c r="I1584" t="s">
        <v>2017</v>
      </c>
      <c r="J1584" t="s">
        <v>1750</v>
      </c>
      <c r="K1584" t="s">
        <v>439</v>
      </c>
      <c r="L1584" t="s">
        <v>517</v>
      </c>
      <c r="M1584" t="s">
        <v>1983</v>
      </c>
    </row>
    <row r="1585" spans="1:23">
      <c r="A1585">
        <v>3</v>
      </c>
      <c r="B1585">
        <v>8</v>
      </c>
      <c r="C1585">
        <v>2012</v>
      </c>
      <c r="D1585" s="3" t="s">
        <f>B1585&amp;"/"&amp;A1585&amp;"/"&amp;C1585</f>
        <v>2018</v>
      </c>
      <c r="E1585" t="s">
        <v>42</v>
      </c>
      <c r="F1585" t="str">
        <f>I1585&amp;" "&amp;J1585&amp;" "&amp;K1585&amp;" "&amp;L1585&amp;" "&amp;M1585&amp;" "&amp;N1585</f>
        <v>Miriam Lee Maui wedding  </v>
      </c>
      <c r="G1585" t="s">
        <f>TEXT(D1585,"mmm dd")</f>
        <v>2019</v>
      </c>
      <c r="I1585" t="s">
        <v>1992</v>
      </c>
      <c r="J1585" t="s">
        <v>2020</v>
      </c>
      <c r="K1585" t="s">
        <v>1186</v>
      </c>
      <c r="L1585" t="s">
        <v>861</v>
      </c>
    </row>
    <row r="1586" spans="1:23">
      <c r="A1586">
        <v>3</v>
      </c>
      <c r="B1586">
        <v>8</v>
      </c>
      <c r="C1586">
        <v>2012</v>
      </c>
      <c r="D1586" s="3" t="s">
        <f>B1586&amp;"/"&amp;A1586&amp;"/"&amp;C1586</f>
        <v>2018</v>
      </c>
      <c r="E1586">
        <v>0.20833333333333334</v>
      </c>
      <c r="F1586" t="s">
        <f>I1586&amp;" "&amp;J1586&amp;" "&amp;K1586&amp;" "&amp;L1586&amp;" "&amp;M1586&amp;" "&amp;N1586</f>
        <v>2021</v>
      </c>
      <c r="G1586" t="s">
        <f>TEXT(D1586,"mmm dd")</f>
        <v>2019</v>
      </c>
      <c r="I1586" t="s">
        <v>1743</v>
      </c>
    </row>
    <row r="1587" spans="1:23">
      <c r="A1587">
        <v>4</v>
      </c>
      <c r="B1587">
        <v>8</v>
      </c>
      <c r="C1587">
        <v>2012</v>
      </c>
      <c r="D1587" s="3" t="str">
        <f>B1587&amp;"/"&amp;A1587&amp;"/"&amp;C1587</f>
        <v>8/4/2012</v>
      </c>
      <c r="E1587">
        <v>0.95833333333333337</v>
      </c>
      <c r="F1587" t="str">
        <f>I1587&amp;" "&amp;J1587&amp;" "&amp;K1587&amp;" "&amp;L1587&amp;" "&amp;M1587&amp;" "&amp;N1587</f>
        <v>Bishop Tutu    </v>
      </c>
      <c r="G1587" t="s">
        <f>TEXT(D1587,"mmm dd")</f>
        <v>1603</v>
      </c>
      <c r="I1587" t="s">
        <v>85</v>
      </c>
      <c r="J1587" t="s">
        <v>2022</v>
      </c>
    </row>
    <row r="1588" spans="1:23">
      <c r="A1588">
        <v>6</v>
      </c>
      <c r="B1588">
        <v>8</v>
      </c>
      <c r="C1588">
        <v>2012</v>
      </c>
      <c r="D1588" s="3" t="str">
        <f>B1588&amp;"/"&amp;A1588&amp;"/"&amp;C1588</f>
        <v>8/6/2012</v>
      </c>
      <c r="E1588">
        <v>0.875</v>
      </c>
      <c r="F1588" t="str">
        <f>I1588&amp;" "&amp;J1588&amp;" "&amp;K1588&amp;" "&amp;L1588&amp;" "&amp;M1588&amp;" "&amp;N1588</f>
        <v>Drive around island   </v>
      </c>
      <c r="G1588" t="s">
        <f>TEXT(D1588,"mmm dd")</f>
        <v>1362</v>
      </c>
      <c r="I1588" t="s">
        <v>1733</v>
      </c>
      <c r="J1588" t="inlineStr">
        <is>
          <t>around</t>
        </is>
      </c>
      <c r="K1588" t="s">
        <v>2023</v>
      </c>
    </row>
    <row r="1589" spans="1:23">
      <c r="A1589">
        <v>7</v>
      </c>
      <c r="B1589">
        <v>8</v>
      </c>
      <c r="C1589">
        <v>2012</v>
      </c>
      <c r="D1589" s="3" t="s">
        <f>B1589&amp;"/"&amp;A1589&amp;"/"&amp;C1589</f>
        <v>2024</v>
      </c>
      <c r="E1589">
        <v>1.0833333333333333</v>
      </c>
      <c r="F1589" t="str">
        <f>I1589&amp;" "&amp;J1589&amp;" "&amp;K1589&amp;" "&amp;L1589&amp;" "&amp;M1589&amp;" "&amp;N1589</f>
        <v>Chaminade     </v>
      </c>
      <c r="G1589" t="s">
        <f>TEXT(D1589,"mmm dd")</f>
        <v>1605</v>
      </c>
      <c r="I1589" t="s">
        <v>1331</v>
      </c>
    </row>
    <row r="1590" spans="1:23">
      <c r="A1590">
        <v>7</v>
      </c>
      <c r="B1590">
        <v>8</v>
      </c>
      <c r="C1590">
        <v>2012</v>
      </c>
      <c r="D1590" s="3" t="s">
        <f>B1590&amp;"/"&amp;A1590&amp;"/"&amp;C1590</f>
        <v>2024</v>
      </c>
      <c r="E1590">
        <v>1.0208333333333333</v>
      </c>
      <c r="F1590" t="str">
        <f>I1590&amp;" "&amp;J1590&amp;" "&amp;K1590&amp;" "&amp;L1590&amp;" "&amp;M1590&amp;" "&amp;N1590</f>
        <v>Arthur Murray    </v>
      </c>
      <c r="G1590" t="s">
        <f>TEXT(D1590,"mmm dd")</f>
        <v>1605</v>
      </c>
      <c r="I1590" t="s">
        <v>1946</v>
      </c>
      <c r="J1590" t="s">
        <v>1008</v>
      </c>
    </row>
    <row r="1591" spans="1:23">
      <c r="A1591">
        <v>8</v>
      </c>
      <c r="B1591">
        <v>8</v>
      </c>
      <c r="C1591">
        <v>2012</v>
      </c>
      <c r="D1591" s="3" t="s">
        <f>B1591&amp;"/"&amp;A1591&amp;"/"&amp;C1591</f>
        <v>2025</v>
      </c>
      <c r="E1591">
        <v>0.95833333333333337</v>
      </c>
      <c r="F1591" t="str">
        <f>I1591&amp;" "&amp;J1591&amp;" "&amp;K1591&amp;" "&amp;L1591&amp;" "&amp;M1591&amp;" "&amp;N1591</f>
        <v>MP to Beta   </v>
      </c>
      <c r="G1591" t="s">
        <f>TEXT(D1591,"mmm dd")</f>
        <v>1366</v>
      </c>
      <c r="I1591" t="s">
        <v>1664</v>
      </c>
      <c r="J1591" t="s">
        <v>449</v>
      </c>
      <c r="K1591" t="inlineStr">
        <is>
          <t>Beta</t>
        </is>
      </c>
    </row>
    <row r="1592" spans="1:23">
      <c r="A1592">
        <v>8</v>
      </c>
      <c r="B1592">
        <v>8</v>
      </c>
      <c r="C1592">
        <v>2012</v>
      </c>
      <c r="D1592" s="3" t="s">
        <f>B1592&amp;"/"&amp;A1592&amp;"/"&amp;C1592</f>
        <v>2025</v>
      </c>
      <c r="E1592" t="s">
        <v>42</v>
      </c>
      <c r="F1592" t="str">
        <f>I1592&amp;" "&amp;J1592&amp;" "&amp;K1592&amp;" "&amp;L1592&amp;" "&amp;M1592&amp;" "&amp;N1592</f>
        <v>Ralph Carol gone   </v>
      </c>
      <c r="G1592" t="s">
        <f>TEXT(D1592,"mmm dd")</f>
        <v>1366</v>
      </c>
      <c r="I1592" t="s">
        <v>2017</v>
      </c>
      <c r="J1592" t="s">
        <v>1750</v>
      </c>
      <c r="K1592" t="inlineStr">
        <is>
          <t>gone</t>
        </is>
      </c>
    </row>
    <row r="1593" spans="1:23">
      <c r="A1593">
        <v>8</v>
      </c>
      <c r="B1593">
        <v>8</v>
      </c>
      <c r="C1593">
        <v>2012</v>
      </c>
      <c r="D1593" s="3" t="s">
        <f>B1593&amp;"/"&amp;A1593&amp;"/"&amp;C1593</f>
        <v>2025</v>
      </c>
      <c r="E1593">
        <v>1.0416666666666667</v>
      </c>
      <c r="F1593" t="str">
        <f>I1593&amp;" "&amp;J1593&amp;" "&amp;K1593&amp;" "&amp;L1593&amp;" "&amp;M1593&amp;" "&amp;N1593</f>
        <v>Meet with Danny time?  </v>
      </c>
      <c r="G1593" t="s">
        <f>TEXT(D1593,"mmm dd")</f>
        <v>1366</v>
      </c>
      <c r="I1593" t="s">
        <v>300</v>
      </c>
      <c r="J1593" t="s">
        <v>755</v>
      </c>
      <c r="K1593" t="s">
        <v>2026</v>
      </c>
      <c r="L1593" t="s">
        <v>537</v>
      </c>
    </row>
    <row r="1594" spans="1:23">
      <c r="A1594">
        <v>9</v>
      </c>
      <c r="B1594">
        <v>8</v>
      </c>
      <c r="C1594">
        <v>2012</v>
      </c>
      <c r="D1594" s="3" t="str">
        <f>B1594&amp;"/"&amp;A1594&amp;"/"&amp;C1594</f>
        <v>8/9/2012</v>
      </c>
      <c r="E1594">
        <v>0.98958333333333337</v>
      </c>
      <c r="F1594" t="str">
        <f>I1594&amp;" "&amp;J1594&amp;" "&amp;K1594&amp;" "&amp;L1594&amp;" "&amp;M1594&amp;" "&amp;N1594</f>
        <v>MP to doe   </v>
      </c>
      <c r="G1594" t="s">
        <f>TEXT(D1594,"mmm dd")</f>
        <v>729</v>
      </c>
      <c r="I1594" t="s">
        <v>1664</v>
      </c>
      <c r="J1594" t="s">
        <v>449</v>
      </c>
      <c r="K1594" t="s">
        <v>2027</v>
      </c>
    </row>
    <row r="1595" spans="1:23">
      <c r="A1595">
        <v>10</v>
      </c>
      <c r="B1595">
        <v>8</v>
      </c>
      <c r="C1595">
        <v>2012</v>
      </c>
      <c r="D1595" s="3" t="str">
        <f>B1595&amp;"/"&amp;A1595&amp;"/"&amp;C1595</f>
        <v>8/10/2012</v>
      </c>
      <c r="E1595">
        <v>1</v>
      </c>
      <c r="F1595" t="str">
        <f>I1595&amp;" "&amp;J1595&amp;" "&amp;K1595&amp;" "&amp;L1595&amp;" "&amp;M1595&amp;" "&amp;N1595</f>
        <v>End of Summer lunch  </v>
      </c>
      <c r="G1595" t="s">
        <f>TEXT(D1595,"mmm dd")</f>
        <v>734</v>
      </c>
      <c r="I1595" t="s">
        <v>1631</v>
      </c>
      <c r="J1595" t="s">
        <v>86</v>
      </c>
      <c r="K1595" t="s">
        <v>503</v>
      </c>
      <c r="L1595" t="s">
        <v>440</v>
      </c>
    </row>
    <row r="1596" spans="1:23">
      <c r="A1596">
        <v>11</v>
      </c>
      <c r="B1596">
        <v>8</v>
      </c>
      <c r="C1596">
        <v>2012</v>
      </c>
      <c r="D1596" s="3" t="s">
        <f>B1596&amp;"/"&amp;A1596&amp;"/"&amp;C1596</f>
        <v>2028</v>
      </c>
      <c r="E1596">
        <v>0.35416666666666669</v>
      </c>
      <c r="F1596" t="str">
        <f>I1596&amp;" "&amp;J1596&amp;" "&amp;K1596&amp;" "&amp;L1596&amp;" "&amp;M1596&amp;" "&amp;N1596</f>
        <v>Party dance    </v>
      </c>
      <c r="G1596" t="s">
        <f>TEXT(D1596,"mmm dd")</f>
        <v>744</v>
      </c>
      <c r="I1596" t="s">
        <v>1052</v>
      </c>
      <c r="J1596" t="s">
        <v>969</v>
      </c>
    </row>
    <row r="1597" spans="1:23">
      <c r="A1597">
        <v>11</v>
      </c>
      <c r="B1597">
        <v>8</v>
      </c>
      <c r="C1597">
        <v>2012</v>
      </c>
      <c r="D1597" s="3" t="s">
        <f>B1597&amp;"/"&amp;A1597&amp;"/"&amp;C1597</f>
        <v>2028</v>
      </c>
      <c r="E1597">
        <v>1.0416666666666667</v>
      </c>
      <c r="F1597" t="str">
        <f>I1597&amp;" "&amp;J1597&amp;" "&amp;K1597&amp;" "&amp;L1597&amp;" "&amp;M1597&amp;" "&amp;N1597</f>
        <v>Election day.    </v>
      </c>
      <c r="G1597" t="s">
        <f>TEXT(D1597,"mmm dd")</f>
        <v>744</v>
      </c>
      <c r="I1597" t="s">
        <v>934</v>
      </c>
      <c r="J1597" t="inlineStr">
        <is>
          <t>day.</t>
        </is>
      </c>
    </row>
    <row r="1598" spans="1:23">
      <c r="A1598">
        <v>11</v>
      </c>
      <c r="B1598">
        <v>8</v>
      </c>
      <c r="C1598">
        <v>2012</v>
      </c>
      <c r="D1598" s="3" t="s">
        <f>B1598&amp;"/"&amp;A1598&amp;"/"&amp;C1598</f>
        <v>2028</v>
      </c>
      <c r="E1598">
        <v>0.95833333333333337</v>
      </c>
      <c r="F1598" t="str">
        <f>I1598&amp;" "&amp;J1598&amp;" "&amp;K1598&amp;" "&amp;L1598&amp;" "&amp;M1598&amp;" "&amp;N1598</f>
        <v>MP to Waipio   </v>
      </c>
      <c r="G1598" t="s">
        <f>TEXT(D1598,"mmm dd")</f>
        <v>744</v>
      </c>
      <c r="I1598" t="s">
        <v>1664</v>
      </c>
      <c r="J1598" t="s">
        <v>449</v>
      </c>
      <c r="K1598" t="s">
        <v>269</v>
      </c>
    </row>
    <row r="1599" spans="1:23">
      <c r="A1599">
        <v>12</v>
      </c>
      <c r="B1599">
        <v>8</v>
      </c>
      <c r="C1599">
        <v>2012</v>
      </c>
      <c r="D1599" s="3" t="s">
        <f>B1599&amp;"/"&amp;A1599&amp;"/"&amp;C1599</f>
        <v>2029</v>
      </c>
      <c r="E1599">
        <v>0.625</v>
      </c>
      <c r="F1599" t="str">
        <f>I1599&amp;" "&amp;J1599&amp;" "&amp;K1599&amp;" "&amp;L1599&amp;" "&amp;M1599&amp;" "&amp;N1599</f>
        <v>Perseids     </v>
      </c>
      <c r="G1599" t="s">
        <f>TEXT(D1599,"mmm dd")</f>
        <v>750</v>
      </c>
      <c r="I1599" t="inlineStr">
        <is>
          <t>Perseids</t>
        </is>
      </c>
    </row>
    <row r="1600" spans="1:23">
      <c r="A1600">
        <v>12</v>
      </c>
      <c r="B1600">
        <v>8</v>
      </c>
      <c r="C1600">
        <v>2012</v>
      </c>
      <c r="D1600" s="3" t="s">
        <f>B1600&amp;"/"&amp;A1600&amp;"/"&amp;C1600</f>
        <v>2029</v>
      </c>
      <c r="E1600" t="s">
        <v>42</v>
      </c>
      <c r="F1600" t="s">
        <f>I1600&amp;" "&amp;J1600&amp;" "&amp;K1600&amp;" "&amp;L1600&amp;" "&amp;M1600&amp;" "&amp;N1600</f>
        <v>911</v>
      </c>
      <c r="G1600" t="s">
        <f>TEXT(D1600,"mmm dd")</f>
        <v>750</v>
      </c>
      <c r="I1600" t="s">
        <v>46</v>
      </c>
      <c r="J1600" t="s">
        <v>913</v>
      </c>
    </row>
    <row r="1601" spans="1:23">
      <c r="A1601">
        <v>13</v>
      </c>
      <c r="B1601">
        <v>8</v>
      </c>
      <c r="C1601">
        <v>2012</v>
      </c>
      <c r="D1601" s="3" t="str">
        <f>B1601&amp;"/"&amp;A1601&amp;"/"&amp;C1601</f>
        <v>8/13/2012</v>
      </c>
      <c r="E1601">
        <v>0.27083333333333331</v>
      </c>
      <c r="F1601" t="str">
        <f>I1601&amp;" "&amp;J1601&amp;" "&amp;K1601&amp;" "&amp;L1601&amp;" "&amp;M1601&amp;" "&amp;N1601</f>
        <v>Kapono and Richard   </v>
      </c>
      <c r="G1601" t="s">
        <f>TEXT(D1601,"mmm dd")</f>
        <v>754</v>
      </c>
      <c r="I1601" t="s">
        <v>1815</v>
      </c>
      <c r="J1601" t="s">
        <v>135</v>
      </c>
      <c r="K1601" t="s">
        <v>2030</v>
      </c>
    </row>
    <row r="1602" spans="1:23">
      <c r="A1602">
        <v>14</v>
      </c>
      <c r="B1602">
        <v>8</v>
      </c>
      <c r="C1602">
        <v>2012</v>
      </c>
      <c r="D1602" s="3" t="s">
        <f>B1602&amp;"/"&amp;A1602&amp;"/"&amp;C1602</f>
        <v>2031</v>
      </c>
      <c r="E1602">
        <v>0.95833333333333337</v>
      </c>
      <c r="F1602" t="str">
        <f>I1602&amp;" "&amp;J1602&amp;" "&amp;K1602&amp;" "&amp;L1602&amp;" "&amp;M1602&amp;" "&amp;N1602</f>
        <v>MP publisher's rep (time?)  </v>
      </c>
      <c r="G1602" t="s">
        <f>TEXT(D1602,"mmm dd")</f>
        <v>760</v>
      </c>
      <c r="I1602" t="s">
        <v>1664</v>
      </c>
      <c r="J1602" t="inlineStr">
        <is>
          <t>publisher's</t>
        </is>
      </c>
      <c r="K1602" t="inlineStr">
        <is>
          <t>rep</t>
        </is>
      </c>
      <c r="L1602" t="s">
        <v>2032</v>
      </c>
    </row>
    <row r="1603" spans="1:23">
      <c r="A1603">
        <v>14</v>
      </c>
      <c r="B1603">
        <v>8</v>
      </c>
      <c r="C1603">
        <v>2012</v>
      </c>
      <c r="D1603" s="3" t="s">
        <f>B1603&amp;"/"&amp;A1603&amp;"/"&amp;C1603</f>
        <v>2031</v>
      </c>
      <c r="E1603">
        <v>1.0833333333333333</v>
      </c>
      <c r="F1603" t="s">
        <f>I1603&amp;" "&amp;J1603&amp;" "&amp;K1603&amp;" "&amp;L1603&amp;" "&amp;M1603&amp;" "&amp;N1603</f>
        <v>2033</v>
      </c>
      <c r="G1603" t="s">
        <f>TEXT(D1603,"mmm dd")</f>
        <v>760</v>
      </c>
      <c r="I1603" t="s">
        <v>1892</v>
      </c>
    </row>
    <row r="1604" spans="1:23">
      <c r="A1604">
        <v>14</v>
      </c>
      <c r="B1604">
        <v>8</v>
      </c>
      <c r="C1604">
        <v>2012</v>
      </c>
      <c r="D1604" s="3" t="s">
        <f>B1604&amp;"/"&amp;A1604&amp;"/"&amp;C1604</f>
        <v>2031</v>
      </c>
      <c r="E1604">
        <v>0.20833333333333334</v>
      </c>
      <c r="F1604" t="s">
        <f>I1604&amp;" "&amp;J1604&amp;" "&amp;K1604&amp;" "&amp;L1604&amp;" "&amp;M1604&amp;" "&amp;N1604</f>
        <v>1949</v>
      </c>
      <c r="G1604" t="s">
        <f>TEXT(D1604,"mmm dd")</f>
        <v>760</v>
      </c>
      <c r="I1604" t="s">
        <v>1950</v>
      </c>
    </row>
    <row r="1605" spans="1:23">
      <c r="A1605">
        <v>15</v>
      </c>
      <c r="B1605">
        <v>8</v>
      </c>
      <c r="C1605">
        <v>2012</v>
      </c>
      <c r="D1605" s="3" t="s">
        <f>B1605&amp;"/"&amp;A1605&amp;"/"&amp;C1605</f>
        <v>2034</v>
      </c>
      <c r="E1605">
        <v>1.1041666666666667</v>
      </c>
      <c r="F1605" t="str">
        <f>I1605&amp;" "&amp;J1605&amp;" "&amp;K1605&amp;" "&amp;L1605&amp;" "&amp;M1605&amp;" "&amp;N1605</f>
        <v>Dryer vent cleaning (time?)  </v>
      </c>
      <c r="G1605" t="s">
        <f>TEXT(D1605,"mmm dd")</f>
        <v>776</v>
      </c>
      <c r="I1605" t="inlineStr">
        <is>
          <t>Dryer</t>
        </is>
      </c>
      <c r="J1605" t="inlineStr">
        <is>
          <t>vent</t>
        </is>
      </c>
      <c r="K1605" t="s">
        <v>2035</v>
      </c>
      <c r="L1605" t="s">
        <v>2032</v>
      </c>
    </row>
    <row r="1606" spans="1:23">
      <c r="A1606">
        <v>15</v>
      </c>
      <c r="B1606">
        <v>8</v>
      </c>
      <c r="C1606">
        <v>2012</v>
      </c>
      <c r="D1606" s="3" t="s">
        <f>B1606&amp;"/"&amp;A1606&amp;"/"&amp;C1606</f>
        <v>2034</v>
      </c>
      <c r="E1606">
        <v>0.29166666666666669</v>
      </c>
      <c r="F1606" t="s">
        <f>I1606&amp;" "&amp;J1606&amp;" "&amp;K1606&amp;" "&amp;L1606&amp;" "&amp;M1606&amp;" "&amp;N1606</f>
        <v>2036</v>
      </c>
      <c r="G1606" t="s">
        <f>TEXT(D1606,"mmm dd")</f>
        <v>776</v>
      </c>
      <c r="I1606" t="s">
        <v>1757</v>
      </c>
      <c r="J1606" t="s">
        <v>2037</v>
      </c>
    </row>
    <row r="1607" spans="1:23">
      <c r="A1607">
        <v>16</v>
      </c>
      <c r="B1607">
        <v>8</v>
      </c>
      <c r="C1607">
        <v>2012</v>
      </c>
      <c r="D1607" s="3" t="s">
        <f>B1607&amp;"/"&amp;A1607&amp;"/"&amp;C1607</f>
        <v>2038</v>
      </c>
      <c r="E1607">
        <v>1</v>
      </c>
      <c r="F1607" t="str">
        <f>I1607&amp;" "&amp;J1607&amp;" "&amp;K1607&amp;" "&amp;L1607&amp;" "&amp;M1607&amp;" "&amp;N1607</f>
        <v>UH bookstore    </v>
      </c>
      <c r="G1607" t="s">
        <f>TEXT(D1607,"mmm dd")</f>
        <v>784</v>
      </c>
      <c r="I1607" t="s">
        <v>208</v>
      </c>
      <c r="J1607" t="inlineStr">
        <is>
          <t>bookstore</t>
        </is>
      </c>
    </row>
    <row r="1608" spans="1:23">
      <c r="A1608">
        <v>16</v>
      </c>
      <c r="B1608">
        <v>8</v>
      </c>
      <c r="C1608">
        <v>2012</v>
      </c>
      <c r="D1608" s="3" t="s">
        <f>B1608&amp;"/"&amp;A1608&amp;"/"&amp;C1608</f>
        <v>2038</v>
      </c>
      <c r="E1608">
        <v>0.91666666666666663</v>
      </c>
      <c r="F1608" t="str">
        <f>I1608&amp;" "&amp;J1608&amp;" "&amp;K1608&amp;" "&amp;L1608&amp;" "&amp;M1608&amp;" "&amp;N1608</f>
        <v>Bob Fitzpatrick    </v>
      </c>
      <c r="G1608" t="s">
        <f>TEXT(D1608,"mmm dd")</f>
        <v>784</v>
      </c>
      <c r="I1608" t="s">
        <v>2039</v>
      </c>
      <c r="J1608" t="inlineStr">
        <is>
          <t>Fitzpatrick</t>
        </is>
      </c>
    </row>
    <row r="1609" spans="1:23">
      <c r="A1609">
        <v>17</v>
      </c>
      <c r="B1609">
        <v>8</v>
      </c>
      <c r="C1609">
        <v>2012</v>
      </c>
      <c r="D1609" s="3" t="str">
        <f>B1609&amp;"/"&amp;A1609&amp;"/"&amp;C1609</f>
        <v>8/17/2012</v>
      </c>
      <c r="E1609">
        <v>0.83333333333333337</v>
      </c>
      <c r="F1609" t="str">
        <f>I1609&amp;" "&amp;J1609&amp;" "&amp;K1609&amp;" "&amp;L1609&amp;" "&amp;M1609&amp;" "&amp;N1609</f>
        <v>Centering at Mystical Rose  </v>
      </c>
      <c r="G1609" t="s">
        <f>TEXT(D1609,"mmm dd")</f>
        <v>793</v>
      </c>
      <c r="I1609" t="s">
        <v>1282</v>
      </c>
      <c r="J1609" t="s">
        <v>53</v>
      </c>
      <c r="K1609" t="s">
        <v>1936</v>
      </c>
      <c r="L1609" t="s">
        <v>127</v>
      </c>
    </row>
    <row r="1610" spans="1:23">
      <c r="A1610">
        <v>18</v>
      </c>
      <c r="B1610">
        <v>8</v>
      </c>
      <c r="C1610">
        <v>2012</v>
      </c>
      <c r="D1610" s="3" t="s">
        <f>B1610&amp;"/"&amp;A1610&amp;"/"&amp;C1610</f>
        <v>2040</v>
      </c>
      <c r="E1610">
        <v>1</v>
      </c>
      <c r="F1610" t="str">
        <f>I1610&amp;" "&amp;J1610&amp;" "&amp;K1610&amp;" "&amp;L1610&amp;" "&amp;M1610&amp;" "&amp;N1610</f>
        <v>Day of Prayer   </v>
      </c>
      <c r="G1610" t="s">
        <f>TEXT(D1610,"mmm dd")</f>
        <v>2041</v>
      </c>
      <c r="I1610" t="s">
        <v>10</v>
      </c>
      <c r="J1610" t="s">
        <v>86</v>
      </c>
      <c r="K1610" t="s">
        <v>1283</v>
      </c>
    </row>
    <row r="1611" spans="1:23">
      <c r="A1611">
        <v>18</v>
      </c>
      <c r="B1611">
        <v>8</v>
      </c>
      <c r="C1611">
        <v>2012</v>
      </c>
      <c r="D1611" s="3" t="s">
        <f>B1611&amp;"/"&amp;A1611&amp;"/"&amp;C1611</f>
        <v>2040</v>
      </c>
      <c r="E1611">
        <v>0.875</v>
      </c>
      <c r="F1611" t="s">
        <f>I1611&amp;" "&amp;J1611&amp;" "&amp;K1611&amp;" "&amp;L1611&amp;" "&amp;M1611&amp;" "&amp;N1611</f>
        <v>1602</v>
      </c>
      <c r="G1611" t="s">
        <f>TEXT(D1611,"mmm dd")</f>
        <v>2041</v>
      </c>
      <c r="I1611" t="s">
        <v>1121</v>
      </c>
      <c r="J1611" t="s">
        <v>1081</v>
      </c>
    </row>
    <row r="1612" spans="1:23">
      <c r="A1612">
        <v>19</v>
      </c>
      <c r="B1612">
        <v>8</v>
      </c>
      <c r="C1612">
        <v>2012</v>
      </c>
      <c r="D1612" s="3" t="s">
        <f>B1612&amp;"/"&amp;A1612&amp;"/"&amp;C1612</f>
        <v>2042</v>
      </c>
      <c r="E1612">
        <v>0.35416666666666669</v>
      </c>
      <c r="F1612" t="s">
        <f>I1612&amp;" "&amp;J1612&amp;" "&amp;K1612&amp;" "&amp;L1612&amp;" "&amp;M1612&amp;" "&amp;N1612</f>
        <v>1942</v>
      </c>
      <c r="G1612" t="s">
        <f>TEXT(D1612,"mmm dd")</f>
        <v>805</v>
      </c>
      <c r="I1612" t="s">
        <v>838</v>
      </c>
    </row>
    <row r="1613" spans="1:23">
      <c r="A1613">
        <v>19</v>
      </c>
      <c r="B1613">
        <v>8</v>
      </c>
      <c r="C1613">
        <v>2012</v>
      </c>
      <c r="D1613" s="3" t="s">
        <f>B1613&amp;"/"&amp;A1613&amp;"/"&amp;C1613</f>
        <v>2042</v>
      </c>
      <c r="E1613">
        <v>0.3125</v>
      </c>
      <c r="F1613" t="str">
        <f>I1613&amp;" "&amp;J1613&amp;" "&amp;K1613&amp;" "&amp;L1613&amp;" "&amp;M1613&amp;" "&amp;N1613</f>
        <v>Cook     </v>
      </c>
      <c r="G1613" t="s">
        <f>TEXT(D1613,"mmm dd")</f>
        <v>805</v>
      </c>
      <c r="I1613" t="inlineStr">
        <is>
          <t>Cook</t>
        </is>
      </c>
    </row>
    <row r="1614" spans="1:23">
      <c r="A1614">
        <v>19</v>
      </c>
      <c r="B1614">
        <v>8</v>
      </c>
      <c r="C1614">
        <v>2012</v>
      </c>
      <c r="D1614" s="3" t="s">
        <f>B1614&amp;"/"&amp;A1614&amp;"/"&amp;C1614</f>
        <v>2042</v>
      </c>
      <c r="E1614">
        <v>0.125</v>
      </c>
      <c r="F1614" t="str">
        <f>I1614&amp;" "&amp;J1614&amp;" "&amp;K1614&amp;" "&amp;L1614&amp;" "&amp;M1614&amp;" "&amp;N1614</f>
        <v>Ward Warehouse    </v>
      </c>
      <c r="G1614" t="s">
        <f>TEXT(D1614,"mmm dd")</f>
        <v>805</v>
      </c>
      <c r="I1614" t="inlineStr">
        <is>
          <t>Ward</t>
        </is>
      </c>
      <c r="J1614" t="inlineStr">
        <is>
          <t>Warehouse</t>
        </is>
      </c>
    </row>
    <row r="1615" spans="1:23">
      <c r="A1615">
        <v>19</v>
      </c>
      <c r="B1615">
        <v>8</v>
      </c>
      <c r="C1615">
        <v>2012</v>
      </c>
      <c r="D1615" s="3" t="s">
        <f>B1615&amp;"/"&amp;A1615&amp;"/"&amp;C1615</f>
        <v>2042</v>
      </c>
      <c r="E1615">
        <v>0.20833333333333334</v>
      </c>
      <c r="F1615" t="str">
        <f>I1615&amp;" "&amp;J1615&amp;" "&amp;K1615&amp;" "&amp;L1615&amp;" "&amp;M1615&amp;" "&amp;N1615</f>
        <v>Hang pictures    </v>
      </c>
      <c r="G1615" t="s">
        <f>TEXT(D1615,"mmm dd")</f>
        <v>805</v>
      </c>
      <c r="I1615" t="inlineStr">
        <is>
          <t>Hang</t>
        </is>
      </c>
      <c r="J1615" t="s">
        <v>2043</v>
      </c>
    </row>
    <row r="1616" spans="1:23">
      <c r="A1616">
        <v>20</v>
      </c>
      <c r="B1616">
        <v>8</v>
      </c>
      <c r="C1616">
        <v>2012</v>
      </c>
      <c r="D1616" s="3" t="s">
        <f>B1616&amp;"/"&amp;A1616&amp;"/"&amp;C1616</f>
        <v>2044</v>
      </c>
      <c r="E1616">
        <v>0.91666666666666663</v>
      </c>
      <c r="F1616" t="str">
        <f>I1616&amp;" "&amp;J1616&amp;" "&amp;K1616&amp;" "&amp;L1616&amp;" "&amp;M1616&amp;" "&amp;N1616</f>
        <v>MP to mass St. Anne's </v>
      </c>
      <c r="G1616" t="s">
        <f>TEXT(D1616,"mmm dd")</f>
        <v>812</v>
      </c>
      <c r="I1616" t="s">
        <v>1664</v>
      </c>
      <c r="J1616" t="s">
        <v>449</v>
      </c>
      <c r="K1616" t="s">
        <v>1774</v>
      </c>
      <c r="L1616" t="s">
        <v>218</v>
      </c>
      <c r="M1616" t="inlineStr">
        <is>
          <t>Anne's</t>
        </is>
      </c>
    </row>
    <row r="1617" spans="1:23">
      <c r="A1617">
        <v>20</v>
      </c>
      <c r="B1617">
        <v>8</v>
      </c>
      <c r="C1617">
        <v>2012</v>
      </c>
      <c r="D1617" s="3" t="s">
        <f>B1617&amp;"/"&amp;A1617&amp;"/"&amp;C1617</f>
        <v>2044</v>
      </c>
      <c r="E1617">
        <v>1.09375</v>
      </c>
      <c r="F1617" t="str">
        <f>I1617&amp;" "&amp;J1617&amp;" "&amp;K1617&amp;" "&amp;L1617&amp;" "&amp;M1617&amp;" "&amp;N1617</f>
        <v>Dance lesson    </v>
      </c>
      <c r="G1617" t="s">
        <f>TEXT(D1617,"mmm dd")</f>
        <v>812</v>
      </c>
      <c r="I1617" t="s">
        <v>1950</v>
      </c>
      <c r="J1617" t="inlineStr">
        <is>
          <t>lesson</t>
        </is>
      </c>
    </row>
    <row r="1618" spans="1:23">
      <c r="A1618">
        <v>21</v>
      </c>
      <c r="B1618">
        <v>8</v>
      </c>
      <c r="C1618">
        <v>2012</v>
      </c>
      <c r="D1618" s="3" t="s">
        <f>B1618&amp;"/"&amp;A1618&amp;"/"&amp;C1618</f>
        <v>2045</v>
      </c>
      <c r="E1618">
        <v>0.875</v>
      </c>
      <c r="F1618" t="str">
        <f>I1618&amp;" "&amp;J1618&amp;" "&amp;K1618&amp;" "&amp;L1618&amp;" "&amp;M1618&amp;" "&amp;N1618</f>
        <v>Faculty retreat    </v>
      </c>
      <c r="G1618" t="s">
        <f>TEXT(D1618,"mmm dd")</f>
        <v>818</v>
      </c>
      <c r="I1618" t="s">
        <v>496</v>
      </c>
      <c r="J1618" t="s">
        <v>1422</v>
      </c>
    </row>
    <row r="1619" spans="1:23">
      <c r="A1619">
        <v>21</v>
      </c>
      <c r="B1619">
        <v>8</v>
      </c>
      <c r="C1619">
        <v>2012</v>
      </c>
      <c r="D1619" s="3" t="s">
        <f>B1619&amp;"/"&amp;A1619&amp;"/"&amp;C1619</f>
        <v>2045</v>
      </c>
      <c r="E1619">
        <v>1.0416666666666667</v>
      </c>
      <c r="F1619" t="str">
        <f>I1619&amp;" "&amp;J1619&amp;" "&amp;K1619&amp;" "&amp;L1619&amp;" "&amp;M1619&amp;" "&amp;N1619</f>
        <v>Meet Dave Coleman re Chuuk </v>
      </c>
      <c r="G1619" t="s">
        <f>TEXT(D1619,"mmm dd")</f>
        <v>818</v>
      </c>
      <c r="I1619" t="s">
        <v>300</v>
      </c>
      <c r="J1619" t="s">
        <v>1798</v>
      </c>
      <c r="K1619" t="s">
        <v>1799</v>
      </c>
      <c r="L1619" t="s">
        <v>594</v>
      </c>
      <c r="M1619" t="s">
        <v>1871</v>
      </c>
    </row>
    <row r="1620" spans="1:23">
      <c r="A1620">
        <v>24</v>
      </c>
      <c r="B1620">
        <v>8</v>
      </c>
      <c r="C1620">
        <v>2012</v>
      </c>
      <c r="D1620" s="3" t="str">
        <f>B1620&amp;"/"&amp;A1620&amp;"/"&amp;C1620</f>
        <v>8/24/2012</v>
      </c>
      <c r="E1620">
        <v>0.125</v>
      </c>
      <c r="F1620" t="s">
        <f>I1620&amp;" "&amp;J1620&amp;" "&amp;K1620&amp;" "&amp;L1620&amp;" "&amp;M1620&amp;" "&amp;N1620</f>
        <v>1797</v>
      </c>
      <c r="G1620" t="s">
        <f>TEXT(D1620,"mmm dd")</f>
        <v>1372</v>
      </c>
      <c r="I1620" t="s">
        <v>1798</v>
      </c>
      <c r="J1620" t="s">
        <v>1799</v>
      </c>
    </row>
    <row r="1621" spans="1:23">
      <c r="A1621">
        <v>25</v>
      </c>
      <c r="B1621">
        <v>8</v>
      </c>
      <c r="C1621">
        <v>2012</v>
      </c>
      <c r="D1621" s="3" t="str">
        <f>B1621&amp;"/"&amp;A1621&amp;"/"&amp;C1621</f>
        <v>8/25/2012</v>
      </c>
      <c r="E1621">
        <v>0.20833333333333334</v>
      </c>
      <c r="F1621" t="str">
        <f>I1621&amp;" "&amp;J1621&amp;" "&amp;K1621&amp;" "&amp;L1621&amp;" "&amp;M1621&amp;" "&amp;N1621</f>
        <v>Academic convocation    </v>
      </c>
      <c r="G1621" t="s">
        <f>TEXT(D1621,"mmm dd")</f>
        <v>2046</v>
      </c>
      <c r="I1621" t="inlineStr">
        <is>
          <t>Academic</t>
        </is>
      </c>
      <c r="J1621" t="s">
        <v>2047</v>
      </c>
      <c r="O1621" t="s">
        <v>2048</v>
      </c>
    </row>
    <row r="1622" spans="1:23">
      <c r="A1622">
        <v>26</v>
      </c>
      <c r="B1622">
        <v>8</v>
      </c>
      <c r="C1622">
        <v>2012</v>
      </c>
      <c r="D1622" s="3" t="s">
        <f>B1622&amp;"/"&amp;A1622&amp;"/"&amp;C1622</f>
        <v>2049</v>
      </c>
      <c r="E1622" t="s">
        <v>42</v>
      </c>
      <c r="F1622" t="s">
        <f>I1622&amp;" "&amp;J1622&amp;" "&amp;K1622&amp;" "&amp;L1622&amp;" "&amp;M1622&amp;" "&amp;N1622</f>
        <v>2050</v>
      </c>
      <c r="G1622" t="s">
        <f>TEXT(D1622,"mmm dd")</f>
        <v>837</v>
      </c>
      <c r="I1622" t="s">
        <v>2000</v>
      </c>
      <c r="J1622" t="s">
        <v>319</v>
      </c>
    </row>
    <row r="1623" spans="1:23">
      <c r="A1623">
        <v>27</v>
      </c>
      <c r="B1623">
        <v>8</v>
      </c>
      <c r="C1623">
        <v>2012</v>
      </c>
      <c r="D1623" s="3" t="s">
        <f>B1623&amp;"/"&amp;A1623&amp;"/"&amp;C1623</f>
        <v>2051</v>
      </c>
      <c r="E1623" t="s">
        <v>42</v>
      </c>
      <c r="F1623" t="str">
        <f>I1623&amp;" "&amp;J1623&amp;" "&amp;K1623&amp;" "&amp;L1623&amp;" "&amp;M1623&amp;" "&amp;N1623</f>
        <v>Chuukese begin    </v>
      </c>
      <c r="G1623" t="s">
        <f>TEXT(D1623,"mmm dd")</f>
        <v>1374</v>
      </c>
      <c r="I1623" t="s">
        <v>1567</v>
      </c>
      <c r="J1623" t="s">
        <v>2052</v>
      </c>
    </row>
    <row r="1624" spans="1:23">
      <c r="A1624">
        <v>27</v>
      </c>
      <c r="B1624">
        <v>8</v>
      </c>
      <c r="C1624">
        <v>2012</v>
      </c>
      <c r="D1624" s="3" t="s">
        <f>B1624&amp;"/"&amp;A1624&amp;"/"&amp;C1624</f>
        <v>2051</v>
      </c>
      <c r="E1624">
        <v>0.3125</v>
      </c>
      <c r="F1624" t="s">
        <f>I1624&amp;" "&amp;J1624&amp;" "&amp;K1624&amp;" "&amp;L1624&amp;" "&amp;M1624&amp;" "&amp;N1624</f>
        <v>1930</v>
      </c>
      <c r="G1624" t="s">
        <f>TEXT(D1624,"mmm dd")</f>
        <v>1374</v>
      </c>
      <c r="I1624" t="s">
        <v>1880</v>
      </c>
    </row>
    <row r="1625" spans="1:23">
      <c r="A1625">
        <v>27</v>
      </c>
      <c r="B1625">
        <v>8</v>
      </c>
      <c r="C1625">
        <v>2012</v>
      </c>
      <c r="D1625" s="3" t="s">
        <f>B1625&amp;"/"&amp;A1625&amp;"/"&amp;C1625</f>
        <v>2051</v>
      </c>
      <c r="E1625">
        <v>0.27083333333333331</v>
      </c>
      <c r="F1625" t="s">
        <f>I1625&amp;" "&amp;J1625&amp;" "&amp;K1625&amp;" "&amp;L1625&amp;" "&amp;M1625&amp;" "&amp;N1625</f>
        <v>1569</v>
      </c>
      <c r="G1625" t="s">
        <f>TEXT(D1625,"mmm dd")</f>
        <v>1374</v>
      </c>
      <c r="I1625" t="s">
        <v>1543</v>
      </c>
    </row>
    <row r="1626" spans="1:23">
      <c r="A1626">
        <v>27</v>
      </c>
      <c r="B1626">
        <v>8</v>
      </c>
      <c r="C1626">
        <v>2012</v>
      </c>
      <c r="D1626" s="3" t="s">
        <f>B1626&amp;"/"&amp;A1626&amp;"/"&amp;C1626</f>
        <v>2051</v>
      </c>
      <c r="E1626" t="s">
        <v>42</v>
      </c>
      <c r="F1626" t="str">
        <f>I1626&amp;" "&amp;J1626&amp;" "&amp;K1626&amp;" "&amp;L1626&amp;" "&amp;M1626&amp;" "&amp;N1626</f>
        <v>Undergraduate begins    </v>
      </c>
      <c r="G1626" t="s">
        <f>TEXT(D1626,"mmm dd")</f>
        <v>1374</v>
      </c>
      <c r="I1626" t="inlineStr">
        <is>
          <t>Undergraduate</t>
        </is>
      </c>
      <c r="J1626" t="s">
        <v>1600</v>
      </c>
    </row>
    <row r="1627" spans="1:23">
      <c r="A1627">
        <v>27</v>
      </c>
      <c r="B1627">
        <v>8</v>
      </c>
      <c r="C1627">
        <v>2012</v>
      </c>
      <c r="D1627" s="3" t="s">
        <f>B1627&amp;"/"&amp;A1627&amp;"/"&amp;C1627</f>
        <v>2051</v>
      </c>
      <c r="E1627">
        <v>0.89583333333333337</v>
      </c>
      <c r="F1627" t="str">
        <f>I1627&amp;" "&amp;J1627&amp;" "&amp;K1627&amp;" "&amp;L1627&amp;" "&amp;M1627&amp;" "&amp;N1627</f>
        <v>Screen install    </v>
      </c>
      <c r="G1627" t="s">
        <f>TEXT(D1627,"mmm dd")</f>
        <v>1374</v>
      </c>
      <c r="I1627" t="inlineStr">
        <is>
          <t>Screen</t>
        </is>
      </c>
      <c r="J1627" t="inlineStr">
        <is>
          <t>install</t>
        </is>
      </c>
    </row>
    <row r="1628" spans="1:23">
      <c r="A1628">
        <v>28</v>
      </c>
      <c r="B1628">
        <v>8</v>
      </c>
      <c r="C1628">
        <v>2012</v>
      </c>
      <c r="D1628" s="3" t="s">
        <f>B1628&amp;"/"&amp;A1628&amp;"/"&amp;C1628</f>
        <v>2053</v>
      </c>
      <c r="E1628">
        <v>0.72916666666666663</v>
      </c>
      <c r="F1628" t="str">
        <f>I1628&amp;" "&amp;J1628&amp;" "&amp;K1628&amp;" "&amp;L1628&amp;" "&amp;M1628&amp;" "&amp;N1628</f>
        <v>MP Teaching    </v>
      </c>
      <c r="G1628" t="s">
        <f>TEXT(D1628,"mmm dd")</f>
        <v>1375</v>
      </c>
      <c r="I1628" t="s">
        <v>1664</v>
      </c>
      <c r="J1628" t="inlineStr">
        <is>
          <t>Teaching</t>
        </is>
      </c>
    </row>
    <row r="1629" spans="1:23">
      <c r="A1629">
        <v>28</v>
      </c>
      <c r="B1629">
        <v>8</v>
      </c>
      <c r="C1629">
        <v>2012</v>
      </c>
      <c r="D1629" s="3" t="s">
        <f>B1629&amp;"/"&amp;A1629&amp;"/"&amp;C1629</f>
        <v>2053</v>
      </c>
      <c r="E1629">
        <v>0.875</v>
      </c>
      <c r="F1629" t="str">
        <f>I1629&amp;" "&amp;J1629&amp;" "&amp;K1629&amp;" "&amp;L1629&amp;" "&amp;M1629&amp;" "&amp;N1629</f>
        <v>Dan Meyer follow up  </v>
      </c>
      <c r="G1629" t="s">
        <f>TEXT(D1629,"mmm dd")</f>
        <v>1375</v>
      </c>
      <c r="I1629" t="s">
        <v>1341</v>
      </c>
      <c r="J1629" t="s">
        <v>1895</v>
      </c>
      <c r="K1629" t="s">
        <v>2054</v>
      </c>
      <c r="L1629" t="s">
        <v>807</v>
      </c>
    </row>
    <row r="1630" spans="1:23">
      <c r="A1630">
        <v>28</v>
      </c>
      <c r="B1630">
        <v>8</v>
      </c>
      <c r="C1630">
        <v>2012</v>
      </c>
      <c r="D1630" s="3" t="s">
        <f>B1630&amp;"/"&amp;A1630&amp;"/"&amp;C1630</f>
        <v>2053</v>
      </c>
      <c r="E1630">
        <v>0.79166666666666663</v>
      </c>
      <c r="F1630" t="str">
        <f>I1630&amp;" "&amp;J1630&amp;" "&amp;K1630&amp;" "&amp;L1630&amp;" "&amp;M1630&amp;" "&amp;N1630</f>
        <v>sit in Geometry class  </v>
      </c>
      <c r="G1630" t="s">
        <f>TEXT(D1630,"mmm dd")</f>
        <v>1375</v>
      </c>
      <c r="I1630" t="inlineStr">
        <is>
          <t>sit</t>
        </is>
      </c>
      <c r="J1630" t="s">
        <v>372</v>
      </c>
      <c r="K1630" t="inlineStr">
        <is>
          <t>Geometry</t>
        </is>
      </c>
      <c r="L1630" t="s">
        <v>857</v>
      </c>
    </row>
    <row r="1631" spans="1:23">
      <c r="A1631">
        <v>29</v>
      </c>
      <c r="B1631">
        <v>8</v>
      </c>
      <c r="C1631">
        <v>2012</v>
      </c>
      <c r="D1631" s="3" t="s">
        <f>B1631&amp;"/"&amp;A1631&amp;"/"&amp;C1631</f>
        <v>2055</v>
      </c>
      <c r="E1631">
        <v>1.0625</v>
      </c>
      <c r="F1631" t="str">
        <f>I1631&amp;" "&amp;J1631&amp;" "&amp;K1631&amp;" "&amp;L1631&amp;" "&amp;M1631&amp;" "&amp;N1631</f>
        <v>Ed Club meeting   </v>
      </c>
      <c r="G1631" t="s">
        <f>TEXT(D1631,"mmm dd")</f>
        <v>841</v>
      </c>
      <c r="I1631" t="s">
        <v>1872</v>
      </c>
      <c r="J1631" t="s">
        <v>1527</v>
      </c>
      <c r="K1631" t="s">
        <v>842</v>
      </c>
    </row>
    <row r="1632" spans="1:23">
      <c r="A1632">
        <v>29</v>
      </c>
      <c r="B1632">
        <v>8</v>
      </c>
      <c r="C1632">
        <v>2012</v>
      </c>
      <c r="D1632" s="3" t="s">
        <f>B1632&amp;"/"&amp;A1632&amp;"/"&amp;C1632</f>
        <v>2055</v>
      </c>
      <c r="E1632">
        <v>1.0208333333333333</v>
      </c>
      <c r="F1632" t="str">
        <f>I1632&amp;" "&amp;J1632&amp;" "&amp;K1632&amp;" "&amp;L1632&amp;" "&amp;M1632&amp;" "&amp;N1632</f>
        <v>meeting with Joe J and Margaret</v>
      </c>
      <c r="G1632" t="s">
        <f>TEXT(D1632,"mmm dd")</f>
        <v>841</v>
      </c>
      <c r="I1632" t="s">
        <v>842</v>
      </c>
      <c r="J1632" t="s">
        <v>755</v>
      </c>
      <c r="K1632" t="s">
        <v>1345</v>
      </c>
      <c r="L1632" t="s">
        <v>2056</v>
      </c>
      <c r="M1632" t="s">
        <v>135</v>
      </c>
      <c r="N1632" t="s">
        <v>1732</v>
      </c>
    </row>
    <row r="1633" spans="1:23">
      <c r="A1633">
        <v>29</v>
      </c>
      <c r="B1633">
        <v>8</v>
      </c>
      <c r="C1633">
        <v>2012</v>
      </c>
      <c r="D1633" s="3" t="s">
        <f>B1633&amp;"/"&amp;A1633&amp;"/"&amp;C1633</f>
        <v>2055</v>
      </c>
      <c r="E1633">
        <v>1.0833333333333333</v>
      </c>
      <c r="F1633" t="s">
        <f>I1633&amp;" "&amp;J1633&amp;" "&amp;K1633&amp;" "&amp;L1633&amp;" "&amp;M1633&amp;" "&amp;N1633</f>
        <v>2033</v>
      </c>
      <c r="G1633" t="s">
        <f>TEXT(D1633,"mmm dd")</f>
        <v>841</v>
      </c>
      <c r="I1633" t="s">
        <v>1892</v>
      </c>
    </row>
    <row r="1634" spans="1:23">
      <c r="A1634">
        <v>29</v>
      </c>
      <c r="B1634">
        <v>8</v>
      </c>
      <c r="C1634">
        <v>2012</v>
      </c>
      <c r="D1634" s="3" t="s">
        <f>B1634&amp;"/"&amp;A1634&amp;"/"&amp;C1634</f>
        <v>2055</v>
      </c>
      <c r="E1634">
        <v>0.27083333333333331</v>
      </c>
      <c r="F1634" t="str">
        <f>I1634&amp;" "&amp;J1634&amp;" "&amp;K1634&amp;" "&amp;L1634&amp;" "&amp;M1634&amp;" "&amp;N1634</f>
        <v>Play tryouts    </v>
      </c>
      <c r="G1634" t="s">
        <f>TEXT(D1634,"mmm dd")</f>
        <v>841</v>
      </c>
      <c r="I1634" t="s">
        <v>292</v>
      </c>
      <c r="J1634" t="inlineStr">
        <is>
          <t>tryouts</t>
        </is>
      </c>
    </row>
    <row r="1635" spans="1:23">
      <c r="A1635">
        <v>30</v>
      </c>
      <c r="B1635">
        <v>8</v>
      </c>
      <c r="C1635">
        <v>2012</v>
      </c>
      <c r="D1635" s="3" t="s">
        <f>B1635&amp;"/"&amp;A1635&amp;"/"&amp;C1635</f>
        <v>2057</v>
      </c>
      <c r="E1635">
        <v>0.25</v>
      </c>
      <c r="F1635" t="str">
        <f>I1635&amp;" "&amp;J1635&amp;" "&amp;K1635&amp;" "&amp;L1635&amp;" "&amp;M1635&amp;" "&amp;N1635</f>
        <v>MP appt    </v>
      </c>
      <c r="G1635" t="s">
        <f>TEXT(D1635,"mmm dd")</f>
        <v>846</v>
      </c>
      <c r="I1635" t="s">
        <v>1664</v>
      </c>
      <c r="J1635" t="s">
        <v>1911</v>
      </c>
      <c r="O1635" t="s">
        <v>53</v>
      </c>
      <c r="P1635">
        <v>7</v>
      </c>
    </row>
    <row r="1636" spans="1:23">
      <c r="A1636">
        <v>30</v>
      </c>
      <c r="B1636">
        <v>8</v>
      </c>
      <c r="C1636">
        <v>2012</v>
      </c>
      <c r="D1636" s="3" t="s">
        <f>B1636&amp;"/"&amp;A1636&amp;"/"&amp;C1636</f>
        <v>2057</v>
      </c>
      <c r="E1636">
        <v>0.16666666666666666</v>
      </c>
      <c r="F1636" t="s">
        <f>I1636&amp;" "&amp;J1636&amp;" "&amp;K1636&amp;" "&amp;L1636&amp;" "&amp;M1636&amp;" "&amp;N1636</f>
        <v>2058</v>
      </c>
      <c r="G1636" t="s">
        <f>TEXT(D1636,"mmm dd")</f>
        <v>846</v>
      </c>
      <c r="I1636" t="s">
        <v>2006</v>
      </c>
    </row>
    <row r="1637" spans="1:23">
      <c r="A1637">
        <v>31</v>
      </c>
      <c r="B1637">
        <v>8</v>
      </c>
      <c r="C1637">
        <v>2012</v>
      </c>
      <c r="D1637" s="3" t="s">
        <f>B1637&amp;"/"&amp;A1637&amp;"/"&amp;C1637</f>
        <v>2059</v>
      </c>
      <c r="E1637">
        <v>0.14583333333333334</v>
      </c>
      <c r="F1637" t="s">
        <f>I1637&amp;" "&amp;J1637&amp;" "&amp;K1637&amp;" "&amp;L1637&amp;" "&amp;M1637&amp;" "&amp;N1637</f>
        <v>2060</v>
      </c>
      <c r="G1637" t="s">
        <f>TEXT(D1637,"mmm dd")</f>
        <v>2061</v>
      </c>
      <c r="I1637" t="s">
        <v>1996</v>
      </c>
    </row>
    <row r="1638" spans="1:23">
      <c r="A1638">
        <v>31</v>
      </c>
      <c r="B1638">
        <v>8</v>
      </c>
      <c r="C1638">
        <v>2012</v>
      </c>
      <c r="D1638" s="3" t="s">
        <f>B1638&amp;"/"&amp;A1638&amp;"/"&amp;C1638</f>
        <v>2059</v>
      </c>
      <c r="E1638">
        <v>1.0833333333333333</v>
      </c>
      <c r="F1638" t="s">
        <f>I1638&amp;" "&amp;J1638&amp;" "&amp;K1638&amp;" "&amp;L1638&amp;" "&amp;M1638&amp;" "&amp;N1638</f>
        <v>2060</v>
      </c>
      <c r="G1638" t="s">
        <f>TEXT(D1638,"mmm dd")</f>
        <v>2061</v>
      </c>
      <c r="I1638" t="s">
        <v>1996</v>
      </c>
    </row>
    <row r="1639" spans="1:23">
      <c r="A1639">
        <v>31</v>
      </c>
      <c r="B1639">
        <v>8</v>
      </c>
      <c r="C1639">
        <v>2012</v>
      </c>
      <c r="D1639" s="3" t="s">
        <f>B1639&amp;"/"&amp;A1639&amp;"/"&amp;C1639</f>
        <v>2059</v>
      </c>
      <c r="E1639" t="s">
        <v>42</v>
      </c>
      <c r="F1639" t="str">
        <f>I1639&amp;" "&amp;J1639&amp;" "&amp;K1639&amp;" "&amp;L1639&amp;" "&amp;M1639&amp;" "&amp;N1639</f>
        <v>Ann &amp; Rick doe weekend car</v>
      </c>
      <c r="G1639" t="s">
        <f>TEXT(D1639,"mmm dd")</f>
        <v>2061</v>
      </c>
      <c r="I1639" t="s">
        <v>1713</v>
      </c>
      <c r="J1639" t="s">
        <v>73</v>
      </c>
      <c r="K1639" t="s">
        <v>1809</v>
      </c>
      <c r="L1639" t="s">
        <v>2027</v>
      </c>
      <c r="M1639" t="inlineStr">
        <is>
          <t>weekend</t>
        </is>
      </c>
      <c r="N1639" t="s">
        <v>2062</v>
      </c>
    </row>
    <row r="1640" spans="1:23">
      <c r="A1640">
        <v>31</v>
      </c>
      <c r="B1640">
        <v>8</v>
      </c>
      <c r="C1640">
        <v>2012</v>
      </c>
      <c r="D1640" s="3" t="s">
        <f>B1640&amp;"/"&amp;A1640&amp;"/"&amp;C1640</f>
        <v>2059</v>
      </c>
      <c r="E1640">
        <v>1.0208333333333333</v>
      </c>
      <c r="F1640" t="str">
        <f>I1640&amp;" "&amp;J1640&amp;" "&amp;K1640&amp;" "&amp;L1640&amp;" "&amp;M1640&amp;" "&amp;N1640</f>
        <v>Spiritual convocation    </v>
      </c>
      <c r="G1640" t="s">
        <f>TEXT(D1640,"mmm dd")</f>
        <v>2061</v>
      </c>
      <c r="I1640" t="s">
        <v>2063</v>
      </c>
      <c r="J1640" t="s">
        <v>2047</v>
      </c>
    </row>
    <row r="1641" spans="1:23">
      <c r="A1641">
        <v>1</v>
      </c>
      <c r="B1641">
        <v>9</v>
      </c>
      <c r="C1641">
        <v>2012</v>
      </c>
      <c r="D1641" s="3" t="s">
        <f>B1641&amp;"/"&amp;A1641&amp;"/"&amp;C1641</f>
        <v>2064</v>
      </c>
      <c r="E1641">
        <v>0.33333333333333331</v>
      </c>
      <c r="F1641" t="str">
        <f>I1641&amp;" "&amp;J1641&amp;" "&amp;K1641&amp;" "&amp;L1641&amp;" "&amp;M1641&amp;" "&amp;N1641</f>
        <v>Berta and husband for dinner </v>
      </c>
      <c r="G1641" t="s">
        <f>TEXT(D1641,"mmm dd")</f>
        <v>2065</v>
      </c>
      <c r="I1641" t="s">
        <v>2066</v>
      </c>
      <c r="J1641" t="s">
        <v>135</v>
      </c>
      <c r="K1641" t="inlineStr">
        <is>
          <t>husband</t>
        </is>
      </c>
      <c r="L1641" t="s">
        <v>439</v>
      </c>
      <c r="M1641" t="s">
        <v>517</v>
      </c>
    </row>
    <row r="1642" spans="1:23">
      <c r="A1642">
        <v>1</v>
      </c>
      <c r="B1642">
        <v>9</v>
      </c>
      <c r="C1642">
        <v>2012</v>
      </c>
      <c r="D1642" s="3" t="s">
        <f>B1642&amp;"/"&amp;A1642&amp;"/"&amp;C1642</f>
        <v>2064</v>
      </c>
      <c r="E1642">
        <v>0.95833333333333337</v>
      </c>
      <c r="F1642" t="str">
        <f>I1642&amp;" "&amp;J1642&amp;" "&amp;K1642&amp;" "&amp;L1642&amp;" "&amp;M1642&amp;" "&amp;N1642</f>
        <v>Mark\  Berta\  at Zippys</v>
      </c>
      <c r="G1642" t="s">
        <f>TEXT(D1642,"mmm dd")</f>
        <v>2065</v>
      </c>
      <c r="I1642" t="inlineStr">
        <is>
          <t>Mark\</t>
        </is>
      </c>
      <c r="K1642" t="inlineStr">
        <is>
          <t>Berta\</t>
        </is>
      </c>
      <c r="M1642" t="s">
        <v>53</v>
      </c>
      <c r="N1642" t="inlineStr">
        <is>
          <t>Zippys</t>
        </is>
      </c>
    </row>
    <row r="1643" spans="1:23">
      <c r="A1643">
        <v>1</v>
      </c>
      <c r="B1643">
        <v>9</v>
      </c>
      <c r="C1643">
        <v>2012</v>
      </c>
      <c r="D1643" s="3" t="s">
        <f>B1643&amp;"/"&amp;A1643&amp;"/"&amp;C1643</f>
        <v>2064</v>
      </c>
      <c r="E1643">
        <v>0.29166666666666669</v>
      </c>
      <c r="F1643" t="str">
        <f>I1643&amp;" "&amp;J1643&amp;" "&amp;K1643&amp;" "&amp;L1643&amp;" "&amp;M1643&amp;" "&amp;N1643</f>
        <v>PU Rick   Annie </v>
      </c>
      <c r="G1643" t="s">
        <f>TEXT(D1643,"mmm dd")</f>
        <v>2065</v>
      </c>
      <c r="I1643" t="s">
        <v>1013</v>
      </c>
      <c r="J1643" t="s">
        <v>1809</v>
      </c>
      <c r="M1643" t="s">
        <v>1984</v>
      </c>
    </row>
    <row r="1644" spans="1:23">
      <c r="A1644">
        <v>2</v>
      </c>
      <c r="B1644">
        <v>9</v>
      </c>
      <c r="C1644">
        <v>2012</v>
      </c>
      <c r="D1644" s="3" t="s">
        <f>B1644&amp;"/"&amp;A1644&amp;"/"&amp;C1644</f>
        <v>2067</v>
      </c>
      <c r="E1644">
        <v>1.0416666666666667</v>
      </c>
      <c r="F1644" t="str">
        <f>I1644&amp;" "&amp;J1644&amp;" "&amp;K1644&amp;" "&amp;L1644&amp;" "&amp;M1644&amp;" "&amp;N1644</f>
        <v>Jubilarians mass time   </v>
      </c>
      <c r="G1644" t="s">
        <f>TEXT(D1644,"mmm dd")</f>
        <v>1376</v>
      </c>
      <c r="I1644" t="inlineStr">
        <is>
          <t>Jubilarians</t>
        </is>
      </c>
      <c r="J1644" t="s">
        <v>1774</v>
      </c>
      <c r="K1644" t="s">
        <v>2068</v>
      </c>
    </row>
    <row r="1645" spans="1:23">
      <c r="A1645">
        <v>2</v>
      </c>
      <c r="B1645">
        <v>9</v>
      </c>
      <c r="C1645">
        <v>2012</v>
      </c>
      <c r="D1645" s="3" t="s">
        <f>B1645&amp;"/"&amp;A1645&amp;"/"&amp;C1645</f>
        <v>2067</v>
      </c>
      <c r="E1645">
        <v>0.29166666666666669</v>
      </c>
      <c r="F1645" t="s">
        <f>I1645&amp;" "&amp;J1645&amp;" "&amp;K1645&amp;" "&amp;L1645&amp;" "&amp;M1645&amp;" "&amp;N1645</f>
        <v>2036</v>
      </c>
      <c r="G1645" t="s">
        <f>TEXT(D1645,"mmm dd")</f>
        <v>1376</v>
      </c>
      <c r="I1645" t="s">
        <v>1757</v>
      </c>
      <c r="J1645" t="s">
        <v>2037</v>
      </c>
    </row>
    <row r="1646" spans="1:23">
      <c r="A1646">
        <v>3</v>
      </c>
      <c r="B1646">
        <v>9</v>
      </c>
      <c r="C1646">
        <v>2012</v>
      </c>
      <c r="D1646" s="3" t="str">
        <f>B1646&amp;"/"&amp;A1646&amp;"/"&amp;C1646</f>
        <v>9/3/2012</v>
      </c>
      <c r="E1646">
        <v>0.25</v>
      </c>
      <c r="F1646" t="str">
        <f>I1646&amp;" "&amp;J1646&amp;" "&amp;K1646&amp;" "&amp;L1646&amp;" "&amp;M1646&amp;" "&amp;N1646</f>
        <v>Richard and Kapono   </v>
      </c>
      <c r="G1646" t="s">
        <f>TEXT(D1646,"mmm dd")</f>
        <v>850</v>
      </c>
      <c r="I1646" t="s">
        <v>2030</v>
      </c>
      <c r="J1646" t="s">
        <v>135</v>
      </c>
      <c r="K1646" t="s">
        <v>1815</v>
      </c>
    </row>
    <row r="1647" spans="1:23">
      <c r="A1647">
        <v>5</v>
      </c>
      <c r="B1647">
        <v>9</v>
      </c>
      <c r="C1647">
        <v>2012</v>
      </c>
      <c r="D1647" s="3" t="str">
        <f>B1647&amp;"/"&amp;A1647&amp;"/"&amp;C1647</f>
        <v>9/5/2012</v>
      </c>
      <c r="E1647">
        <v>0.66666666666666663</v>
      </c>
      <c r="F1647" t="s">
        <f>I1647&amp;" "&amp;J1647&amp;" "&amp;K1647&amp;" "&amp;L1647&amp;" "&amp;M1647&amp;" "&amp;N1647</f>
        <v>1734</v>
      </c>
      <c r="G1647" t="s">
        <f>TEXT(D1647,"mmm dd")</f>
        <v>1378</v>
      </c>
      <c r="I1647" t="s">
        <v>188</v>
      </c>
      <c r="J1647" t="s">
        <v>189</v>
      </c>
    </row>
    <row r="1648" spans="1:23">
      <c r="A1648">
        <v>6</v>
      </c>
      <c r="B1648">
        <v>9</v>
      </c>
      <c r="C1648">
        <v>2012</v>
      </c>
      <c r="D1648" s="3" t="s">
        <f>B1648&amp;"/"&amp;A1648&amp;"/"&amp;C1648</f>
        <v>2069</v>
      </c>
      <c r="E1648">
        <v>0.26041666666666669</v>
      </c>
      <c r="F1648" t="str">
        <f>I1648&amp;" "&amp;J1648&amp;" "&amp;K1648&amp;" "&amp;L1648&amp;" "&amp;M1648&amp;" "&amp;N1648</f>
        <v>Mass at Hale Malia  </v>
      </c>
      <c r="G1648" t="s">
        <f>TEXT(D1648,"mmm dd")</f>
        <v>860</v>
      </c>
      <c r="I1648" t="s">
        <v>1273</v>
      </c>
      <c r="J1648" t="s">
        <v>53</v>
      </c>
      <c r="K1648" t="s">
        <v>1727</v>
      </c>
      <c r="L1648" t="s">
        <v>1728</v>
      </c>
    </row>
    <row r="1649" spans="1:23">
      <c r="A1649">
        <v>6</v>
      </c>
      <c r="B1649">
        <v>9</v>
      </c>
      <c r="C1649">
        <v>2012</v>
      </c>
      <c r="D1649" s="3" t="s">
        <f>B1649&amp;"/"&amp;A1649&amp;"/"&amp;C1649</f>
        <v>2069</v>
      </c>
      <c r="E1649">
        <v>0.95833333333333337</v>
      </c>
      <c r="F1649" t="str">
        <f>I1649&amp;" "&amp;J1649&amp;" "&amp;K1649&amp;" "&amp;L1649&amp;" "&amp;M1649&amp;" "&amp;N1649</f>
        <v>Meet with Dave Coleman and Helen</v>
      </c>
      <c r="G1649" t="s">
        <f>TEXT(D1649,"mmm dd")</f>
        <v>860</v>
      </c>
      <c r="I1649" t="s">
        <v>300</v>
      </c>
      <c r="J1649" t="s">
        <v>755</v>
      </c>
      <c r="K1649" t="s">
        <v>1798</v>
      </c>
      <c r="L1649" t="s">
        <v>1799</v>
      </c>
      <c r="M1649" t="s">
        <v>135</v>
      </c>
      <c r="N1649" t="s">
        <v>1804</v>
      </c>
    </row>
    <row r="1650" spans="1:23">
      <c r="A1650">
        <v>6</v>
      </c>
      <c r="B1650">
        <v>9</v>
      </c>
      <c r="C1650">
        <v>2012</v>
      </c>
      <c r="D1650" s="3" t="s">
        <f>B1650&amp;"/"&amp;A1650&amp;"/"&amp;C1650</f>
        <v>2069</v>
      </c>
      <c r="E1650">
        <v>0.29166666666666669</v>
      </c>
      <c r="F1650" t="str">
        <f>I1650&amp;" "&amp;J1650&amp;" "&amp;K1650&amp;" "&amp;L1650&amp;" "&amp;M1650&amp;" "&amp;N1650</f>
        <v>Dinner with Barb Belle  </v>
      </c>
      <c r="G1650" t="s">
        <f>TEXT(D1650,"mmm dd")</f>
        <v>860</v>
      </c>
      <c r="I1650" t="s">
        <v>838</v>
      </c>
      <c r="J1650" t="s">
        <v>755</v>
      </c>
      <c r="K1650" t="s">
        <v>1707</v>
      </c>
      <c r="L1650" t="s">
        <v>1708</v>
      </c>
    </row>
    <row r="1651" spans="1:23">
      <c r="A1651">
        <v>6</v>
      </c>
      <c r="B1651">
        <v>9</v>
      </c>
      <c r="C1651">
        <v>2012</v>
      </c>
      <c r="D1651" s="3" t="s">
        <f>B1651&amp;"/"&amp;A1651&amp;"/"&amp;C1651</f>
        <v>2069</v>
      </c>
      <c r="E1651">
        <v>0.29166666666666669</v>
      </c>
      <c r="F1651" t="str">
        <f>I1651&amp;" "&amp;J1651&amp;" "&amp;K1651&amp;" "&amp;L1651&amp;" "&amp;M1651&amp;" "&amp;N1651</f>
        <v>MP to MEA meeting  </v>
      </c>
      <c r="G1651" t="s">
        <f>TEXT(D1651,"mmm dd")</f>
        <v>860</v>
      </c>
      <c r="I1651" t="s">
        <v>1664</v>
      </c>
      <c r="J1651" t="s">
        <v>449</v>
      </c>
      <c r="K1651" t="s">
        <v>1955</v>
      </c>
      <c r="L1651" t="s">
        <v>842</v>
      </c>
    </row>
    <row r="1652" spans="1:23">
      <c r="A1652">
        <v>7</v>
      </c>
      <c r="B1652">
        <v>9</v>
      </c>
      <c r="C1652">
        <v>2012</v>
      </c>
      <c r="D1652" s="3" t="s">
        <f>B1652&amp;"/"&amp;A1652&amp;"/"&amp;C1652</f>
        <v>2070</v>
      </c>
      <c r="E1652">
        <v>1.0625</v>
      </c>
      <c r="F1652" t="s">
        <f>I1652&amp;" "&amp;J1652&amp;" "&amp;K1652&amp;" "&amp;L1652&amp;" "&amp;M1652&amp;" "&amp;N1652</f>
        <v>2071</v>
      </c>
      <c r="G1652" t="s">
        <f>TEXT(D1652,"mmm dd")</f>
        <v>1381</v>
      </c>
      <c r="I1652" t="s">
        <v>496</v>
      </c>
      <c r="J1652" t="s">
        <v>2072</v>
      </c>
    </row>
    <row r="1653" spans="1:23">
      <c r="A1653">
        <v>7</v>
      </c>
      <c r="B1653">
        <v>9</v>
      </c>
      <c r="C1653">
        <v>2012</v>
      </c>
      <c r="D1653" s="3" t="s">
        <f>B1653&amp;"/"&amp;A1653&amp;"/"&amp;C1653</f>
        <v>2070</v>
      </c>
      <c r="E1653">
        <v>1.0208333333333333</v>
      </c>
      <c r="F1653" t="s">
        <f>I1653&amp;" "&amp;J1653&amp;" "&amp;K1653&amp;" "&amp;L1653&amp;" "&amp;M1653&amp;" "&amp;N1653</f>
        <v>2073</v>
      </c>
      <c r="G1653" t="s">
        <f>TEXT(D1653,"mmm dd")</f>
        <v>1381</v>
      </c>
      <c r="I1653" t="s">
        <v>2074</v>
      </c>
      <c r="J1653" t="s">
        <v>2075</v>
      </c>
      <c r="K1653" t="s">
        <v>2076</v>
      </c>
    </row>
    <row r="1654" spans="1:23">
      <c r="A1654">
        <v>8</v>
      </c>
      <c r="B1654">
        <v>9</v>
      </c>
      <c r="C1654">
        <v>2012</v>
      </c>
      <c r="D1654" s="3" t="str">
        <f>B1654&amp;"/"&amp;A1654&amp;"/"&amp;C1654</f>
        <v>9/8/2012</v>
      </c>
      <c r="E1654">
        <v>0.91666666666666663</v>
      </c>
      <c r="F1654" t="str">
        <f>I1654&amp;" "&amp;J1654&amp;" "&amp;K1654&amp;" "&amp;L1654&amp;" "&amp;M1654&amp;" "&amp;N1654</f>
        <v>Welcoming prayer    </v>
      </c>
      <c r="G1654" t="s">
        <f>TEXT(D1654,"mmm dd")</f>
        <v>2077</v>
      </c>
      <c r="I1654" t="inlineStr">
        <is>
          <t>Welcoming</t>
        </is>
      </c>
      <c r="J1654" t="s">
        <v>1480</v>
      </c>
    </row>
    <row r="1655" spans="1:23">
      <c r="A1655">
        <v>11</v>
      </c>
      <c r="B1655">
        <v>9</v>
      </c>
      <c r="C1655">
        <v>2012</v>
      </c>
      <c r="D1655" s="3" t="str">
        <f>B1655&amp;"/"&amp;A1655&amp;"/"&amp;C1655</f>
        <v>9/11/2012</v>
      </c>
      <c r="E1655">
        <v>1.0625</v>
      </c>
      <c r="F1655" t="str">
        <f>I1655&amp;" "&amp;J1655&amp;" "&amp;K1655&amp;" "&amp;L1655&amp;" "&amp;M1655&amp;" "&amp;N1655</f>
        <v>Prayer service    </v>
      </c>
      <c r="G1655" t="s">
        <f>TEXT(D1655,"mmm dd")</f>
        <v>1383</v>
      </c>
      <c r="I1655" t="s">
        <v>1283</v>
      </c>
      <c r="J1655" t="s">
        <v>427</v>
      </c>
    </row>
    <row r="1656" spans="1:23">
      <c r="A1656">
        <v>12</v>
      </c>
      <c r="B1656">
        <v>9</v>
      </c>
      <c r="C1656">
        <v>2012</v>
      </c>
      <c r="D1656" s="3" t="s">
        <f>B1656&amp;"/"&amp;A1656&amp;"/"&amp;C1656</f>
        <v>2078</v>
      </c>
      <c r="E1656">
        <v>0.33333333333333331</v>
      </c>
      <c r="F1656" t="str">
        <f>I1656&amp;" "&amp;J1656&amp;" "&amp;K1656&amp;" "&amp;L1656&amp;" "&amp;M1656&amp;" "&amp;N1656</f>
        <v>read through of Christmas Carol </v>
      </c>
      <c r="G1656" t="s">
        <f>TEXT(D1656,"mmm dd")</f>
        <v>1386</v>
      </c>
      <c r="I1656" t="inlineStr">
        <is>
          <t>read</t>
        </is>
      </c>
      <c r="J1656" t="s">
        <v>2079</v>
      </c>
      <c r="K1656" t="s">
        <v>86</v>
      </c>
      <c r="L1656" t="s">
        <v>1068</v>
      </c>
      <c r="M1656" t="s">
        <v>1750</v>
      </c>
    </row>
    <row r="1657" spans="1:23">
      <c r="A1657">
        <v>12</v>
      </c>
      <c r="B1657">
        <v>9</v>
      </c>
      <c r="C1657">
        <v>2012</v>
      </c>
      <c r="D1657" s="3" t="s">
        <f>B1657&amp;"/"&amp;A1657&amp;"/"&amp;C1657</f>
        <v>2078</v>
      </c>
      <c r="E1657">
        <v>0.95833333333333337</v>
      </c>
      <c r="F1657" t="s">
        <f>I1657&amp;" "&amp;J1657&amp;" "&amp;K1657&amp;" "&amp;L1657&amp;" "&amp;M1657&amp;" "&amp;N1657</f>
        <v>2033</v>
      </c>
      <c r="G1657" t="s">
        <f>TEXT(D1657,"mmm dd")</f>
        <v>1386</v>
      </c>
      <c r="I1657" t="s">
        <v>1892</v>
      </c>
    </row>
    <row r="1658" spans="1:23">
      <c r="A1658">
        <v>12</v>
      </c>
      <c r="B1658">
        <v>9</v>
      </c>
      <c r="C1658">
        <v>2012</v>
      </c>
      <c r="D1658" s="3" t="s">
        <f>B1658&amp;"/"&amp;A1658&amp;"/"&amp;C1658</f>
        <v>2078</v>
      </c>
      <c r="E1658">
        <v>0.16666666666666666</v>
      </c>
      <c r="F1658" t="s">
        <f>I1658&amp;" "&amp;J1658&amp;" "&amp;K1658&amp;" "&amp;L1658&amp;" "&amp;M1658&amp;" "&amp;N1658</f>
        <v>1248</v>
      </c>
      <c r="G1658" t="s">
        <f>TEXT(D1658,"mmm dd")</f>
        <v>1386</v>
      </c>
      <c r="I1658" t="s">
        <v>847</v>
      </c>
      <c r="J1658" t="s">
        <v>647</v>
      </c>
    </row>
    <row r="1659" spans="1:23">
      <c r="A1659">
        <v>14</v>
      </c>
      <c r="B1659">
        <v>9</v>
      </c>
      <c r="C1659">
        <v>2012</v>
      </c>
      <c r="D1659" s="3" t="s">
        <f>B1659&amp;"/"&amp;A1659&amp;"/"&amp;C1659</f>
        <v>2080</v>
      </c>
      <c r="E1659">
        <v>0.20833333333333334</v>
      </c>
      <c r="F1659" t="str">
        <f>I1659&amp;" "&amp;J1659&amp;" "&amp;K1659&amp;" "&amp;L1659&amp;" "&amp;M1659&amp;" "&amp;N1659</f>
        <v>Rehearsal Christmas Carol   </v>
      </c>
      <c r="G1659" t="s">
        <f>TEXT(D1659,"mmm dd")</f>
        <v>1390</v>
      </c>
      <c r="I1659" t="s">
        <v>313</v>
      </c>
      <c r="J1659" t="s">
        <v>1068</v>
      </c>
      <c r="K1659" t="s">
        <v>1750</v>
      </c>
    </row>
    <row r="1660" spans="1:23">
      <c r="A1660">
        <v>14</v>
      </c>
      <c r="B1660">
        <v>9</v>
      </c>
      <c r="C1660">
        <v>2012</v>
      </c>
      <c r="D1660" s="3" t="s">
        <f>B1660&amp;"/"&amp;A1660&amp;"/"&amp;C1660</f>
        <v>2080</v>
      </c>
      <c r="E1660">
        <v>1.0625</v>
      </c>
      <c r="F1660" t="s">
        <f>I1660&amp;" "&amp;J1660&amp;" "&amp;K1660&amp;" "&amp;L1660&amp;" "&amp;M1660&amp;" "&amp;N1660</f>
        <v>2071</v>
      </c>
      <c r="G1660" t="s">
        <f>TEXT(D1660,"mmm dd")</f>
        <v>1390</v>
      </c>
      <c r="I1660" t="s">
        <v>496</v>
      </c>
      <c r="J1660" t="s">
        <v>2072</v>
      </c>
    </row>
    <row r="1661" spans="1:23">
      <c r="A1661">
        <v>14</v>
      </c>
      <c r="B1661">
        <v>9</v>
      </c>
      <c r="C1661">
        <v>2012</v>
      </c>
      <c r="D1661" s="3" t="s">
        <f>B1661&amp;"/"&amp;A1661&amp;"/"&amp;C1661</f>
        <v>2080</v>
      </c>
      <c r="E1661">
        <v>0.9375</v>
      </c>
      <c r="F1661" t="str">
        <f>I1661&amp;" "&amp;J1661&amp;" "&amp;K1661&amp;" "&amp;L1661&amp;" "&amp;M1661&amp;" "&amp;N1661</f>
        <v>Open meeting president   </v>
      </c>
      <c r="G1661" t="s">
        <f>TEXT(D1661,"mmm dd")</f>
        <v>1390</v>
      </c>
      <c r="I1661" t="s">
        <v>1124</v>
      </c>
      <c r="J1661" t="s">
        <v>842</v>
      </c>
      <c r="K1661" t="inlineStr">
        <is>
          <t>president</t>
        </is>
      </c>
    </row>
    <row r="1662" spans="1:23">
      <c r="A1662">
        <v>15</v>
      </c>
      <c r="B1662">
        <v>9</v>
      </c>
      <c r="C1662">
        <v>2012</v>
      </c>
      <c r="D1662" s="3" t="s">
        <f>B1662&amp;"/"&amp;A1662&amp;"/"&amp;C1662</f>
        <v>2081</v>
      </c>
      <c r="E1662">
        <v>0.25</v>
      </c>
      <c r="F1662" t="str">
        <f>I1662&amp;" "&amp;J1662&amp;" "&amp;K1662&amp;" "&amp;L1662&amp;" "&amp;M1662&amp;" "&amp;N1662</f>
        <v>Ethan Birthday    </v>
      </c>
      <c r="G1662" t="s">
        <f>TEXT(D1662,"mmm dd")</f>
        <v>1391</v>
      </c>
      <c r="I1662" t="s">
        <v>1769</v>
      </c>
      <c r="J1662" t="s">
        <v>2082</v>
      </c>
    </row>
    <row r="1663" spans="1:23">
      <c r="A1663">
        <v>15</v>
      </c>
      <c r="B1663">
        <v>9</v>
      </c>
      <c r="C1663">
        <v>2012</v>
      </c>
      <c r="D1663" s="3" t="s">
        <f>B1663&amp;"/"&amp;A1663&amp;"/"&amp;C1663</f>
        <v>2081</v>
      </c>
      <c r="E1663">
        <v>0.91666666666666663</v>
      </c>
      <c r="F1663" t="str">
        <f>I1663&amp;" "&amp;J1663&amp;" "&amp;K1663&amp;" "&amp;L1663&amp;" "&amp;M1663&amp;" "&amp;N1663</f>
        <v>Discernment workshop    </v>
      </c>
      <c r="G1663" t="s">
        <f>TEXT(D1663,"mmm dd")</f>
        <v>1391</v>
      </c>
      <c r="I1663" t="inlineStr">
        <is>
          <t>Discernment</t>
        </is>
      </c>
      <c r="J1663" t="s">
        <v>908</v>
      </c>
    </row>
    <row r="1664" spans="1:23">
      <c r="A1664">
        <v>15</v>
      </c>
      <c r="B1664">
        <v>9</v>
      </c>
      <c r="C1664">
        <v>2012</v>
      </c>
      <c r="D1664" s="3" t="s">
        <f>B1664&amp;"/"&amp;A1664&amp;"/"&amp;C1664</f>
        <v>2081</v>
      </c>
      <c r="E1664">
        <v>0.875</v>
      </c>
      <c r="F1664" t="s">
        <f>I1664&amp;" "&amp;J1664&amp;" "&amp;K1664&amp;" "&amp;L1664&amp;" "&amp;M1664&amp;" "&amp;N1664</f>
        <v>2083</v>
      </c>
      <c r="G1664" t="s">
        <f>TEXT(D1664,"mmm dd")</f>
        <v>1391</v>
      </c>
      <c r="I1664" t="s">
        <v>1121</v>
      </c>
      <c r="J1664" t="s">
        <v>2084</v>
      </c>
    </row>
    <row r="1665" spans="1:23">
      <c r="A1665">
        <v>16</v>
      </c>
      <c r="B1665">
        <v>9</v>
      </c>
      <c r="C1665">
        <v>2012</v>
      </c>
      <c r="D1665" s="3" t="str">
        <f>B1665&amp;"/"&amp;A1665&amp;"/"&amp;C1665</f>
        <v>9/16/2012</v>
      </c>
      <c r="E1665">
        <v>0.625</v>
      </c>
      <c r="F1665" t="s">
        <f>I1665&amp;" "&amp;J1665&amp;" "&amp;K1665&amp;" "&amp;L1665&amp;" "&amp;M1665&amp;" "&amp;N1665</f>
        <v>1930</v>
      </c>
      <c r="G1665" t="s">
        <f>TEXT(D1665,"mmm dd")</f>
        <v>870</v>
      </c>
      <c r="I1665" t="s">
        <v>1880</v>
      </c>
    </row>
    <row r="1666" spans="1:23">
      <c r="A1666">
        <v>17</v>
      </c>
      <c r="B1666">
        <v>9</v>
      </c>
      <c r="C1666">
        <v>2012</v>
      </c>
      <c r="D1666" s="3" t="str">
        <f>B1666&amp;"/"&amp;A1666&amp;"/"&amp;C1666</f>
        <v>9/17/2012</v>
      </c>
      <c r="E1666">
        <v>1.0625</v>
      </c>
      <c r="F1666" t="str">
        <f>I1666&amp;" "&amp;J1666&amp;" "&amp;K1666&amp;" "&amp;L1666&amp;" "&amp;M1666&amp;" "&amp;N1666</f>
        <v>Open meeting with President  </v>
      </c>
      <c r="G1666" t="s">
        <f>TEXT(D1666,"mmm dd")</f>
        <v>872</v>
      </c>
      <c r="I1666" t="s">
        <v>1124</v>
      </c>
      <c r="J1666" t="s">
        <v>842</v>
      </c>
      <c r="K1666" t="s">
        <v>755</v>
      </c>
      <c r="L1666" t="s">
        <v>2085</v>
      </c>
    </row>
    <row r="1667" spans="1:23">
      <c r="A1667">
        <v>21</v>
      </c>
      <c r="B1667">
        <v>9</v>
      </c>
      <c r="C1667">
        <v>2012</v>
      </c>
      <c r="D1667" s="3" t="s">
        <f>B1667&amp;"/"&amp;A1667&amp;"/"&amp;C1667</f>
        <v>2086</v>
      </c>
      <c r="E1667">
        <v>0.20833333333333334</v>
      </c>
      <c r="F1667" t="str">
        <f>I1667&amp;" "&amp;J1667&amp;" "&amp;K1667&amp;" "&amp;L1667&amp;" "&amp;M1667&amp;" "&amp;N1667</f>
        <v>Meet with Joe   </v>
      </c>
      <c r="G1667" t="s">
        <f>TEXT(D1667,"mmm dd")</f>
        <v>890</v>
      </c>
      <c r="I1667" t="s">
        <v>300</v>
      </c>
      <c r="J1667" t="s">
        <v>755</v>
      </c>
      <c r="K1667" t="s">
        <v>1345</v>
      </c>
    </row>
    <row r="1668" spans="1:23">
      <c r="A1668">
        <v>21</v>
      </c>
      <c r="B1668">
        <v>9</v>
      </c>
      <c r="C1668">
        <v>2012</v>
      </c>
      <c r="D1668" s="3" t="s">
        <f>B1668&amp;"/"&amp;A1668&amp;"/"&amp;C1668</f>
        <v>2086</v>
      </c>
      <c r="E1668">
        <v>1.0625</v>
      </c>
      <c r="F1668" t="str">
        <f>I1668&amp;" "&amp;J1668&amp;" "&amp;K1668&amp;" "&amp;L1668&amp;" "&amp;M1668&amp;" "&amp;N1668</f>
        <v>Ed club    </v>
      </c>
      <c r="G1668" t="s">
        <f>TEXT(D1668,"mmm dd")</f>
        <v>890</v>
      </c>
      <c r="I1668" t="s">
        <v>1872</v>
      </c>
      <c r="J1668" t="inlineStr">
        <is>
          <t>club</t>
        </is>
      </c>
    </row>
    <row r="1669" spans="1:23">
      <c r="A1669">
        <v>21</v>
      </c>
      <c r="B1669">
        <v>9</v>
      </c>
      <c r="C1669">
        <v>2012</v>
      </c>
      <c r="D1669" s="3" t="s">
        <f>B1669&amp;"/"&amp;A1669&amp;"/"&amp;C1669</f>
        <v>2086</v>
      </c>
      <c r="E1669">
        <v>0.33333333333333331</v>
      </c>
      <c r="F1669" t="str">
        <f>I1669&amp;" "&amp;J1669&amp;" "&amp;K1669&amp;" "&amp;L1669&amp;" "&amp;M1669&amp;" "&amp;N1669</f>
        <v>Hinei Mauka    </v>
      </c>
      <c r="G1669" t="s">
        <f>TEXT(D1669,"mmm dd")</f>
        <v>890</v>
      </c>
      <c r="I1669" t="inlineStr">
        <is>
          <t>Hinei</t>
        </is>
      </c>
      <c r="J1669" t="s">
        <v>2087</v>
      </c>
    </row>
    <row r="1670" spans="1:23">
      <c r="A1670">
        <v>22</v>
      </c>
      <c r="B1670">
        <v>9</v>
      </c>
      <c r="C1670">
        <v>2012</v>
      </c>
      <c r="D1670" s="3" t="str">
        <f>B1670&amp;"/"&amp;A1670&amp;"/"&amp;C1670</f>
        <v>9/22/2012</v>
      </c>
      <c r="E1670">
        <v>0.875</v>
      </c>
      <c r="F1670" t="s">
        <f>I1670&amp;" "&amp;J1670&amp;" "&amp;K1670&amp;" "&amp;L1670&amp;" "&amp;M1670&amp;" "&amp;N1670</f>
        <v>1602</v>
      </c>
      <c r="G1670" t="s">
        <f>TEXT(D1670,"mmm dd")</f>
        <v>2088</v>
      </c>
      <c r="I1670" t="s">
        <v>1121</v>
      </c>
      <c r="J1670" t="s">
        <v>1081</v>
      </c>
    </row>
    <row r="1671" spans="1:23">
      <c r="A1671">
        <v>24</v>
      </c>
      <c r="B1671">
        <v>9</v>
      </c>
      <c r="C1671">
        <v>2012</v>
      </c>
      <c r="D1671" s="3" t="s">
        <f>B1671&amp;"/"&amp;A1671&amp;"/"&amp;C1671</f>
        <v>2089</v>
      </c>
      <c r="E1671">
        <v>0.95833333333333337</v>
      </c>
      <c r="F1671" t="str">
        <f>I1671&amp;" "&amp;J1671&amp;" "&amp;K1671&amp;" "&amp;L1671&amp;" "&amp;M1671&amp;" "&amp;N1671</f>
        <v>MP to George birthday party </v>
      </c>
      <c r="G1671" t="s">
        <f>TEXT(D1671,"mmm dd")</f>
        <v>2090</v>
      </c>
      <c r="I1671" t="s">
        <v>1664</v>
      </c>
      <c r="J1671" t="s">
        <v>449</v>
      </c>
      <c r="K1671" t="s">
        <v>162</v>
      </c>
      <c r="L1671" t="s">
        <v>319</v>
      </c>
      <c r="M1671" t="s">
        <v>1346</v>
      </c>
    </row>
    <row r="1672" spans="1:23">
      <c r="A1672">
        <v>24</v>
      </c>
      <c r="B1672">
        <v>9</v>
      </c>
      <c r="C1672">
        <v>2012</v>
      </c>
      <c r="D1672" s="3" t="s">
        <f>B1672&amp;"/"&amp;A1672&amp;"/"&amp;C1672</f>
        <v>2089</v>
      </c>
      <c r="E1672">
        <v>1.0416666666666667</v>
      </c>
      <c r="F1672" t="str">
        <f>I1672&amp;" "&amp;J1672&amp;" "&amp;K1672&amp;" "&amp;L1672&amp;" "&amp;M1672&amp;" "&amp;N1672</f>
        <v>Call Liz re lunch  </v>
      </c>
      <c r="G1672" t="s">
        <f>TEXT(D1672,"mmm dd")</f>
        <v>2090</v>
      </c>
      <c r="I1672" t="s">
        <v>1028</v>
      </c>
      <c r="J1672" t="s">
        <v>1832</v>
      </c>
      <c r="K1672" t="s">
        <v>594</v>
      </c>
      <c r="L1672" t="s">
        <v>440</v>
      </c>
    </row>
    <row r="1673" spans="1:23">
      <c r="A1673">
        <v>25</v>
      </c>
      <c r="B1673">
        <v>9</v>
      </c>
      <c r="C1673">
        <v>2012</v>
      </c>
      <c r="D1673" s="3" t="s">
        <f>B1673&amp;"/"&amp;A1673&amp;"/"&amp;C1673</f>
        <v>2091</v>
      </c>
      <c r="E1673">
        <v>0.95833333333333337</v>
      </c>
      <c r="F1673" t="s">
        <f>I1673&amp;" "&amp;J1673&amp;" "&amp;K1673&amp;" "&amp;L1673&amp;" "&amp;M1673&amp;" "&amp;N1673</f>
        <v>2033</v>
      </c>
      <c r="G1673" t="s">
        <f>TEXT(D1673,"mmm dd")</f>
        <v>1393</v>
      </c>
      <c r="I1673" t="s">
        <v>1892</v>
      </c>
    </row>
    <row r="1674" spans="1:23">
      <c r="A1674">
        <v>25</v>
      </c>
      <c r="B1674">
        <v>9</v>
      </c>
      <c r="C1674">
        <v>2012</v>
      </c>
      <c r="D1674" s="3" t="s">
        <f>B1674&amp;"/"&amp;A1674&amp;"/"&amp;C1674</f>
        <v>2091</v>
      </c>
      <c r="E1674">
        <v>1.0416666666666667</v>
      </c>
      <c r="F1674" t="str">
        <f>I1674&amp;" "&amp;J1674&amp;" "&amp;K1674&amp;" "&amp;L1674&amp;" "&amp;M1674&amp;" "&amp;N1674</f>
        <v>Liz Zivanov for lunch  </v>
      </c>
      <c r="G1674" t="s">
        <f>TEXT(D1674,"mmm dd")</f>
        <v>1393</v>
      </c>
      <c r="I1674" t="s">
        <v>1832</v>
      </c>
      <c r="J1674" t="inlineStr">
        <is>
          <t>Zivanov</t>
        </is>
      </c>
      <c r="K1674" t="s">
        <v>439</v>
      </c>
      <c r="L1674" t="s">
        <v>440</v>
      </c>
    </row>
    <row r="1675" spans="1:23">
      <c r="A1675">
        <v>26</v>
      </c>
      <c r="B1675">
        <v>9</v>
      </c>
      <c r="C1675">
        <v>2012</v>
      </c>
      <c r="D1675" s="3" t="s">
        <f>B1675&amp;"/"&amp;A1675&amp;"/"&amp;C1675</f>
        <v>2092</v>
      </c>
      <c r="E1675">
        <v>0.16666666666666666</v>
      </c>
      <c r="F1675" t="s">
        <f>I1675&amp;" "&amp;J1675&amp;" "&amp;K1675&amp;" "&amp;L1675&amp;" "&amp;M1675&amp;" "&amp;N1675</f>
        <v>2058</v>
      </c>
      <c r="G1675" t="s">
        <f>TEXT(D1675,"mmm dd")</f>
        <v>895</v>
      </c>
      <c r="I1675" t="s">
        <v>2006</v>
      </c>
    </row>
    <row r="1676" spans="1:23">
      <c r="A1676">
        <v>26</v>
      </c>
      <c r="B1676">
        <v>9</v>
      </c>
      <c r="C1676">
        <v>2012</v>
      </c>
      <c r="D1676" s="3" t="s">
        <f>B1676&amp;"/"&amp;A1676&amp;"/"&amp;C1676</f>
        <v>2092</v>
      </c>
      <c r="E1676">
        <v>1.0833333333333333</v>
      </c>
      <c r="F1676" t="s">
        <f>I1676&amp;" "&amp;J1676&amp;" "&amp;K1676&amp;" "&amp;L1676&amp;" "&amp;M1676&amp;" "&amp;N1676</f>
        <v>1952</v>
      </c>
      <c r="G1676" t="s">
        <f>TEXT(D1676,"mmm dd")</f>
        <v>895</v>
      </c>
      <c r="I1676" t="s">
        <v>1722</v>
      </c>
      <c r="J1676" t="s">
        <v>1855</v>
      </c>
    </row>
    <row r="1677" spans="1:23">
      <c r="A1677">
        <v>26</v>
      </c>
      <c r="B1677">
        <v>9</v>
      </c>
      <c r="C1677">
        <v>2012</v>
      </c>
      <c r="D1677" s="3" t="s">
        <f>B1677&amp;"/"&amp;A1677&amp;"/"&amp;C1677</f>
        <v>2092</v>
      </c>
      <c r="E1677" t="s">
        <v>42</v>
      </c>
      <c r="F1677" t="s">
        <f>I1677&amp;" "&amp;J1677&amp;" "&amp;K1677&amp;" "&amp;L1677&amp;" "&amp;M1677&amp;" "&amp;N1677</f>
        <v>2093</v>
      </c>
      <c r="G1677" t="s">
        <f>TEXT(D1677,"mmm dd")</f>
        <v>895</v>
      </c>
      <c r="I1677" t="s">
        <v>2094</v>
      </c>
      <c r="J1677" t="s">
        <v>2095</v>
      </c>
    </row>
    <row r="1678" spans="1:23">
      <c r="A1678">
        <v>26</v>
      </c>
      <c r="B1678">
        <v>9</v>
      </c>
      <c r="C1678">
        <v>2012</v>
      </c>
      <c r="D1678" s="3" t="s">
        <f>B1678&amp;"/"&amp;A1678&amp;"/"&amp;C1678</f>
        <v>2092</v>
      </c>
      <c r="E1678">
        <v>0.9375</v>
      </c>
      <c r="F1678" t="s">
        <f>I1678&amp;" "&amp;J1678&amp;" "&amp;K1678&amp;" "&amp;L1678&amp;" "&amp;M1678&amp;" "&amp;N1678</f>
        <v>1342</v>
      </c>
      <c r="G1678" t="s">
        <f>TEXT(D1678,"mmm dd")</f>
        <v>895</v>
      </c>
      <c r="I1678" t="s">
        <v>496</v>
      </c>
      <c r="J1678" t="s">
        <v>842</v>
      </c>
    </row>
    <row r="1679" spans="1:23">
      <c r="A1679">
        <v>27</v>
      </c>
      <c r="B1679">
        <v>9</v>
      </c>
      <c r="C1679">
        <v>2012</v>
      </c>
      <c r="D1679" s="3" t="str">
        <f>B1679&amp;"/"&amp;A1679&amp;"/"&amp;C1679</f>
        <v>9/27/2012</v>
      </c>
      <c r="E1679">
        <v>0.91666666666666663</v>
      </c>
      <c r="F1679" t="str">
        <f>I1679&amp;" "&amp;J1679&amp;" "&amp;K1679&amp;" "&amp;L1679&amp;" "&amp;M1679&amp;" "&amp;N1679</f>
        <v>New employees orientation   </v>
      </c>
      <c r="G1679" t="s">
        <f>TEXT(D1679,"mmm dd")</f>
        <v>901</v>
      </c>
      <c r="I1679" t="s">
        <v>164</v>
      </c>
      <c r="J1679" t="inlineStr">
        <is>
          <t>employees</t>
        </is>
      </c>
      <c r="K1679" t="s">
        <v>832</v>
      </c>
    </row>
    <row r="1680" spans="1:23">
      <c r="A1680">
        <v>28</v>
      </c>
      <c r="B1680">
        <v>9</v>
      </c>
      <c r="C1680">
        <v>2012</v>
      </c>
      <c r="D1680" s="3" t="str">
        <f>B1680&amp;"/"&amp;A1680&amp;"/"&amp;C1680</f>
        <v>9/28/2012</v>
      </c>
      <c r="E1680" t="s">
        <v>42</v>
      </c>
      <c r="F1680" t="str">
        <f>I1680&amp;" "&amp;J1680&amp;" "&amp;K1680&amp;" "&amp;L1680&amp;" "&amp;M1680&amp;" "&amp;N1680</f>
        <v>Maui seminar    </v>
      </c>
      <c r="G1680" t="s">
        <f>TEXT(D1680,"mmm dd")</f>
        <v>912</v>
      </c>
      <c r="I1680" t="s">
        <v>1186</v>
      </c>
      <c r="J1680" t="s">
        <v>2096</v>
      </c>
    </row>
    <row r="1681" spans="1:23">
      <c r="A1681">
        <v>29</v>
      </c>
      <c r="B1681">
        <v>9</v>
      </c>
      <c r="C1681">
        <v>2012</v>
      </c>
      <c r="D1681" s="3" t="s">
        <f>B1681&amp;"/"&amp;A1681&amp;"/"&amp;C1681</f>
        <v>2097</v>
      </c>
      <c r="E1681">
        <v>0.27083333333333331</v>
      </c>
      <c r="F1681" t="str">
        <f>I1681&amp;" "&amp;J1681&amp;" "&amp;K1681&amp;" "&amp;L1681&amp;" "&amp;M1681&amp;" "&amp;N1681</f>
        <v>Funeral for Henry Gomes  </v>
      </c>
      <c r="G1681" t="s">
        <f>TEXT(D1681,"mmm dd")</f>
        <v>1771</v>
      </c>
      <c r="I1681" t="s">
        <v>1135</v>
      </c>
      <c r="J1681" t="s">
        <v>439</v>
      </c>
      <c r="K1681" t="s">
        <v>1889</v>
      </c>
      <c r="L1681" t="inlineStr">
        <is>
          <t>Gomes</t>
        </is>
      </c>
    </row>
    <row r="1682" spans="1:23">
      <c r="A1682">
        <v>29</v>
      </c>
      <c r="B1682">
        <v>9</v>
      </c>
      <c r="C1682">
        <v>2012</v>
      </c>
      <c r="D1682" s="3" t="s">
        <f>B1682&amp;"/"&amp;A1682&amp;"/"&amp;C1682</f>
        <v>2097</v>
      </c>
      <c r="E1682">
        <v>0.33333333333333331</v>
      </c>
      <c r="F1682" t="str">
        <f>I1682&amp;" "&amp;J1682&amp;" "&amp;K1682&amp;" "&amp;L1682&amp;" "&amp;M1682&amp;" "&amp;N1682</f>
        <v>Reception     </v>
      </c>
      <c r="G1682" t="s">
        <f>TEXT(D1682,"mmm dd")</f>
        <v>1771</v>
      </c>
      <c r="I1682" t="inlineStr">
        <is>
          <t>Reception</t>
        </is>
      </c>
    </row>
    <row r="1683" spans="1:23">
      <c r="A1683">
        <v>1</v>
      </c>
      <c r="B1683">
        <v>10</v>
      </c>
      <c r="C1683">
        <v>2012</v>
      </c>
      <c r="D1683" s="3" t="s">
        <f>B1683&amp;"/"&amp;A1683&amp;"/"&amp;C1683</f>
        <v>2098</v>
      </c>
      <c r="E1683">
        <v>0.89583333333333337</v>
      </c>
      <c r="F1683" t="s">
        <f>I1683&amp;" "&amp;J1683&amp;" "&amp;K1683&amp;" "&amp;L1683&amp;" "&amp;M1683&amp;" "&amp;N1683</f>
        <v>2002</v>
      </c>
      <c r="G1683" t="s">
        <f>TEXT(D1683,"mmm dd")</f>
        <v>2099</v>
      </c>
      <c r="I1683" t="s">
        <v>1282</v>
      </c>
      <c r="J1683" t="s">
        <v>1283</v>
      </c>
      <c r="K1683" t="s">
        <v>53</v>
      </c>
      <c r="L1683" t="s">
        <v>1845</v>
      </c>
      <c r="M1683" t="s">
        <v>1736</v>
      </c>
    </row>
    <row r="1684" spans="1:23">
      <c r="A1684">
        <v>1</v>
      </c>
      <c r="B1684">
        <v>10</v>
      </c>
      <c r="C1684">
        <v>2012</v>
      </c>
      <c r="D1684" s="3" t="s">
        <f>B1684&amp;"/"&amp;A1684&amp;"/"&amp;C1684</f>
        <v>2098</v>
      </c>
      <c r="E1684">
        <v>0.91666666666666663</v>
      </c>
      <c r="F1684" t="str">
        <f>I1684&amp;" "&amp;J1684&amp;" "&amp;K1684&amp;" "&amp;L1684&amp;" "&amp;M1684&amp;" "&amp;N1684</f>
        <v>Pay Sprint Bill   </v>
      </c>
      <c r="G1684" t="s">
        <f>TEXT(D1684,"mmm dd")</f>
        <v>2099</v>
      </c>
      <c r="I1684" t="s">
        <v>2100</v>
      </c>
      <c r="J1684" t="s">
        <v>2101</v>
      </c>
      <c r="K1684" t="s">
        <v>814</v>
      </c>
    </row>
    <row r="1685" spans="1:23">
      <c r="A1685">
        <v>1</v>
      </c>
      <c r="B1685">
        <v>10</v>
      </c>
      <c r="C1685">
        <v>2012</v>
      </c>
      <c r="D1685" s="3" t="s">
        <f>B1685&amp;"/"&amp;A1685&amp;"/"&amp;C1685</f>
        <v>2098</v>
      </c>
      <c r="E1685">
        <v>0.27083333333333331</v>
      </c>
      <c r="F1685" t="s">
        <f>I1685&amp;" "&amp;J1685&amp;" "&amp;K1685&amp;" "&amp;L1685&amp;" "&amp;M1685&amp;" "&amp;N1685</f>
        <v>1569</v>
      </c>
      <c r="G1685" t="s">
        <f>TEXT(D1685,"mmm dd")</f>
        <v>2099</v>
      </c>
      <c r="I1685" t="s">
        <v>1543</v>
      </c>
    </row>
    <row r="1686" spans="1:23">
      <c r="A1686">
        <v>2</v>
      </c>
      <c r="B1686">
        <v>10</v>
      </c>
      <c r="C1686">
        <v>2012</v>
      </c>
      <c r="D1686" s="3" t="s">
        <f>B1686&amp;"/"&amp;A1686&amp;"/"&amp;C1686</f>
        <v>2102</v>
      </c>
      <c r="E1686">
        <v>0.16666666666666666</v>
      </c>
      <c r="F1686" t="str">
        <f>I1686&amp;" "&amp;J1686&amp;" "&amp;K1686&amp;" "&amp;L1686&amp;" "&amp;M1686&amp;" "&amp;N1686</f>
        <v>Yoshimura repair    </v>
      </c>
      <c r="G1686" t="s">
        <f>TEXT(D1686,"mmm dd")</f>
        <v>2103</v>
      </c>
      <c r="I1686" t="s">
        <v>647</v>
      </c>
      <c r="J1686" t="s">
        <v>2104</v>
      </c>
    </row>
    <row r="1687" spans="1:23">
      <c r="A1687">
        <v>2</v>
      </c>
      <c r="B1687">
        <v>10</v>
      </c>
      <c r="C1687">
        <v>2012</v>
      </c>
      <c r="D1687" s="3" t="s">
        <f>B1687&amp;"/"&amp;A1687&amp;"/"&amp;C1687</f>
        <v>2102</v>
      </c>
      <c r="E1687" t="s">
        <v>42</v>
      </c>
      <c r="F1687" t="s">
        <f>I1687&amp;" "&amp;J1687&amp;" "&amp;K1687&amp;" "&amp;L1687&amp;" "&amp;M1687&amp;" "&amp;N1687</f>
        <v>2105</v>
      </c>
      <c r="G1687" t="s">
        <f>TEXT(D1687,"mmm dd")</f>
        <v>2103</v>
      </c>
      <c r="I1687" t="s">
        <v>1345</v>
      </c>
      <c r="J1687" t="s">
        <v>2106</v>
      </c>
      <c r="K1687" t="s">
        <v>319</v>
      </c>
    </row>
    <row r="1688" spans="1:23">
      <c r="A1688">
        <v>2</v>
      </c>
      <c r="B1688">
        <v>10</v>
      </c>
      <c r="C1688">
        <v>2012</v>
      </c>
      <c r="D1688" s="3" t="s">
        <f>B1688&amp;"/"&amp;A1688&amp;"/"&amp;C1688</f>
        <v>2102</v>
      </c>
      <c r="E1688" t="s">
        <v>42</v>
      </c>
      <c r="F1688" t="s">
        <f>I1688&amp;" "&amp;J1688&amp;" "&amp;K1688&amp;" "&amp;L1688&amp;" "&amp;M1688&amp;" "&amp;N1688</f>
        <v>2107</v>
      </c>
      <c r="G1688" t="s">
        <f>TEXT(D1688,"mmm dd")</f>
        <v>2103</v>
      </c>
      <c r="I1688" t="inlineStr">
        <is>
          <t>Howie</t>
        </is>
      </c>
      <c r="J1688" t="s">
        <v>2108</v>
      </c>
      <c r="K1688" t="s">
        <v>319</v>
      </c>
    </row>
    <row r="1689" spans="1:23">
      <c r="A1689">
        <v>3</v>
      </c>
      <c r="B1689">
        <v>10</v>
      </c>
      <c r="C1689">
        <v>2012</v>
      </c>
      <c r="D1689" s="3" t="s">
        <f>B1689&amp;"/"&amp;A1689&amp;"/"&amp;C1689</f>
        <v>2109</v>
      </c>
      <c r="E1689">
        <v>0.66666666666666663</v>
      </c>
      <c r="F1689" t="s">
        <f>I1689&amp;" "&amp;J1689&amp;" "&amp;K1689&amp;" "&amp;L1689&amp;" "&amp;M1689&amp;" "&amp;N1689</f>
        <v>1734</v>
      </c>
      <c r="G1689" t="s">
        <f>TEXT(D1689,"mmm dd")</f>
        <v>920</v>
      </c>
      <c r="I1689" t="s">
        <v>188</v>
      </c>
      <c r="J1689" t="s">
        <v>189</v>
      </c>
    </row>
    <row r="1690" spans="1:23">
      <c r="A1690">
        <v>3</v>
      </c>
      <c r="B1690">
        <v>10</v>
      </c>
      <c r="C1690">
        <v>2012</v>
      </c>
      <c r="D1690" s="3" t="s">
        <f>B1690&amp;"/"&amp;A1690&amp;"/"&amp;C1690</f>
        <v>2109</v>
      </c>
      <c r="E1690">
        <v>1.0625</v>
      </c>
      <c r="F1690" t="str">
        <f>I1690&amp;" "&amp;J1690&amp;" "&amp;K1690&amp;" "&amp;L1690&amp;" "&amp;M1690&amp;" "&amp;N1690</f>
        <v>Flex Spending talk   </v>
      </c>
      <c r="G1690" t="s">
        <f>TEXT(D1690,"mmm dd")</f>
        <v>920</v>
      </c>
      <c r="I1690" t="inlineStr">
        <is>
          <t>Flex</t>
        </is>
      </c>
      <c r="J1690" t="s">
        <v>2110</v>
      </c>
      <c r="K1690" t="s">
        <v>1844</v>
      </c>
    </row>
    <row r="1691" spans="1:23">
      <c r="A1691">
        <v>4</v>
      </c>
      <c r="B1691">
        <v>10</v>
      </c>
      <c r="C1691">
        <v>2012</v>
      </c>
      <c r="D1691" s="3" t="str">
        <f>B1691&amp;"/"&amp;A1691&amp;"/"&amp;C1691</f>
        <v>10/4/2012</v>
      </c>
      <c r="E1691">
        <v>1.0208333333333333</v>
      </c>
      <c r="F1691" t="str">
        <f>I1691&amp;" "&amp;J1691&amp;" "&amp;K1691&amp;" "&amp;L1691&amp;" "&amp;M1691&amp;" "&amp;N1691</f>
        <v>Ed division cake   </v>
      </c>
      <c r="G1691" t="s">
        <f>TEXT(D1691,"mmm dd")</f>
        <v>2111</v>
      </c>
      <c r="I1691" t="s">
        <v>1872</v>
      </c>
      <c r="J1691" t="s">
        <v>1873</v>
      </c>
      <c r="K1691" t="s">
        <v>2112</v>
      </c>
    </row>
    <row r="1692" spans="1:23">
      <c r="A1692">
        <v>6</v>
      </c>
      <c r="B1692">
        <v>10</v>
      </c>
      <c r="C1692">
        <v>2012</v>
      </c>
      <c r="D1692" s="3" t="s">
        <f>B1692&amp;"/"&amp;A1692&amp;"/"&amp;C1692</f>
        <v>2113</v>
      </c>
      <c r="E1692" t="s">
        <v>42</v>
      </c>
      <c r="F1692" t="s">
        <f>I1692&amp;" "&amp;J1692&amp;" "&amp;K1692&amp;" "&amp;L1692&amp;" "&amp;M1692&amp;" "&amp;N1692</f>
        <v>2114</v>
      </c>
      <c r="G1692" t="s">
        <f>TEXT(D1692,"mmm dd")</f>
        <v>1615</v>
      </c>
      <c r="I1692" t="s">
        <v>2115</v>
      </c>
      <c r="J1692" t="s">
        <v>319</v>
      </c>
    </row>
    <row r="1693" spans="1:23">
      <c r="A1693">
        <v>11</v>
      </c>
      <c r="B1693">
        <v>10</v>
      </c>
      <c r="C1693">
        <v>2012</v>
      </c>
      <c r="D1693" s="3" t="str">
        <f>B1693&amp;"/"&amp;A1693&amp;"/"&amp;C1693</f>
        <v>10/11/2012</v>
      </c>
      <c r="E1693">
        <v>0.5</v>
      </c>
      <c r="F1693" t="str">
        <f>I1693&amp;" "&amp;J1693&amp;" "&amp;K1693&amp;" "&amp;L1693&amp;" "&amp;M1693&amp;" "&amp;N1693</f>
        <v>Tutu interview    </v>
      </c>
      <c r="G1693" t="s">
        <f>TEXT(D1693,"mmm dd")</f>
        <v>933</v>
      </c>
      <c r="I1693" t="s">
        <v>2022</v>
      </c>
      <c r="J1693" t="s">
        <v>2116</v>
      </c>
    </row>
    <row r="1694" spans="1:23">
      <c r="A1694">
        <v>12</v>
      </c>
      <c r="B1694">
        <v>10</v>
      </c>
      <c r="C1694">
        <v>2012</v>
      </c>
      <c r="D1694" s="3" t="s">
        <f>B1694&amp;"/"&amp;A1694&amp;"/"&amp;C1694</f>
        <v>2117</v>
      </c>
      <c r="E1694">
        <v>1.1041666666666667</v>
      </c>
      <c r="F1694" t="s">
        <f>I1694&amp;" "&amp;J1694&amp;" "&amp;K1694&amp;" "&amp;L1694&amp;" "&amp;M1694&amp;" "&amp;N1694</f>
        <v>2118</v>
      </c>
      <c r="G1694" t="s">
        <f>TEXT(D1694,"mmm dd")</f>
        <v>1619</v>
      </c>
      <c r="I1694" t="s">
        <v>813</v>
      </c>
    </row>
    <row r="1695" spans="1:23">
      <c r="A1695">
        <v>12</v>
      </c>
      <c r="B1695">
        <v>10</v>
      </c>
      <c r="C1695">
        <v>2012</v>
      </c>
      <c r="D1695" s="3" t="s">
        <f>B1695&amp;"/"&amp;A1695&amp;"/"&amp;C1695</f>
        <v>2117</v>
      </c>
      <c r="E1695">
        <v>0.91666666666666663</v>
      </c>
      <c r="F1695" t="str">
        <f>I1695&amp;" "&amp;J1695&amp;" "&amp;K1695&amp;" "&amp;L1695&amp;" "&amp;M1695&amp;" "&amp;N1695</f>
        <v>Play rehearsal    </v>
      </c>
      <c r="G1695" t="s">
        <f>TEXT(D1695,"mmm dd")</f>
        <v>1619</v>
      </c>
      <c r="I1695" t="s">
        <v>292</v>
      </c>
      <c r="J1695" t="s">
        <v>863</v>
      </c>
    </row>
    <row r="1696" spans="1:23">
      <c r="A1696">
        <v>12</v>
      </c>
      <c r="B1696">
        <v>10</v>
      </c>
      <c r="C1696">
        <v>2012</v>
      </c>
      <c r="D1696" s="3" t="s">
        <f>B1696&amp;"/"&amp;A1696&amp;"/"&amp;C1696</f>
        <v>2117</v>
      </c>
      <c r="E1696">
        <v>1.0625</v>
      </c>
      <c r="F1696" t="str">
        <f>I1696&amp;" "&amp;J1696&amp;" "&amp;K1696&amp;" "&amp;L1696&amp;" "&amp;M1696&amp;" "&amp;N1696</f>
        <v>Our lady of the pillar mass\</v>
      </c>
      <c r="G1696" t="s">
        <f>TEXT(D1696,"mmm dd")</f>
        <v>1619</v>
      </c>
      <c r="I1696" t="s">
        <v>2119</v>
      </c>
      <c r="J1696" t="s">
        <v>1579</v>
      </c>
      <c r="K1696" t="s">
        <v>86</v>
      </c>
      <c r="L1696" t="s">
        <v>139</v>
      </c>
      <c r="M1696" t="inlineStr">
        <is>
          <t>pillar</t>
        </is>
      </c>
      <c r="N1696" t="inlineStr">
        <is>
          <t>mass\</t>
        </is>
      </c>
    </row>
    <row r="1697" spans="1:23">
      <c r="A1697">
        <v>13</v>
      </c>
      <c r="B1697">
        <v>10</v>
      </c>
      <c r="C1697">
        <v>2012</v>
      </c>
      <c r="D1697" s="3" t="str">
        <f>B1697&amp;"/"&amp;A1697&amp;"/"&amp;C1697</f>
        <v>10/13/2012</v>
      </c>
      <c r="E1697">
        <v>0.125</v>
      </c>
      <c r="F1697" t="str">
        <f>I1697&amp;" "&amp;J1697&amp;" "&amp;K1697&amp;" "&amp;L1697&amp;" "&amp;M1697&amp;" "&amp;N1697</f>
        <v>Fellowship at Hale Malia  </v>
      </c>
      <c r="G1697" t="s">
        <f>TEXT(D1697,"mmm dd")</f>
        <v>1775</v>
      </c>
      <c r="I1697" t="s">
        <v>825</v>
      </c>
      <c r="J1697" t="s">
        <v>53</v>
      </c>
      <c r="K1697" t="s">
        <v>1727</v>
      </c>
      <c r="L1697" t="s">
        <v>1728</v>
      </c>
    </row>
    <row r="1698" spans="1:23">
      <c r="A1698">
        <v>14</v>
      </c>
      <c r="B1698">
        <v>10</v>
      </c>
      <c r="C1698">
        <v>2012</v>
      </c>
      <c r="D1698" s="3" t="s">
        <f>B1698&amp;"/"&amp;A1698&amp;"/"&amp;C1698</f>
        <v>2120</v>
      </c>
      <c r="E1698" t="s">
        <v>42</v>
      </c>
      <c r="F1698" t="str">
        <f>I1698&amp;" "&amp;J1698&amp;" "&amp;K1698&amp;" "&amp;L1698&amp;" "&amp;M1698&amp;" "&amp;N1698</f>
        <v>Marianist world day of prayer </v>
      </c>
      <c r="G1698" t="s">
        <f>TEXT(D1698,"mmm dd")</f>
        <v>938</v>
      </c>
      <c r="I1698" t="inlineStr">
        <is>
          <t>Marianist</t>
        </is>
      </c>
      <c r="J1698" t="inlineStr">
        <is>
          <t>world</t>
        </is>
      </c>
      <c r="K1698" t="s">
        <v>502</v>
      </c>
      <c r="L1698" t="s">
        <v>86</v>
      </c>
      <c r="M1698" t="s">
        <v>1480</v>
      </c>
    </row>
    <row r="1699" spans="1:23">
      <c r="A1699">
        <v>14</v>
      </c>
      <c r="B1699">
        <v>10</v>
      </c>
      <c r="C1699">
        <v>2012</v>
      </c>
      <c r="D1699" s="3" t="s">
        <f>B1699&amp;"/"&amp;A1699&amp;"/"&amp;C1699</f>
        <v>2120</v>
      </c>
      <c r="E1699">
        <v>1.0208333333333333</v>
      </c>
      <c r="F1699" t="str">
        <f>I1699&amp;" "&amp;J1699&amp;" "&amp;K1699&amp;" "&amp;L1699&amp;" "&amp;M1699&amp;" "&amp;N1699</f>
        <v>Hale Malia prayer and potluck </v>
      </c>
      <c r="G1699" t="s">
        <f>TEXT(D1699,"mmm dd")</f>
        <v>938</v>
      </c>
      <c r="I1699" t="s">
        <v>1727</v>
      </c>
      <c r="J1699" t="s">
        <v>1728</v>
      </c>
      <c r="K1699" t="s">
        <v>1480</v>
      </c>
      <c r="L1699" t="s">
        <v>135</v>
      </c>
      <c r="M1699" t="s">
        <v>2121</v>
      </c>
    </row>
    <row r="1700" spans="1:23">
      <c r="A1700">
        <v>16</v>
      </c>
      <c r="B1700">
        <v>10</v>
      </c>
      <c r="C1700">
        <v>2012</v>
      </c>
      <c r="D1700" s="3" t="str">
        <f>B1700&amp;"/"&amp;A1700&amp;"/"&amp;C1700</f>
        <v>10/16/2012</v>
      </c>
      <c r="E1700">
        <v>1.0833333333333333</v>
      </c>
      <c r="F1700" t="s">
        <f>I1700&amp;" "&amp;J1700&amp;" "&amp;K1700&amp;" "&amp;L1700&amp;" "&amp;M1700&amp;" "&amp;N1700</f>
        <v>2033</v>
      </c>
      <c r="G1700" t="s">
        <f>TEXT(D1700,"mmm dd")</f>
        <v>1404</v>
      </c>
      <c r="I1700" t="s">
        <v>1892</v>
      </c>
    </row>
    <row r="1701" spans="1:23">
      <c r="A1701">
        <v>19</v>
      </c>
      <c r="B1701">
        <v>10</v>
      </c>
      <c r="C1701">
        <v>2012</v>
      </c>
      <c r="D1701" s="3" t="str">
        <f>B1701&amp;"/"&amp;A1701&amp;"/"&amp;C1701</f>
        <v>10/19/2012</v>
      </c>
      <c r="E1701">
        <v>1.0625</v>
      </c>
      <c r="F1701" t="s">
        <f>I1701&amp;" "&amp;J1701&amp;" "&amp;K1701&amp;" "&amp;L1701&amp;" "&amp;M1701&amp;" "&amp;N1701</f>
        <v>2122</v>
      </c>
      <c r="G1701" t="s">
        <f>TEXT(D1701,"mmm dd")</f>
        <v>1626</v>
      </c>
      <c r="I1701" t="s">
        <v>496</v>
      </c>
      <c r="J1701" t="s">
        <v>2123</v>
      </c>
    </row>
    <row r="1702" spans="1:23">
      <c r="A1702">
        <v>20</v>
      </c>
      <c r="B1702">
        <v>10</v>
      </c>
      <c r="C1702">
        <v>2012</v>
      </c>
      <c r="D1702" s="3" t="s">
        <f>B1702&amp;"/"&amp;A1702&amp;"/"&amp;C1702</f>
        <v>2124</v>
      </c>
      <c r="E1702">
        <v>0.91666666666666663</v>
      </c>
      <c r="F1702" t="str">
        <f>I1702&amp;" "&amp;J1702&amp;" "&amp;K1702&amp;" "&amp;L1702&amp;" "&amp;M1702&amp;" "&amp;N1702</f>
        <v>Adjunct reception    </v>
      </c>
      <c r="G1702" t="s">
        <f>TEXT(D1702,"mmm dd")</f>
        <v>1408</v>
      </c>
      <c r="I1702" t="s">
        <v>2125</v>
      </c>
      <c r="J1702" t="s">
        <v>1595</v>
      </c>
    </row>
    <row r="1703" spans="1:23">
      <c r="A1703">
        <v>20</v>
      </c>
      <c r="B1703">
        <v>10</v>
      </c>
      <c r="C1703">
        <v>2012</v>
      </c>
      <c r="D1703" s="3" t="s">
        <f>B1703&amp;"/"&amp;A1703&amp;"/"&amp;C1703</f>
        <v>2124</v>
      </c>
      <c r="E1703">
        <v>0.875</v>
      </c>
      <c r="F1703" t="s">
        <f>I1703&amp;" "&amp;J1703&amp;" "&amp;K1703&amp;" "&amp;L1703&amp;" "&amp;M1703&amp;" "&amp;N1703</f>
        <v>2083</v>
      </c>
      <c r="G1703" t="s">
        <f>TEXT(D1703,"mmm dd")</f>
        <v>1408</v>
      </c>
      <c r="I1703" t="s">
        <v>1121</v>
      </c>
      <c r="J1703" t="s">
        <v>2084</v>
      </c>
    </row>
    <row r="1704" spans="1:23">
      <c r="A1704">
        <v>20</v>
      </c>
      <c r="B1704">
        <v>10</v>
      </c>
      <c r="C1704">
        <v>2012</v>
      </c>
      <c r="D1704" s="3" t="s">
        <f>B1704&amp;"/"&amp;A1704&amp;"/"&amp;C1704</f>
        <v>2124</v>
      </c>
      <c r="E1704">
        <v>0.375</v>
      </c>
      <c r="F1704" t="str">
        <f>I1704&amp;" "&amp;J1704&amp;" "&amp;K1704&amp;" "&amp;L1704&amp;" "&amp;M1704&amp;" "&amp;N1704</f>
        <v>Party at Hale Malia (John Bday)</v>
      </c>
      <c r="G1704" t="s">
        <f>TEXT(D1704,"mmm dd")</f>
        <v>1408</v>
      </c>
      <c r="I1704" t="s">
        <v>1052</v>
      </c>
      <c r="J1704" t="s">
        <v>53</v>
      </c>
      <c r="K1704" t="s">
        <v>1727</v>
      </c>
      <c r="L1704" t="s">
        <v>1728</v>
      </c>
      <c r="M1704" t="inlineStr">
        <is>
          <t>(John</t>
        </is>
      </c>
      <c r="N1704" t="inlineStr">
        <is>
          <t>Bday)</t>
        </is>
      </c>
    </row>
    <row r="1705" spans="1:23">
      <c r="A1705">
        <v>20</v>
      </c>
      <c r="B1705">
        <v>10</v>
      </c>
      <c r="C1705">
        <v>2012</v>
      </c>
      <c r="D1705" s="3" t="s">
        <f>B1705&amp;"/"&amp;A1705&amp;"/"&amp;C1705</f>
        <v>2124</v>
      </c>
      <c r="E1705">
        <v>0.875</v>
      </c>
      <c r="F1705" t="str">
        <f>I1705&amp;" "&amp;J1705&amp;" "&amp;K1705&amp;" "&amp;L1705&amp;" "&amp;M1705&amp;" "&amp;N1705</f>
        <v>Morning of Prayer   </v>
      </c>
      <c r="G1705" t="s">
        <f>TEXT(D1705,"mmm dd")</f>
        <v>1408</v>
      </c>
      <c r="I1705" t="s">
        <v>2126</v>
      </c>
      <c r="J1705" t="s">
        <v>86</v>
      </c>
      <c r="K1705" t="s">
        <v>1283</v>
      </c>
    </row>
    <row r="1706" spans="1:23">
      <c r="A1706">
        <v>20</v>
      </c>
      <c r="B1706">
        <v>10</v>
      </c>
      <c r="C1706">
        <v>2012</v>
      </c>
      <c r="D1706" s="3" t="s">
        <f>B1706&amp;"/"&amp;A1706&amp;"/"&amp;C1706</f>
        <v>2124</v>
      </c>
      <c r="E1706" t="s">
        <v>42</v>
      </c>
      <c r="F1706" t="s">
        <f>I1706&amp;" "&amp;J1706&amp;" "&amp;K1706&amp;" "&amp;L1706&amp;" "&amp;M1706&amp;" "&amp;N1706</f>
        <v>2127</v>
      </c>
      <c r="G1706" t="s">
        <f>TEXT(D1706,"mmm dd")</f>
        <v>1408</v>
      </c>
      <c r="I1706" t="s">
        <v>1707</v>
      </c>
      <c r="J1706" t="s">
        <v>1770</v>
      </c>
      <c r="K1706" t="s">
        <v>319</v>
      </c>
    </row>
    <row r="1707" spans="1:23">
      <c r="A1707">
        <v>22</v>
      </c>
      <c r="B1707">
        <v>10</v>
      </c>
      <c r="C1707">
        <v>2012</v>
      </c>
      <c r="D1707" s="3" t="s">
        <f>B1707&amp;"/"&amp;A1707&amp;"/"&amp;C1707</f>
        <v>2128</v>
      </c>
      <c r="E1707">
        <v>0.95833333333333337</v>
      </c>
      <c r="F1707" t="str">
        <f>I1707&amp;" "&amp;J1707&amp;" "&amp;K1707&amp;" "&amp;L1707&amp;" "&amp;M1707&amp;" "&amp;N1707</f>
        <v>Phone     </v>
      </c>
      <c r="G1707" t="s">
        <f>TEXT(D1707,"mmm dd")</f>
        <v>1410</v>
      </c>
      <c r="I1707" t="s">
        <v>1987</v>
      </c>
    </row>
    <row r="1708" spans="1:23">
      <c r="A1708">
        <v>22</v>
      </c>
      <c r="B1708">
        <v>10</v>
      </c>
      <c r="C1708">
        <v>2012</v>
      </c>
      <c r="D1708" s="3" t="s">
        <f>B1708&amp;"/"&amp;A1708&amp;"/"&amp;C1708</f>
        <v>2128</v>
      </c>
      <c r="E1708">
        <v>1.1041666666666667</v>
      </c>
      <c r="F1708" t="s">
        <f>I1708&amp;" "&amp;J1708&amp;" "&amp;K1708&amp;" "&amp;L1708&amp;" "&amp;M1708&amp;" "&amp;N1708</f>
        <v>2129</v>
      </c>
      <c r="G1708" t="s">
        <f>TEXT(D1708,"mmm dd")</f>
        <v>1410</v>
      </c>
      <c r="I1708" t="s">
        <v>2130</v>
      </c>
      <c r="J1708" t="s">
        <v>2131</v>
      </c>
    </row>
    <row r="1709" spans="1:23">
      <c r="A1709">
        <v>24</v>
      </c>
      <c r="B1709">
        <v>10</v>
      </c>
      <c r="C1709">
        <v>2012</v>
      </c>
      <c r="D1709" s="3" t="str">
        <f>B1709&amp;"/"&amp;A1709&amp;"/"&amp;C1709</f>
        <v>10/24/2012</v>
      </c>
      <c r="E1709">
        <v>0.125</v>
      </c>
      <c r="F1709" t="s">
        <f>I1709&amp;" "&amp;J1709&amp;" "&amp;K1709&amp;" "&amp;L1709&amp;" "&amp;M1709&amp;" "&amp;N1709</f>
        <v>2132</v>
      </c>
      <c r="G1709" t="s">
        <f>TEXT(D1709,"mmm dd")</f>
        <v>956</v>
      </c>
      <c r="I1709" t="s">
        <v>1902</v>
      </c>
      <c r="J1709" t="s">
        <v>2133</v>
      </c>
    </row>
    <row r="1710" spans="1:23">
      <c r="A1710">
        <v>26</v>
      </c>
      <c r="B1710">
        <v>10</v>
      </c>
      <c r="C1710">
        <v>2012</v>
      </c>
      <c r="D1710" s="3" t="s">
        <f>B1710&amp;"/"&amp;A1710&amp;"/"&amp;C1710</f>
        <v>2134</v>
      </c>
      <c r="E1710" t="s">
        <v>42</v>
      </c>
      <c r="F1710" t="str">
        <f>I1710&amp;" "&amp;J1710&amp;" "&amp;K1710&amp;" "&amp;L1710&amp;" "&amp;M1710&amp;" "&amp;N1710</f>
        <v>Chaminade Awakening Retreat   </v>
      </c>
      <c r="G1710" t="s">
        <f>TEXT(D1710,"mmm dd")</f>
        <v>1633</v>
      </c>
      <c r="I1710" t="s">
        <v>1331</v>
      </c>
      <c r="J1710" t="inlineStr">
        <is>
          <t>Awakening</t>
        </is>
      </c>
      <c r="K1710" t="s">
        <v>913</v>
      </c>
    </row>
    <row r="1711" spans="1:23">
      <c r="A1711">
        <v>26</v>
      </c>
      <c r="B1711">
        <v>10</v>
      </c>
      <c r="C1711">
        <v>2012</v>
      </c>
      <c r="D1711" s="3" t="s">
        <f>B1711&amp;"/"&amp;A1711&amp;"/"&amp;C1711</f>
        <v>2134</v>
      </c>
      <c r="E1711">
        <v>0.25</v>
      </c>
      <c r="F1711" t="str">
        <f>I1711&amp;" "&amp;J1711&amp;" "&amp;K1711&amp;" "&amp;L1711&amp;" "&amp;M1711&amp;" "&amp;N1711</f>
        <v> Dr Michael Galligan Stierle </v>
      </c>
      <c r="G1711" t="s">
        <f>TEXT(D1711,"mmm dd")</f>
        <v>1633</v>
      </c>
      <c r="J1711" t="s">
        <v>1791</v>
      </c>
      <c r="K1711" t="s">
        <v>745</v>
      </c>
      <c r="L1711" t="s">
        <v>2135</v>
      </c>
      <c r="M1711" t="s">
        <v>2136</v>
      </c>
    </row>
    <row r="1712" spans="1:23">
      <c r="A1712">
        <v>28</v>
      </c>
      <c r="B1712">
        <v>10</v>
      </c>
      <c r="C1712">
        <v>2012</v>
      </c>
      <c r="D1712" s="3" t="str">
        <f>B1712&amp;"/"&amp;A1712&amp;"/"&amp;C1712</f>
        <v>10/28/2012</v>
      </c>
      <c r="E1712">
        <v>1.0833333333333333</v>
      </c>
      <c r="F1712" t="str">
        <f>I1712&amp;" "&amp;J1712&amp;" "&amp;K1712&amp;" "&amp;L1712&amp;" "&amp;M1712&amp;" "&amp;N1712</f>
        <v>Play run through   </v>
      </c>
      <c r="G1712" t="s">
        <f>TEXT(D1712,"mmm dd")</f>
        <v>959</v>
      </c>
      <c r="I1712" t="s">
        <v>292</v>
      </c>
      <c r="J1712" t="s">
        <v>1203</v>
      </c>
      <c r="K1712" t="s">
        <v>2079</v>
      </c>
    </row>
    <row r="1713" spans="1:23">
      <c r="A1713">
        <v>30</v>
      </c>
      <c r="B1713">
        <v>10</v>
      </c>
      <c r="C1713">
        <v>2012</v>
      </c>
      <c r="D1713" s="3" t="str">
        <f>B1713&amp;"/"&amp;A1713&amp;"/"&amp;C1713</f>
        <v>10/30/2012</v>
      </c>
      <c r="E1713">
        <v>1.0833333333333333</v>
      </c>
      <c r="F1713" t="s">
        <f>I1713&amp;" "&amp;J1713&amp;" "&amp;K1713&amp;" "&amp;L1713&amp;" "&amp;M1713&amp;" "&amp;N1713</f>
        <v>2033</v>
      </c>
      <c r="G1713" t="s">
        <f>TEXT(D1713,"mmm dd")</f>
        <v>967</v>
      </c>
      <c r="I1713" t="s">
        <v>1892</v>
      </c>
    </row>
    <row r="1714" spans="1:23">
      <c r="A1714">
        <v>31</v>
      </c>
      <c r="B1714">
        <v>10</v>
      </c>
      <c r="C1714">
        <v>2012</v>
      </c>
      <c r="D1714" s="3" t="s">
        <f>B1714&amp;"/"&amp;A1714&amp;"/"&amp;C1714</f>
        <v>2137</v>
      </c>
      <c r="E1714">
        <v>0.16666666666666666</v>
      </c>
      <c r="F1714" t="str">
        <f>I1714&amp;" "&amp;J1714&amp;" "&amp;K1714&amp;" "&amp;L1714&amp;" "&amp;M1714&amp;" "&amp;N1714</f>
        <v>Dr. Galligan Stierle   </v>
      </c>
      <c r="G1714" t="s">
        <f>TEXT(D1714,"mmm dd")</f>
        <v>30</v>
      </c>
      <c r="I1714" t="s">
        <v>847</v>
      </c>
      <c r="J1714" t="s">
        <v>2135</v>
      </c>
      <c r="K1714" t="s">
        <v>2136</v>
      </c>
    </row>
    <row r="1715" spans="1:23">
      <c r="A1715">
        <v>31</v>
      </c>
      <c r="B1715">
        <v>10</v>
      </c>
      <c r="C1715">
        <v>2012</v>
      </c>
      <c r="D1715" s="3" t="s">
        <f>B1715&amp;"/"&amp;A1715&amp;"/"&amp;C1715</f>
        <v>2137</v>
      </c>
      <c r="E1715">
        <v>1.0208333333333333</v>
      </c>
      <c r="F1715" t="str">
        <f>I1715&amp;" "&amp;J1715&amp;" "&amp;K1715&amp;" "&amp;L1715&amp;" "&amp;M1715&amp;" "&amp;N1715</f>
        <v>Halloween party    </v>
      </c>
      <c r="G1715" t="s">
        <f>TEXT(D1715,"mmm dd")</f>
        <v>30</v>
      </c>
      <c r="I1715" t="s">
        <v>972</v>
      </c>
      <c r="J1715" t="s">
        <v>1346</v>
      </c>
    </row>
    <row r="1716" spans="1:23">
      <c r="A1716">
        <v>1</v>
      </c>
      <c r="B1716">
        <v>11</v>
      </c>
      <c r="C1716">
        <v>2012</v>
      </c>
      <c r="D1716" s="3" t="s">
        <f>B1716&amp;"/"&amp;A1716&amp;"/"&amp;C1716</f>
        <v>2138</v>
      </c>
      <c r="E1716">
        <v>0.125</v>
      </c>
      <c r="F1716" t="str">
        <f>I1716&amp;" "&amp;J1716&amp;" "&amp;K1716&amp;" "&amp;L1716&amp;" "&amp;M1716&amp;" "&amp;N1716</f>
        <v>Trick or treating at Palolo </v>
      </c>
      <c r="G1716" t="s">
        <f>TEXT(D1716,"mmm dd")</f>
        <v>978</v>
      </c>
      <c r="I1716" t="inlineStr">
        <is>
          <t>Trick</t>
        </is>
      </c>
      <c r="J1716" t="inlineStr">
        <is>
          <t>or</t>
        </is>
      </c>
      <c r="K1716" t="inlineStr">
        <is>
          <t>treating</t>
        </is>
      </c>
      <c r="L1716" t="s">
        <v>53</v>
      </c>
      <c r="M1716" t="inlineStr">
        <is>
          <t>Palolo</t>
        </is>
      </c>
    </row>
    <row r="1717" spans="1:23">
      <c r="A1717">
        <v>1</v>
      </c>
      <c r="B1717">
        <v>11</v>
      </c>
      <c r="C1717">
        <v>2012</v>
      </c>
      <c r="D1717" s="3" t="s">
        <f>B1717&amp;"/"&amp;A1717&amp;"/"&amp;C1717</f>
        <v>2138</v>
      </c>
      <c r="E1717">
        <v>0.125</v>
      </c>
      <c r="F1717" t="s">
        <f>I1717&amp;" "&amp;J1717&amp;" "&amp;K1717&amp;" "&amp;L1717&amp;" "&amp;M1717&amp;" "&amp;N1717</f>
        <v>1808</v>
      </c>
      <c r="G1717" t="s">
        <f>TEXT(D1717,"mmm dd")</f>
        <v>978</v>
      </c>
      <c r="I1717" t="s">
        <v>300</v>
      </c>
      <c r="J1717" t="s">
        <v>755</v>
      </c>
      <c r="K1717" t="s">
        <v>592</v>
      </c>
    </row>
    <row r="1718" spans="1:23">
      <c r="A1718">
        <v>2</v>
      </c>
      <c r="B1718">
        <v>11</v>
      </c>
      <c r="C1718">
        <v>2012</v>
      </c>
      <c r="D1718" s="3" t="str">
        <f>B1718&amp;"/"&amp;A1718&amp;"/"&amp;C1718</f>
        <v>11/2/2012</v>
      </c>
      <c r="E1718">
        <v>0.33333333333333331</v>
      </c>
      <c r="F1718" t="str">
        <f>I1718&amp;" "&amp;J1718&amp;" "&amp;K1718&amp;" "&amp;L1718&amp;" "&amp;M1718&amp;" "&amp;N1718</f>
        <v>Prop work    </v>
      </c>
      <c r="G1718" t="s">
        <f>TEXT(D1718,"mmm dd")</f>
        <v>32</v>
      </c>
      <c r="I1718" t="inlineStr">
        <is>
          <t>Prop</t>
        </is>
      </c>
      <c r="J1718" t="s">
        <v>990</v>
      </c>
    </row>
    <row r="1719" spans="1:23">
      <c r="A1719">
        <v>4</v>
      </c>
      <c r="B1719">
        <v>11</v>
      </c>
      <c r="C1719">
        <v>2012</v>
      </c>
      <c r="D1719" s="3" t="s">
        <f>B1719&amp;"/"&amp;A1719&amp;"/"&amp;C1719</f>
        <v>2139</v>
      </c>
      <c r="E1719">
        <v>0.89583333333333337</v>
      </c>
      <c r="F1719" t="str">
        <f>I1719&amp;" "&amp;J1719&amp;" "&amp;K1719&amp;" "&amp;L1719&amp;" "&amp;M1719&amp;" "&amp;N1719</f>
        <v>BILAC breakfast    </v>
      </c>
      <c r="G1719" t="s">
        <f>TEXT(D1719,"mmm dd")</f>
        <v>34</v>
      </c>
      <c r="I1719" t="s">
        <v>1640</v>
      </c>
      <c r="J1719" t="s">
        <v>1709</v>
      </c>
    </row>
    <row r="1720" spans="1:23">
      <c r="A1720">
        <v>4</v>
      </c>
      <c r="B1720">
        <v>11</v>
      </c>
      <c r="C1720">
        <v>2012</v>
      </c>
      <c r="D1720" s="3" t="s">
        <f>B1720&amp;"/"&amp;A1720&amp;"/"&amp;C1720</f>
        <v>2139</v>
      </c>
      <c r="E1720">
        <v>0.29166666666666669</v>
      </c>
      <c r="F1720" t="str">
        <f>I1720&amp;" "&amp;J1720&amp;" "&amp;K1720&amp;" "&amp;L1720&amp;" "&amp;M1720&amp;" "&amp;N1720</f>
        <v>Luau     </v>
      </c>
      <c r="G1720" t="s">
        <f>TEXT(D1720,"mmm dd")</f>
        <v>34</v>
      </c>
      <c r="I1720" t="s">
        <v>739</v>
      </c>
      <c r="O1720">
        <v>-220</v>
      </c>
    </row>
    <row r="1721" spans="1:23">
      <c r="A1721">
        <v>5</v>
      </c>
      <c r="B1721">
        <v>11</v>
      </c>
      <c r="C1721">
        <v>2012</v>
      </c>
      <c r="D1721" s="3" t="str">
        <f>B1721&amp;"/"&amp;A1721&amp;"/"&amp;C1721</f>
        <v>11/5/2012</v>
      </c>
      <c r="E1721">
        <v>0.89583333333333337</v>
      </c>
      <c r="F1721" t="str">
        <f>I1721&amp;" "&amp;J1721&amp;" "&amp;K1721&amp;" "&amp;L1721&amp;" "&amp;M1721&amp;" "&amp;N1721</f>
        <v>Play Rehearsal    </v>
      </c>
      <c r="G1721" t="s">
        <f>TEXT(D1721,"mmm dd")</f>
        <v>35</v>
      </c>
      <c r="I1721" t="s">
        <v>292</v>
      </c>
      <c r="J1721" t="s">
        <v>313</v>
      </c>
    </row>
    <row r="1722" spans="1:23">
      <c r="A1722">
        <v>9</v>
      </c>
      <c r="B1722">
        <v>11</v>
      </c>
      <c r="C1722">
        <v>2012</v>
      </c>
      <c r="D1722" s="3" t="s">
        <f>B1722&amp;"/"&amp;A1722&amp;"/"&amp;C1722</f>
        <v>2140</v>
      </c>
      <c r="E1722" t="s">
        <v>42</v>
      </c>
      <c r="F1722" t="str">
        <f>I1722&amp;" "&amp;J1722&amp;" "&amp;K1722&amp;" "&amp;L1722&amp;" "&amp;M1722&amp;" "&amp;N1722</f>
        <v>Sesquicential convention    </v>
      </c>
      <c r="G1722" t="s">
        <f>TEXT(D1722,"mmm dd")</f>
        <v>1421</v>
      </c>
      <c r="I1722" t="inlineStr">
        <is>
          <t>Sesquicential</t>
        </is>
      </c>
      <c r="J1722" t="s">
        <v>1415</v>
      </c>
    </row>
    <row r="1723" spans="1:23">
      <c r="A1723">
        <v>9</v>
      </c>
      <c r="B1723">
        <v>11</v>
      </c>
      <c r="C1723">
        <v>2012</v>
      </c>
      <c r="D1723" s="3" t="s">
        <f>B1723&amp;"/"&amp;A1723&amp;"/"&amp;C1723</f>
        <v>2140</v>
      </c>
      <c r="E1723">
        <v>1.0625</v>
      </c>
      <c r="F1723" t="s">
        <f>I1723&amp;" "&amp;J1723&amp;" "&amp;K1723&amp;" "&amp;L1723&amp;" "&amp;M1723&amp;" "&amp;N1723</f>
        <v>2122</v>
      </c>
      <c r="G1723" t="s">
        <f>TEXT(D1723,"mmm dd")</f>
        <v>1421</v>
      </c>
      <c r="I1723" t="s">
        <v>496</v>
      </c>
      <c r="J1723" t="s">
        <v>2123</v>
      </c>
    </row>
    <row r="1724" spans="1:23">
      <c r="A1724">
        <v>9</v>
      </c>
      <c r="B1724">
        <v>11</v>
      </c>
      <c r="C1724">
        <v>2012</v>
      </c>
      <c r="D1724" s="3" t="s">
        <f>B1724&amp;"/"&amp;A1724&amp;"/"&amp;C1724</f>
        <v>2140</v>
      </c>
      <c r="E1724">
        <v>0.91666666666666663</v>
      </c>
      <c r="F1724" t="s">
        <f>I1724&amp;" "&amp;J1724&amp;" "&amp;K1724&amp;" "&amp;L1724&amp;" "&amp;M1724&amp;" "&amp;N1724</f>
        <v>2141</v>
      </c>
      <c r="G1724" t="s">
        <f>TEXT(D1724,"mmm dd")</f>
        <v>1421</v>
      </c>
      <c r="I1724" t="s">
        <v>1575</v>
      </c>
      <c r="J1724" t="s">
        <v>1068</v>
      </c>
      <c r="K1724" t="s">
        <v>1750</v>
      </c>
      <c r="L1724" t="s">
        <v>2142</v>
      </c>
    </row>
    <row r="1725" spans="1:23">
      <c r="A1725">
        <v>10</v>
      </c>
      <c r="B1725">
        <v>11</v>
      </c>
      <c r="C1725">
        <v>2012</v>
      </c>
      <c r="D1725" s="3" t="str">
        <f>B1725&amp;"/"&amp;A1725&amp;"/"&amp;C1725</f>
        <v>11/10/2012</v>
      </c>
      <c r="E1725">
        <v>0.875</v>
      </c>
      <c r="F1725" t="s">
        <f>I1725&amp;" "&amp;J1725&amp;" "&amp;K1725&amp;" "&amp;L1725&amp;" "&amp;M1725&amp;" "&amp;N1725</f>
        <v>2141</v>
      </c>
      <c r="G1725" t="s">
        <f>TEXT(D1725,"mmm dd")</f>
        <v>983</v>
      </c>
      <c r="I1725" t="s">
        <v>1575</v>
      </c>
      <c r="J1725" t="s">
        <v>1068</v>
      </c>
      <c r="K1725" t="s">
        <v>1750</v>
      </c>
      <c r="L1725" t="s">
        <v>2142</v>
      </c>
    </row>
    <row r="1726" spans="1:23">
      <c r="A1726">
        <v>11</v>
      </c>
      <c r="B1726">
        <v>11</v>
      </c>
      <c r="C1726">
        <v>2012</v>
      </c>
      <c r="D1726" s="3" t="str">
        <f>B1726&amp;"/"&amp;A1726&amp;"/"&amp;C1726</f>
        <v>11/11/2012</v>
      </c>
      <c r="E1726">
        <v>0.70833333333333337</v>
      </c>
      <c r="F1726" t="str">
        <f>I1726&amp;" "&amp;J1726&amp;" "&amp;K1726&amp;" "&amp;L1726&amp;" "&amp;M1726&amp;" "&amp;N1726</f>
        <v>A Christmas Carol (Matinee)  </v>
      </c>
      <c r="G1726" t="s">
        <f>TEXT(D1726,"mmm dd")</f>
        <v>986</v>
      </c>
      <c r="I1726" t="s">
        <v>1575</v>
      </c>
      <c r="J1726" t="s">
        <v>1068</v>
      </c>
      <c r="K1726" t="s">
        <v>1750</v>
      </c>
      <c r="L1726" t="inlineStr">
        <is>
          <t>(Matinee)</t>
        </is>
      </c>
    </row>
    <row r="1727" spans="1:23">
      <c r="A1727">
        <v>12</v>
      </c>
      <c r="B1727">
        <v>11</v>
      </c>
      <c r="C1727">
        <v>2012</v>
      </c>
      <c r="D1727" s="3" t="str">
        <f>B1727&amp;"/"&amp;A1727&amp;"/"&amp;C1727</f>
        <v>11/12/2012</v>
      </c>
      <c r="E1727">
        <v>1.1041666666666667</v>
      </c>
      <c r="F1727" t="s">
        <f>I1727&amp;" "&amp;J1727&amp;" "&amp;K1727&amp;" "&amp;L1727&amp;" "&amp;M1727&amp;" "&amp;N1727</f>
        <v>2129</v>
      </c>
      <c r="G1727" t="s">
        <f>TEXT(D1727,"mmm dd")</f>
        <v>993</v>
      </c>
      <c r="I1727" t="s">
        <v>2130</v>
      </c>
      <c r="J1727" t="s">
        <v>2131</v>
      </c>
    </row>
    <row r="1728" spans="1:23">
      <c r="A1728">
        <v>13</v>
      </c>
      <c r="B1728">
        <v>11</v>
      </c>
      <c r="C1728">
        <v>2012</v>
      </c>
      <c r="D1728" s="3" t="str">
        <f>B1728&amp;"/"&amp;A1728&amp;"/"&amp;C1728</f>
        <v>11/13/2012</v>
      </c>
      <c r="E1728">
        <v>1.0833333333333333</v>
      </c>
      <c r="F1728" t="s">
        <f>I1728&amp;" "&amp;J1728&amp;" "&amp;K1728&amp;" "&amp;L1728&amp;" "&amp;M1728&amp;" "&amp;N1728</f>
        <v>2033</v>
      </c>
      <c r="G1728" t="s">
        <f>TEXT(D1728,"mmm dd")</f>
        <v>37</v>
      </c>
      <c r="I1728" t="s">
        <v>1892</v>
      </c>
    </row>
    <row r="1729" spans="1:23">
      <c r="A1729">
        <v>14</v>
      </c>
      <c r="B1729">
        <v>11</v>
      </c>
      <c r="C1729">
        <v>2012</v>
      </c>
      <c r="D1729" s="3" t="s">
        <f>B1729&amp;"/"&amp;A1729&amp;"/"&amp;C1729</f>
        <v>2143</v>
      </c>
      <c r="E1729">
        <v>1</v>
      </c>
      <c r="F1729" t="str">
        <f>I1729&amp;" "&amp;J1729&amp;" "&amp;K1729&amp;" "&amp;L1729&amp;" "&amp;M1729&amp;" "&amp;N1729</f>
        <v>Sign loan docs   </v>
      </c>
      <c r="G1729" t="s">
        <f>TEXT(D1729,"mmm dd")</f>
        <v>1007</v>
      </c>
      <c r="I1729" t="s">
        <v>2144</v>
      </c>
      <c r="J1729" t="inlineStr">
        <is>
          <t>loan</t>
        </is>
      </c>
      <c r="K1729" t="s">
        <v>1765</v>
      </c>
    </row>
    <row r="1730" spans="1:23">
      <c r="A1730">
        <v>14</v>
      </c>
      <c r="B1730">
        <v>11</v>
      </c>
      <c r="C1730">
        <v>2012</v>
      </c>
      <c r="D1730" s="3" t="s">
        <f>B1730&amp;"/"&amp;A1730&amp;"/"&amp;C1730</f>
        <v>2143</v>
      </c>
      <c r="E1730">
        <v>0.9375</v>
      </c>
      <c r="F1730" t="str">
        <f>I1730&amp;" "&amp;J1730&amp;" "&amp;K1730&amp;" "&amp;L1730&amp;" "&amp;M1730&amp;" "&amp;N1730</f>
        <v>Sign divorce doc   </v>
      </c>
      <c r="G1730" t="s">
        <f>TEXT(D1730,"mmm dd")</f>
        <v>1007</v>
      </c>
      <c r="I1730" t="s">
        <v>2144</v>
      </c>
      <c r="J1730" t="inlineStr">
        <is>
          <t>divorce</t>
        </is>
      </c>
      <c r="K1730" t="inlineStr">
        <is>
          <t>doc</t>
        </is>
      </c>
    </row>
    <row r="1731" spans="1:23">
      <c r="A1731">
        <v>14</v>
      </c>
      <c r="B1731">
        <v>11</v>
      </c>
      <c r="C1731">
        <v>2012</v>
      </c>
      <c r="D1731" s="3" t="s">
        <f>B1731&amp;"/"&amp;A1731&amp;"/"&amp;C1731</f>
        <v>2143</v>
      </c>
      <c r="E1731">
        <v>1.1041666666666667</v>
      </c>
      <c r="F1731" t="str">
        <f>I1731&amp;" "&amp;J1731&amp;" "&amp;K1731&amp;" "&amp;L1731&amp;" "&amp;M1731&amp;" "&amp;N1731</f>
        <v>Ed Division Thanksgiving   </v>
      </c>
      <c r="G1731" t="s">
        <f>TEXT(D1731,"mmm dd")</f>
        <v>1007</v>
      </c>
      <c r="I1731" t="s">
        <v>1872</v>
      </c>
      <c r="J1731" t="s">
        <v>1970</v>
      </c>
      <c r="K1731" t="s">
        <v>1660</v>
      </c>
    </row>
    <row r="1732" spans="1:23">
      <c r="A1732">
        <v>14</v>
      </c>
      <c r="B1732">
        <v>11</v>
      </c>
      <c r="C1732">
        <v>2012</v>
      </c>
      <c r="D1732" s="3" t="s">
        <f>B1732&amp;"/"&amp;A1732&amp;"/"&amp;C1732</f>
        <v>2143</v>
      </c>
      <c r="E1732">
        <v>0.27083333333333331</v>
      </c>
      <c r="F1732" t="str">
        <f>I1732&amp;" "&amp;J1732&amp;" "&amp;K1732&amp;" "&amp;L1732&amp;" "&amp;M1732&amp;" "&amp;N1732</f>
        <v>MP meeting with students  </v>
      </c>
      <c r="G1732" t="s">
        <f>TEXT(D1732,"mmm dd")</f>
        <v>1007</v>
      </c>
      <c r="I1732" t="s">
        <v>1664</v>
      </c>
      <c r="J1732" t="s">
        <v>842</v>
      </c>
      <c r="K1732" t="s">
        <v>755</v>
      </c>
      <c r="L1732" t="inlineStr">
        <is>
          <t>students</t>
        </is>
      </c>
    </row>
    <row r="1733" spans="1:23">
      <c r="A1733">
        <v>14</v>
      </c>
      <c r="B1733">
        <v>11</v>
      </c>
      <c r="C1733">
        <v>2012</v>
      </c>
      <c r="D1733" s="3" t="s">
        <f>B1733&amp;"/"&amp;A1733&amp;"/"&amp;C1733</f>
        <v>2143</v>
      </c>
      <c r="E1733">
        <v>0.72916666666666663</v>
      </c>
      <c r="F1733" t="s">
        <f>I1733&amp;" "&amp;J1733&amp;" "&amp;K1733&amp;" "&amp;L1733&amp;" "&amp;M1733&amp;" "&amp;N1733</f>
        <v>1734</v>
      </c>
      <c r="G1733" t="s">
        <f>TEXT(D1733,"mmm dd")</f>
        <v>1007</v>
      </c>
      <c r="I1733" t="s">
        <v>188</v>
      </c>
      <c r="J1733" t="s">
        <v>189</v>
      </c>
    </row>
    <row r="1734" spans="1:23">
      <c r="A1734">
        <v>15</v>
      </c>
      <c r="B1734">
        <v>11</v>
      </c>
      <c r="C1734">
        <v>2012</v>
      </c>
      <c r="D1734" s="3" t="str">
        <f>B1734&amp;"/"&amp;A1734&amp;"/"&amp;C1734</f>
        <v>11/15/2012</v>
      </c>
      <c r="E1734">
        <v>1.0416666666666667</v>
      </c>
      <c r="F1734" t="str">
        <f>I1734&amp;" "&amp;J1734&amp;" "&amp;K1734&amp;" "&amp;L1734&amp;" "&amp;M1734&amp;" "&amp;N1734</f>
        <v>MEA meeting    </v>
      </c>
      <c r="G1734" t="s">
        <f>TEXT(D1734,"mmm dd")</f>
        <v>1012</v>
      </c>
      <c r="I1734" t="s">
        <v>1955</v>
      </c>
      <c r="J1734" t="s">
        <v>842</v>
      </c>
    </row>
    <row r="1735" spans="1:23">
      <c r="A1735">
        <v>19</v>
      </c>
      <c r="B1735">
        <v>11</v>
      </c>
      <c r="C1735">
        <v>2012</v>
      </c>
      <c r="D1735" s="3" t="str">
        <f>B1735&amp;"/"&amp;A1735&amp;"/"&amp;C1735</f>
        <v>11/19/2012</v>
      </c>
      <c r="E1735">
        <v>0.27083333333333331</v>
      </c>
      <c r="F1735" t="s">
        <f>I1735&amp;" "&amp;J1735&amp;" "&amp;K1735&amp;" "&amp;L1735&amp;" "&amp;M1735&amp;" "&amp;N1735</f>
        <v>1930</v>
      </c>
      <c r="G1735" t="s">
        <f>TEXT(D1735,"mmm dd")</f>
        <v>1426</v>
      </c>
      <c r="I1735" t="s">
        <v>1880</v>
      </c>
    </row>
    <row r="1736" spans="1:23">
      <c r="A1736">
        <v>20</v>
      </c>
      <c r="B1736">
        <v>11</v>
      </c>
      <c r="C1736">
        <v>2012</v>
      </c>
      <c r="D1736" s="3" t="str">
        <f>B1736&amp;"/"&amp;A1736&amp;"/"&amp;C1736</f>
        <v>11/20/2012</v>
      </c>
      <c r="E1736">
        <v>0.16666666666666666</v>
      </c>
      <c r="F1736" t="str">
        <f>I1736&amp;" "&amp;J1736&amp;" "&amp;K1736&amp;" "&amp;L1736&amp;" "&amp;M1736&amp;" "&amp;N1736</f>
        <v>Strike set for play  </v>
      </c>
      <c r="G1736" t="s">
        <f>TEXT(D1736,"mmm dd")</f>
        <v>1030</v>
      </c>
      <c r="I1736" t="inlineStr">
        <is>
          <t>Strike</t>
        </is>
      </c>
      <c r="J1736" t="s">
        <v>2145</v>
      </c>
      <c r="K1736" t="s">
        <v>439</v>
      </c>
      <c r="L1736" t="s">
        <v>54</v>
      </c>
    </row>
    <row r="1737" spans="1:23">
      <c r="A1737">
        <v>21</v>
      </c>
      <c r="B1737">
        <v>11</v>
      </c>
      <c r="C1737">
        <v>2012</v>
      </c>
      <c r="D1737" s="3" t="str">
        <f>B1737&amp;"/"&amp;A1737&amp;"/"&amp;C1737</f>
        <v>11/21/2012</v>
      </c>
      <c r="E1737">
        <v>0.125</v>
      </c>
      <c r="F1737" t="s">
        <f>I1737&amp;" "&amp;J1737&amp;" "&amp;K1737&amp;" "&amp;L1737&amp;" "&amp;M1737&amp;" "&amp;N1737</f>
        <v>2132</v>
      </c>
      <c r="G1737" t="s">
        <f>TEXT(D1737,"mmm dd")</f>
        <v>2146</v>
      </c>
      <c r="I1737" t="s">
        <v>1902</v>
      </c>
      <c r="J1737" t="s">
        <v>2133</v>
      </c>
    </row>
    <row r="1738" spans="1:23">
      <c r="A1738">
        <v>23</v>
      </c>
      <c r="B1738">
        <v>11</v>
      </c>
      <c r="C1738">
        <v>2012</v>
      </c>
      <c r="D1738" s="3" t="s">
        <f>B1738&amp;"/"&amp;A1738&amp;"/"&amp;C1738</f>
        <v>2147</v>
      </c>
      <c r="E1738">
        <v>0.25</v>
      </c>
      <c r="F1738" t="s">
        <f>I1738&amp;" "&amp;J1738&amp;" "&amp;K1738&amp;" "&amp;L1738&amp;" "&amp;M1738&amp;" "&amp;N1738</f>
        <v>1942</v>
      </c>
      <c r="G1738" t="s">
        <f>TEXT(D1738,"mmm dd")</f>
        <v>1035</v>
      </c>
      <c r="I1738" t="s">
        <v>838</v>
      </c>
    </row>
    <row r="1739" spans="1:23">
      <c r="A1739">
        <v>23</v>
      </c>
      <c r="B1739">
        <v>11</v>
      </c>
      <c r="C1739">
        <v>2012</v>
      </c>
      <c r="D1739" s="3" t="s">
        <f>B1739&amp;"/"&amp;A1739&amp;"/"&amp;C1739</f>
        <v>2147</v>
      </c>
      <c r="E1739">
        <v>0.95833333333333337</v>
      </c>
      <c r="F1739" t="str">
        <f>I1739&amp;" "&amp;J1739&amp;" "&amp;K1739&amp;" "&amp;L1739&amp;" "&amp;M1739&amp;" "&amp;N1739</f>
        <v>Into office    </v>
      </c>
      <c r="G1739" t="s">
        <f>TEXT(D1739,"mmm dd")</f>
        <v>1035</v>
      </c>
      <c r="I1739" t="inlineStr">
        <is>
          <t>Into</t>
        </is>
      </c>
      <c r="J1739" t="s">
        <v>2148</v>
      </c>
    </row>
    <row r="1740" spans="1:23">
      <c r="A1740">
        <v>26</v>
      </c>
      <c r="B1740">
        <v>11</v>
      </c>
      <c r="C1740">
        <v>2012</v>
      </c>
      <c r="D1740" s="3" t="str">
        <f>B1740&amp;"/"&amp;A1740&amp;"/"&amp;C1740</f>
        <v>11/26/2012</v>
      </c>
      <c r="E1740">
        <v>0.27083333333333331</v>
      </c>
      <c r="F1740" t="s">
        <f>I1740&amp;" "&amp;J1740&amp;" "&amp;K1740&amp;" "&amp;L1740&amp;" "&amp;M1740&amp;" "&amp;N1740</f>
        <v>1569</v>
      </c>
      <c r="G1740" t="s">
        <f>TEXT(D1740,"mmm dd")</f>
        <v>1661</v>
      </c>
      <c r="I1740" t="s">
        <v>1543</v>
      </c>
    </row>
    <row r="1741" spans="1:23">
      <c r="A1741">
        <v>27</v>
      </c>
      <c r="B1741">
        <v>11</v>
      </c>
      <c r="C1741">
        <v>2012</v>
      </c>
      <c r="D1741" s="3" t="s">
        <f>B1741&amp;"/"&amp;A1741&amp;"/"&amp;C1741</f>
        <v>2149</v>
      </c>
      <c r="E1741">
        <v>1.0833333333333333</v>
      </c>
      <c r="F1741" t="s">
        <f>I1741&amp;" "&amp;J1741&amp;" "&amp;K1741&amp;" "&amp;L1741&amp;" "&amp;M1741&amp;" "&amp;N1741</f>
        <v>2033</v>
      </c>
      <c r="G1741" t="s">
        <f>TEXT(D1741,"mmm dd")</f>
        <v>1045</v>
      </c>
      <c r="I1741" t="s">
        <v>1892</v>
      </c>
    </row>
    <row r="1742" spans="1:23">
      <c r="A1742">
        <v>27</v>
      </c>
      <c r="B1742">
        <v>11</v>
      </c>
      <c r="C1742">
        <v>2012</v>
      </c>
      <c r="D1742" s="3" t="s">
        <f>B1742&amp;"/"&amp;A1742&amp;"/"&amp;C1742</f>
        <v>2149</v>
      </c>
      <c r="E1742">
        <v>0.875</v>
      </c>
      <c r="F1742" t="s">
        <f>I1742&amp;" "&amp;J1742&amp;" "&amp;K1742&amp;" "&amp;L1742&amp;" "&amp;M1742&amp;" "&amp;N1742</f>
        <v>1225</v>
      </c>
      <c r="G1742" t="s">
        <f>TEXT(D1742,"mmm dd")</f>
        <v>1045</v>
      </c>
      <c r="I1742" t="s">
        <v>847</v>
      </c>
      <c r="J1742" t="s">
        <v>770</v>
      </c>
    </row>
    <row r="1743" spans="1:23">
      <c r="A1743">
        <v>28</v>
      </c>
      <c r="B1743">
        <v>11</v>
      </c>
      <c r="C1743">
        <v>2012</v>
      </c>
      <c r="D1743" s="3" t="s">
        <f>B1743&amp;"/"&amp;A1743&amp;"/"&amp;C1743</f>
        <v>2150</v>
      </c>
      <c r="E1743">
        <v>0.25</v>
      </c>
      <c r="F1743" t="str">
        <f>I1743&amp;" "&amp;J1743&amp;" "&amp;K1743&amp;" "&amp;L1743&amp;" "&amp;M1743&amp;" "&amp;N1743</f>
        <v>Mass Hale Malia   </v>
      </c>
      <c r="G1743" t="s">
        <f>TEXT(D1743,"mmm dd")</f>
        <v>1435</v>
      </c>
      <c r="I1743" t="s">
        <v>1273</v>
      </c>
      <c r="J1743" t="s">
        <v>1727</v>
      </c>
      <c r="K1743" t="s">
        <v>1728</v>
      </c>
    </row>
    <row r="1744" spans="1:23">
      <c r="A1744">
        <v>28</v>
      </c>
      <c r="B1744">
        <v>11</v>
      </c>
      <c r="C1744">
        <v>2012</v>
      </c>
      <c r="D1744" s="3" t="s">
        <f>B1744&amp;"/"&amp;A1744&amp;"/"&amp;C1744</f>
        <v>2150</v>
      </c>
      <c r="E1744">
        <v>0.83680555555555558</v>
      </c>
      <c r="F1744" t="str">
        <f>I1744&amp;" "&amp;J1744&amp;" "&amp;K1744&amp;" "&amp;L1744&amp;" "&amp;M1744&amp;" "&amp;N1744</f>
        <v>Delta flight    </v>
      </c>
      <c r="G1744" t="s">
        <f>TEXT(D1744,"mmm dd")</f>
        <v>1435</v>
      </c>
      <c r="I1744" t="inlineStr">
        <is>
          <t>Delta</t>
        </is>
      </c>
      <c r="J1744" t="s">
        <v>1646</v>
      </c>
    </row>
    <row r="1745" spans="1:23">
      <c r="A1745">
        <v>28</v>
      </c>
      <c r="B1745">
        <v>11</v>
      </c>
      <c r="C1745">
        <v>2012</v>
      </c>
      <c r="D1745" s="3" t="s">
        <f>B1745&amp;"/"&amp;A1745&amp;"/"&amp;C1745</f>
        <v>2150</v>
      </c>
      <c r="E1745">
        <v>1.0416666666666667</v>
      </c>
      <c r="F1745" t="str">
        <f>I1745&amp;" "&amp;J1745&amp;" "&amp;K1745&amp;" "&amp;L1745&amp;" "&amp;M1745&amp;" "&amp;N1745</f>
        <v>Get fabric    </v>
      </c>
      <c r="G1745" t="s">
        <f>TEXT(D1745,"mmm dd")</f>
        <v>1435</v>
      </c>
      <c r="I1745" t="s">
        <v>1332</v>
      </c>
      <c r="J1745" t="inlineStr">
        <is>
          <t>fabric</t>
        </is>
      </c>
    </row>
    <row r="1746" spans="1:23">
      <c r="A1746">
        <v>28</v>
      </c>
      <c r="B1746">
        <v>11</v>
      </c>
      <c r="C1746">
        <v>2012</v>
      </c>
      <c r="D1746" s="3" t="s">
        <f>B1746&amp;"/"&amp;A1746&amp;"/"&amp;C1746</f>
        <v>2150</v>
      </c>
      <c r="E1746">
        <v>0.64583333333333337</v>
      </c>
      <c r="F1746" t="str">
        <f>I1746&amp;" "&amp;J1746&amp;" "&amp;K1746&amp;" "&amp;L1746&amp;" "&amp;M1746&amp;" "&amp;N1746</f>
        <v>Lunar eclipse    </v>
      </c>
      <c r="G1746" t="s">
        <f>TEXT(D1746,"mmm dd")</f>
        <v>1435</v>
      </c>
      <c r="I1746" t="inlineStr">
        <is>
          <t>Lunar</t>
        </is>
      </c>
      <c r="J1746" t="s">
        <v>1960</v>
      </c>
    </row>
    <row r="1747" spans="1:23">
      <c r="A1747">
        <v>30</v>
      </c>
      <c r="B1747">
        <v>11</v>
      </c>
      <c r="C1747">
        <v>2012</v>
      </c>
      <c r="D1747" s="3" t="s">
        <f>B1747&amp;"/"&amp;A1747&amp;"/"&amp;C1747</f>
        <v>2151</v>
      </c>
      <c r="E1747">
        <v>0.9375</v>
      </c>
      <c r="F1747" t="s">
        <f>I1747&amp;" "&amp;J1747&amp;" "&amp;K1747&amp;" "&amp;L1747&amp;" "&amp;M1747&amp;" "&amp;N1747</f>
        <v>2152</v>
      </c>
      <c r="G1747" t="s">
        <f>TEXT(D1747,"mmm dd")</f>
        <v>1051</v>
      </c>
      <c r="I1747" t="s">
        <v>1539</v>
      </c>
      <c r="J1747" t="s">
        <v>1540</v>
      </c>
    </row>
    <row r="1748" spans="1:23">
      <c r="A1748">
        <v>30</v>
      </c>
      <c r="B1748">
        <v>11</v>
      </c>
      <c r="C1748">
        <v>2012</v>
      </c>
      <c r="D1748" s="3" t="s">
        <f>B1748&amp;"/"&amp;A1748&amp;"/"&amp;C1748</f>
        <v>2151</v>
      </c>
      <c r="E1748">
        <v>1.0416666666666667</v>
      </c>
      <c r="F1748" t="str">
        <f>I1748&amp;" "&amp;J1748&amp;" "&amp;K1748&amp;" "&amp;L1748&amp;" "&amp;M1748&amp;" "&amp;N1748</f>
        <v>Get marriage license   </v>
      </c>
      <c r="G1748" t="s">
        <f>TEXT(D1748,"mmm dd")</f>
        <v>1051</v>
      </c>
      <c r="I1748" t="s">
        <v>1332</v>
      </c>
      <c r="J1748" t="s">
        <v>1106</v>
      </c>
      <c r="K1748" t="inlineStr">
        <is>
          <t>license</t>
        </is>
      </c>
    </row>
    <row r="1749" spans="1:23">
      <c r="A1749">
        <v>1</v>
      </c>
      <c r="B1749">
        <v>12</v>
      </c>
      <c r="C1749">
        <v>2012</v>
      </c>
      <c r="D1749" s="3" t="str">
        <f>B1749&amp;"/"&amp;A1749&amp;"/"&amp;C1749</f>
        <v>12/1/2012</v>
      </c>
      <c r="E1749">
        <v>0.95833333333333337</v>
      </c>
      <c r="F1749" t="str">
        <f>I1749&amp;" "&amp;J1749&amp;" "&amp;K1749&amp;" "&amp;L1749&amp;" "&amp;M1749&amp;" "&amp;N1749</f>
        <v>Cast Party at Ewa Beach </v>
      </c>
      <c r="G1749" t="s">
        <f>TEXT(D1749,"mmm dd")</f>
        <v>1437</v>
      </c>
      <c r="I1749" t="inlineStr">
        <is>
          <t>Cast</t>
        </is>
      </c>
      <c r="J1749" t="s">
        <v>1052</v>
      </c>
      <c r="K1749" t="s">
        <v>53</v>
      </c>
      <c r="L1749" t="s">
        <v>1714</v>
      </c>
      <c r="M1749" t="s">
        <v>1715</v>
      </c>
    </row>
    <row r="1750" spans="1:23">
      <c r="A1750">
        <v>4</v>
      </c>
      <c r="B1750">
        <v>12</v>
      </c>
      <c r="C1750">
        <v>2012</v>
      </c>
      <c r="D1750" s="3" t="str">
        <f>B1750&amp;"/"&amp;A1750&amp;"/"&amp;C1750</f>
        <v>12/4/2012</v>
      </c>
      <c r="E1750">
        <v>1</v>
      </c>
      <c r="F1750" t="s">
        <f>I1750&amp;" "&amp;J1750&amp;" "&amp;K1750&amp;" "&amp;L1750&amp;" "&amp;M1750&amp;" "&amp;N1750</f>
        <v>2153</v>
      </c>
      <c r="G1750" t="s">
        <f>TEXT(D1750,"mmm dd")</f>
        <v>1057</v>
      </c>
      <c r="I1750" t="s">
        <v>813</v>
      </c>
      <c r="J1750" t="s">
        <v>755</v>
      </c>
      <c r="K1750" t="s">
        <v>1266</v>
      </c>
    </row>
    <row r="1751" spans="1:23">
      <c r="A1751">
        <v>8</v>
      </c>
      <c r="B1751">
        <v>12</v>
      </c>
      <c r="C1751">
        <v>2012</v>
      </c>
      <c r="D1751" s="3" t="str">
        <f>B1751&amp;"/"&amp;A1751&amp;"/"&amp;C1751</f>
        <v>12/8/2012</v>
      </c>
      <c r="E1751">
        <v>0.13541666666666666</v>
      </c>
      <c r="F1751" t="s">
        <f>I1751&amp;" "&amp;J1751&amp;" "&amp;K1751&amp;" "&amp;L1751&amp;" "&amp;M1751&amp;" "&amp;N1751</f>
        <v>2129</v>
      </c>
      <c r="G1751" t="s">
        <f>TEXT(D1751,"mmm dd")</f>
        <v>2154</v>
      </c>
      <c r="I1751" t="s">
        <v>2130</v>
      </c>
      <c r="J1751" t="s">
        <v>2131</v>
      </c>
    </row>
    <row r="1752" spans="1:23">
      <c r="A1752">
        <v>10</v>
      </c>
      <c r="B1752">
        <v>12</v>
      </c>
      <c r="C1752">
        <v>2012</v>
      </c>
      <c r="D1752" s="3" t="s">
        <f>B1752&amp;"/"&amp;A1752&amp;"/"&amp;C1752</f>
        <v>2155</v>
      </c>
      <c r="E1752">
        <v>0.41666666666666669</v>
      </c>
      <c r="F1752" t="str">
        <f>I1752&amp;" "&amp;J1752&amp;" "&amp;K1752&amp;" "&amp;L1752&amp;" "&amp;M1752&amp;" "&amp;N1752</f>
        <v>Travel to Ko'olina   </v>
      </c>
      <c r="G1752" t="s">
        <f>TEXT(D1752,"mmm dd")</f>
        <v>1452</v>
      </c>
      <c r="I1752" t="s">
        <v>1971</v>
      </c>
      <c r="J1752" t="s">
        <v>449</v>
      </c>
      <c r="K1752" t="inlineStr">
        <is>
          <t>Ko'olina</t>
        </is>
      </c>
    </row>
    <row r="1753" spans="1:23">
      <c r="A1753">
        <v>10</v>
      </c>
      <c r="B1753">
        <v>12</v>
      </c>
      <c r="C1753">
        <v>2012</v>
      </c>
      <c r="D1753" s="3" t="s">
        <f>B1753&amp;"/"&amp;A1753&amp;"/"&amp;C1753</f>
        <v>2155</v>
      </c>
      <c r="E1753">
        <v>0.79166666666666663</v>
      </c>
      <c r="F1753" t="str">
        <f>I1753&amp;" "&amp;J1753&amp;" "&amp;K1753&amp;" "&amp;L1753&amp;" "&amp;M1753&amp;" "&amp;N1753</f>
        <v>Ko'Olina     </v>
      </c>
      <c r="G1753" t="s">
        <f>TEXT(D1753,"mmm dd")</f>
        <v>1452</v>
      </c>
      <c r="I1753" t="inlineStr">
        <is>
          <t>Ko'Olina</t>
        </is>
      </c>
    </row>
    <row r="1754" spans="1:23">
      <c r="A1754">
        <v>10</v>
      </c>
      <c r="B1754">
        <v>12</v>
      </c>
      <c r="C1754">
        <v>2012</v>
      </c>
      <c r="D1754" s="3" t="s">
        <f>B1754&amp;"/"&amp;A1754&amp;"/"&amp;C1754</f>
        <v>2155</v>
      </c>
      <c r="E1754">
        <v>0.16666666666666666</v>
      </c>
      <c r="F1754" t="str">
        <f>I1754&amp;" "&amp;J1754&amp;" "&amp;K1754&amp;" "&amp;L1754&amp;" "&amp;M1754&amp;" "&amp;N1754</f>
        <v>Wedding at Punaluu   </v>
      </c>
      <c r="G1754" t="s">
        <f>TEXT(D1754,"mmm dd")</f>
        <v>1452</v>
      </c>
      <c r="I1754" t="s">
        <v>526</v>
      </c>
      <c r="J1754" t="s">
        <v>53</v>
      </c>
      <c r="K1754" t="inlineStr">
        <is>
          <t>Punaluu</t>
        </is>
      </c>
    </row>
    <row r="1755" spans="1:23">
      <c r="A1755">
        <v>11</v>
      </c>
      <c r="B1755">
        <v>12</v>
      </c>
      <c r="C1755">
        <v>2012</v>
      </c>
      <c r="D1755" s="3" t="str">
        <f>B1755&amp;"/"&amp;A1755&amp;"/"&amp;C1755</f>
        <v>12/11/2012</v>
      </c>
      <c r="E1755">
        <v>1.0208333333333333</v>
      </c>
      <c r="F1755" t="str">
        <f>I1755&amp;" "&amp;J1755&amp;" "&amp;K1755&amp;" "&amp;L1755&amp;" "&amp;M1755&amp;" "&amp;N1755</f>
        <v>Berta portfolio    </v>
      </c>
      <c r="G1755" t="s">
        <f>TEXT(D1755,"mmm dd")</f>
        <v>1455</v>
      </c>
      <c r="I1755" t="s">
        <v>2066</v>
      </c>
      <c r="J1755" t="s">
        <v>2156</v>
      </c>
    </row>
    <row r="1756" spans="1:23">
      <c r="A1756">
        <v>12</v>
      </c>
      <c r="B1756">
        <v>12</v>
      </c>
      <c r="C1756">
        <v>2012</v>
      </c>
      <c r="D1756" s="3" t="s">
        <f>B1756&amp;"/"&amp;A1756&amp;"/"&amp;C1756</f>
        <v>2157</v>
      </c>
      <c r="E1756">
        <v>1.0208333333333333</v>
      </c>
      <c r="F1756" t="str">
        <f>I1756&amp;" "&amp;J1756&amp;" "&amp;K1756&amp;" "&amp;L1756&amp;" "&amp;M1756&amp;" "&amp;N1756</f>
        <v>Bishop's signature    </v>
      </c>
      <c r="G1756" t="s">
        <f>TEXT(D1756,"mmm dd")</f>
        <v>1067</v>
      </c>
      <c r="I1756" t="s">
        <v>2158</v>
      </c>
      <c r="J1756" t="s">
        <v>2159</v>
      </c>
    </row>
    <row r="1757" spans="1:23">
      <c r="A1757">
        <v>12</v>
      </c>
      <c r="B1757">
        <v>12</v>
      </c>
      <c r="C1757">
        <v>2012</v>
      </c>
      <c r="D1757" s="3" t="s">
        <f>B1757&amp;"/"&amp;A1757&amp;"/"&amp;C1757</f>
        <v>2157</v>
      </c>
      <c r="E1757">
        <v>0.95833333333333337</v>
      </c>
      <c r="F1757" t="s">
        <f>I1757&amp;" "&amp;J1757&amp;" "&amp;K1757&amp;" "&amp;L1757&amp;" "&amp;M1757&amp;" "&amp;N1757</f>
        <v>2033</v>
      </c>
      <c r="G1757" t="s">
        <f>TEXT(D1757,"mmm dd")</f>
        <v>1067</v>
      </c>
      <c r="I1757" t="s">
        <v>1892</v>
      </c>
    </row>
    <row r="1758" spans="1:23">
      <c r="A1758">
        <v>12</v>
      </c>
      <c r="B1758">
        <v>12</v>
      </c>
      <c r="C1758">
        <v>2012</v>
      </c>
      <c r="D1758" s="3" t="s">
        <f>B1758&amp;"/"&amp;A1758&amp;"/"&amp;C1758</f>
        <v>2157</v>
      </c>
      <c r="E1758">
        <v>0.14583333333333334</v>
      </c>
      <c r="F1758" t="str">
        <f>I1758&amp;" "&amp;J1758&amp;" "&amp;K1758&amp;" "&amp;L1758&amp;" "&amp;M1758&amp;" "&amp;N1758</f>
        <v>Bloodbank   call Char </v>
      </c>
      <c r="G1758" t="s">
        <f>TEXT(D1758,"mmm dd")</f>
        <v>1067</v>
      </c>
      <c r="I1758" t="s">
        <v>2014</v>
      </c>
      <c r="L1758" t="s">
        <v>418</v>
      </c>
      <c r="M1758" t="s">
        <v>1231</v>
      </c>
    </row>
    <row r="1759" spans="1:23">
      <c r="A1759">
        <v>13</v>
      </c>
      <c r="B1759">
        <v>12</v>
      </c>
      <c r="C1759">
        <v>2012</v>
      </c>
      <c r="D1759" s="3" t="s">
        <f>B1759&amp;"/"&amp;A1759&amp;"/"&amp;C1759</f>
        <v>2160</v>
      </c>
      <c r="E1759">
        <v>0.29166666666666669</v>
      </c>
      <c r="F1759" t="str">
        <f>I1759&amp;" "&amp;J1759&amp;" "&amp;K1759&amp;" "&amp;L1759&amp;" "&amp;M1759&amp;" "&amp;N1759</f>
        <v>Priory orchestra concert   </v>
      </c>
      <c r="G1759" t="s">
        <f>TEXT(D1759,"mmm dd")</f>
        <v>1071</v>
      </c>
      <c r="I1759" t="s">
        <v>756</v>
      </c>
      <c r="J1759" t="s">
        <v>987</v>
      </c>
      <c r="K1759" t="s">
        <v>205</v>
      </c>
    </row>
    <row r="1760" spans="1:23">
      <c r="A1760">
        <v>13</v>
      </c>
      <c r="B1760">
        <v>12</v>
      </c>
      <c r="C1760">
        <v>2012</v>
      </c>
      <c r="D1760" s="3" t="s">
        <f>B1760&amp;"/"&amp;A1760&amp;"/"&amp;C1760</f>
        <v>2160</v>
      </c>
      <c r="E1760">
        <v>0.35416666666666669</v>
      </c>
      <c r="F1760" t="str">
        <f>I1760&amp;" "&amp;J1760&amp;" "&amp;K1760&amp;" "&amp;L1760&amp;" "&amp;M1760&amp;" "&amp;N1760</f>
        <v>Sandy concert Springsteen et al </v>
      </c>
      <c r="G1760" t="s">
        <f>TEXT(D1760,"mmm dd")</f>
        <v>1071</v>
      </c>
      <c r="I1760" t="inlineStr">
        <is>
          <t>Sandy</t>
        </is>
      </c>
      <c r="J1760" t="s">
        <v>205</v>
      </c>
      <c r="K1760" t="inlineStr">
        <is>
          <t>Springsteen</t>
        </is>
      </c>
      <c r="L1760" t="s">
        <v>1589</v>
      </c>
      <c r="M1760" t="s">
        <v>1590</v>
      </c>
    </row>
    <row r="1761" spans="1:23">
      <c r="A1761">
        <v>14</v>
      </c>
      <c r="B1761">
        <v>12</v>
      </c>
      <c r="C1761">
        <v>2012</v>
      </c>
      <c r="D1761" s="3" t="str">
        <f>B1761&amp;"/"&amp;A1761&amp;"/"&amp;C1761</f>
        <v>12/14/2012</v>
      </c>
      <c r="E1761">
        <v>1.0208333333333333</v>
      </c>
      <c r="F1761" t="str">
        <f>I1761&amp;" "&amp;J1761&amp;" "&amp;K1761&amp;" "&amp;L1761&amp;" "&amp;M1761&amp;" "&amp;N1761</f>
        <v>Pauhana Christmas Party   </v>
      </c>
      <c r="G1761" t="s">
        <f>TEXT(D1761,"mmm dd")</f>
        <v>1079</v>
      </c>
      <c r="I1761" t="inlineStr">
        <is>
          <t>Pauhana</t>
        </is>
      </c>
      <c r="J1761" t="s">
        <v>1068</v>
      </c>
      <c r="K1761" t="s">
        <v>1052</v>
      </c>
      <c r="O1761" t="s">
        <v>2048</v>
      </c>
    </row>
    <row r="1762" spans="1:23">
      <c r="A1762">
        <v>17</v>
      </c>
      <c r="B1762">
        <v>12</v>
      </c>
      <c r="C1762">
        <v>2012</v>
      </c>
      <c r="D1762" s="3" t="str">
        <f>B1762&amp;"/"&amp;A1762&amp;"/"&amp;C1762</f>
        <v>12/17/2012</v>
      </c>
      <c r="E1762">
        <v>1.0208333333333333</v>
      </c>
      <c r="F1762" t="s">
        <f>I1762&amp;" "&amp;J1762&amp;" "&amp;K1762&amp;" "&amp;L1762&amp;" "&amp;M1762&amp;" "&amp;N1762</f>
        <v>2129</v>
      </c>
      <c r="G1762" t="s">
        <f>TEXT(D1762,"mmm dd")</f>
        <v>1097</v>
      </c>
      <c r="I1762" t="s">
        <v>2130</v>
      </c>
      <c r="J1762" t="s">
        <v>2131</v>
      </c>
    </row>
    <row r="1763" spans="1:23">
      <c r="A1763">
        <v>18</v>
      </c>
      <c r="B1763">
        <v>12</v>
      </c>
      <c r="C1763">
        <v>2012</v>
      </c>
      <c r="D1763" s="3" t="str">
        <f>B1763&amp;"/"&amp;A1763&amp;"/"&amp;C1763</f>
        <v>12/18/2012</v>
      </c>
      <c r="E1763">
        <v>1</v>
      </c>
      <c r="F1763" t="s">
        <f>I1763&amp;" "&amp;J1763&amp;" "&amp;K1763&amp;" "&amp;L1763&amp;" "&amp;M1763&amp;" "&amp;N1763</f>
        <v>2161</v>
      </c>
      <c r="G1763" t="s">
        <f>TEXT(D1763,"mmm dd")</f>
        <v>1104</v>
      </c>
      <c r="I1763" t="s">
        <v>2162</v>
      </c>
      <c r="J1763" t="s">
        <v>2006</v>
      </c>
    </row>
    <row r="1764" spans="1:23">
      <c r="A1764">
        <v>28</v>
      </c>
      <c r="B1764">
        <v>12</v>
      </c>
      <c r="C1764">
        <v>2012</v>
      </c>
      <c r="D1764" s="3" t="str">
        <f>B1764&amp;"/"&amp;A1764&amp;"/"&amp;C1764</f>
        <v>12/28/2012</v>
      </c>
      <c r="E1764">
        <v>0.20833333333333334</v>
      </c>
      <c r="F1764" t="str">
        <f>I1764&amp;" "&amp;J1764&amp;" "&amp;K1764&amp;" "&amp;L1764&amp;" "&amp;M1764&amp;" "&amp;N1764</f>
        <v>Take out trash   </v>
      </c>
      <c r="G1764" t="s">
        <f>TEXT(D1764,"mmm dd")</f>
        <v>1675</v>
      </c>
      <c r="I1764" t="s">
        <v>821</v>
      </c>
      <c r="J1764" t="s">
        <v>1229</v>
      </c>
      <c r="K1764" t="s">
        <v>2163</v>
      </c>
    </row>
    <row r="1765" spans="1:23">
      <c r="A1765">
        <v>14</v>
      </c>
      <c r="B1765">
        <v>1</v>
      </c>
      <c r="C1765">
        <v>2013</v>
      </c>
      <c r="D1765" s="3" t="s">
        <f>B1765&amp;"/"&amp;A1765&amp;"/"&amp;C1765</f>
        <v>2164</v>
      </c>
      <c r="E1765">
        <v>0.41666666666666669</v>
      </c>
      <c r="F1765" t="str">
        <f>I1765&amp;" "&amp;J1765&amp;" "&amp;K1765&amp;" "&amp;L1765&amp;" "&amp;M1765&amp;" "&amp;N1765</f>
        <v>Remind re calcium   </v>
      </c>
      <c r="G1765" t="s">
        <f>TEXT(D1765,"mmm dd")</f>
        <v>1166</v>
      </c>
      <c r="I1765" t="s">
        <v>2165</v>
      </c>
      <c r="J1765" t="s">
        <v>594</v>
      </c>
      <c r="K1765" t="inlineStr">
        <is>
          <t>calcium</t>
        </is>
      </c>
    </row>
    <row r="1766" spans="1:23">
      <c r="A1766">
        <v>14</v>
      </c>
      <c r="B1766">
        <v>1</v>
      </c>
      <c r="C1766">
        <v>2013</v>
      </c>
      <c r="D1766" s="3" t="s">
        <f>B1766&amp;"/"&amp;A1766&amp;"/"&amp;C1766</f>
        <v>2164</v>
      </c>
      <c r="E1766">
        <v>0.27083333333333331</v>
      </c>
      <c r="F1766" t="s">
        <f>I1766&amp;" "&amp;J1766&amp;" "&amp;K1766&amp;" "&amp;L1766&amp;" "&amp;M1766&amp;" "&amp;N1766</f>
        <v>1569</v>
      </c>
      <c r="G1766" t="s">
        <f>TEXT(D1766,"mmm dd")</f>
        <v>1166</v>
      </c>
      <c r="I1766" t="s">
        <v>1543</v>
      </c>
    </row>
    <row r="1767" spans="1:23">
      <c r="A1767">
        <v>14</v>
      </c>
      <c r="B1767">
        <v>1</v>
      </c>
      <c r="C1767">
        <v>2013</v>
      </c>
      <c r="D1767" s="3" t="s">
        <f>B1767&amp;"/"&amp;A1767&amp;"/"&amp;C1767</f>
        <v>2164</v>
      </c>
      <c r="E1767">
        <v>0.52083333333333337</v>
      </c>
      <c r="F1767" t="s">
        <f>I1767&amp;" "&amp;J1767&amp;" "&amp;K1767&amp;" "&amp;L1767&amp;" "&amp;M1767&amp;" "&amp;N1767</f>
        <v>2166</v>
      </c>
      <c r="G1767" t="s">
        <f>TEXT(D1767,"mmm dd")</f>
        <v>1166</v>
      </c>
      <c r="I1767" t="s">
        <v>1981</v>
      </c>
      <c r="J1767">
        <v>220</v>
      </c>
    </row>
    <row r="1768" spans="1:23">
      <c r="A1768">
        <v>15</v>
      </c>
      <c r="B1768">
        <v>1</v>
      </c>
      <c r="C1768">
        <v>2013</v>
      </c>
      <c r="D1768" s="3" t="s">
        <f>B1768&amp;"/"&amp;A1768&amp;"/"&amp;C1768</f>
        <v>2167</v>
      </c>
      <c r="E1768">
        <v>1.0208333333333333</v>
      </c>
      <c r="F1768" t="s">
        <f>I1768&amp;" "&amp;J1768&amp;" "&amp;K1768&amp;" "&amp;L1768&amp;" "&amp;M1768&amp;" "&amp;N1768</f>
        <v>2033</v>
      </c>
      <c r="G1768" t="s">
        <f>TEXT(D1768,"mmm dd")</f>
        <v>1686</v>
      </c>
      <c r="I1768" t="s">
        <v>1892</v>
      </c>
      <c r="O1768" t="s">
        <v>1782</v>
      </c>
    </row>
    <row r="1769" spans="1:23">
      <c r="A1769">
        <v>15</v>
      </c>
      <c r="B1769">
        <v>1</v>
      </c>
      <c r="C1769">
        <v>2013</v>
      </c>
      <c r="D1769" s="3" t="s">
        <f>B1769&amp;"/"&amp;A1769&amp;"/"&amp;C1769</f>
        <v>2167</v>
      </c>
      <c r="E1769">
        <v>1.1041666666666667</v>
      </c>
      <c r="F1769" t="str">
        <f>I1769&amp;" "&amp;J1769&amp;" "&amp;K1769&amp;" "&amp;L1769&amp;" "&amp;M1769&amp;" "&amp;N1769</f>
        <v>Adrienne     </v>
      </c>
      <c r="G1769" t="s">
        <f>TEXT(D1769,"mmm dd")</f>
        <v>1686</v>
      </c>
      <c r="I1769" t="inlineStr">
        <is>
          <t>Adrienne</t>
        </is>
      </c>
    </row>
    <row r="1770" spans="1:23">
      <c r="A1770">
        <v>16</v>
      </c>
      <c r="B1770">
        <v>1</v>
      </c>
      <c r="C1770">
        <v>2013</v>
      </c>
      <c r="D1770" s="3" t="s">
        <f>B1770&amp;"/"&amp;A1770&amp;"/"&amp;C1770</f>
        <v>2168</v>
      </c>
      <c r="E1770" t="s">
        <v>42</v>
      </c>
      <c r="F1770" t="str">
        <f>I1770&amp;" "&amp;J1770&amp;" "&amp;K1770&amp;" "&amp;L1770&amp;" "&amp;M1770&amp;" "&amp;N1770</f>
        <v>Murray Cohen birthday   </v>
      </c>
      <c r="G1770" t="s">
        <f>TEXT(D1770,"mmm dd")</f>
        <v>1170</v>
      </c>
      <c r="I1770" t="s">
        <v>1008</v>
      </c>
      <c r="J1770" t="inlineStr">
        <is>
          <t>Cohen</t>
        </is>
      </c>
      <c r="K1770" t="s">
        <v>319</v>
      </c>
    </row>
    <row r="1771" spans="1:23">
      <c r="A1771">
        <v>16</v>
      </c>
      <c r="B1771">
        <v>1</v>
      </c>
      <c r="C1771">
        <v>2013</v>
      </c>
      <c r="D1771" s="3" t="s">
        <f>B1771&amp;"/"&amp;A1771&amp;"/"&amp;C1771</f>
        <v>2168</v>
      </c>
      <c r="E1771">
        <v>1.0833333333333333</v>
      </c>
      <c r="F1771" t="s">
        <f>I1771&amp;" "&amp;J1771&amp;" "&amp;K1771&amp;" "&amp;L1771&amp;" "&amp;M1771&amp;" "&amp;N1771</f>
        <v>1822</v>
      </c>
      <c r="G1771" t="s">
        <f>TEXT(D1771,"mmm dd")</f>
        <v>1170</v>
      </c>
      <c r="I1771" t="s">
        <v>813</v>
      </c>
      <c r="J1771" t="s">
        <v>755</v>
      </c>
      <c r="K1771" t="s">
        <v>585</v>
      </c>
      <c r="L1771" t="s">
        <v>1688</v>
      </c>
    </row>
    <row r="1772" spans="1:23">
      <c r="A1772">
        <v>17</v>
      </c>
      <c r="B1772">
        <v>1</v>
      </c>
      <c r="C1772">
        <v>2013</v>
      </c>
      <c r="D1772" s="3" t="str">
        <f>B1772&amp;"/"&amp;A1772&amp;"/"&amp;C1772</f>
        <v>1/17/2013</v>
      </c>
      <c r="E1772">
        <v>0.27083333333333331</v>
      </c>
      <c r="F1772" t="s">
        <f>I1772&amp;" "&amp;J1772&amp;" "&amp;K1772&amp;" "&amp;L1772&amp;" "&amp;M1772&amp;" "&amp;N1772</f>
        <v>2169</v>
      </c>
      <c r="G1772" t="s">
        <f>TEXT(D1772,"mmm dd")</f>
        <v>1174</v>
      </c>
      <c r="I1772" t="s">
        <v>1915</v>
      </c>
      <c r="J1772">
        <v>790</v>
      </c>
      <c r="K1772" t="s">
        <v>2170</v>
      </c>
    </row>
    <row r="1773" spans="1:23">
      <c r="A1773">
        <v>22</v>
      </c>
      <c r="B1773">
        <v>1</v>
      </c>
      <c r="C1773">
        <v>2013</v>
      </c>
      <c r="D1773" s="3" t="str">
        <f>B1773&amp;"/"&amp;A1773&amp;"/"&amp;C1773</f>
        <v>1/22/2013</v>
      </c>
      <c r="E1773">
        <v>0.91666666666666663</v>
      </c>
      <c r="F1773" t="str">
        <f>I1773&amp;" "&amp;J1773&amp;" "&amp;K1773&amp;" "&amp;L1773&amp;" "&amp;M1773&amp;" "&amp;N1773</f>
        <v>Sculpture dedication    </v>
      </c>
      <c r="G1773" t="s">
        <f>TEXT(D1773,"mmm dd")</f>
        <v>1692</v>
      </c>
      <c r="I1773" t="inlineStr">
        <is>
          <t>Sculpture</t>
        </is>
      </c>
      <c r="J1773" t="inlineStr">
        <is>
          <t>dedication</t>
        </is>
      </c>
    </row>
    <row r="1774" spans="1:23">
      <c r="A1774">
        <v>23</v>
      </c>
      <c r="B1774">
        <v>1</v>
      </c>
      <c r="C1774">
        <v>2013</v>
      </c>
      <c r="D1774" s="3" t="str">
        <f>B1774&amp;"/"&amp;A1774&amp;"/"&amp;C1774</f>
        <v>1/23/2013</v>
      </c>
      <c r="E1774">
        <v>0.29166666666666669</v>
      </c>
      <c r="F1774" t="str">
        <f>I1774&amp;" "&amp;J1774&amp;" "&amp;K1774&amp;" "&amp;L1774&amp;" "&amp;M1774&amp;" "&amp;N1774</f>
        <v>Christine Burton for dinner  </v>
      </c>
      <c r="G1774" t="s">
        <f>TEXT(D1774,"mmm dd")</f>
        <v>1179</v>
      </c>
      <c r="I1774" t="s">
        <v>1833</v>
      </c>
      <c r="J1774" t="inlineStr">
        <is>
          <t>Burton</t>
        </is>
      </c>
      <c r="K1774" t="s">
        <v>439</v>
      </c>
      <c r="L1774" t="s">
        <v>517</v>
      </c>
    </row>
    <row r="1775" spans="1:23">
      <c r="A1775">
        <v>24</v>
      </c>
      <c r="B1775">
        <v>1</v>
      </c>
      <c r="C1775">
        <v>2013</v>
      </c>
      <c r="D1775" s="3" t="s">
        <f>B1775&amp;"/"&amp;A1775&amp;"/"&amp;C1775</f>
        <v>2171</v>
      </c>
      <c r="E1775">
        <v>0.29166666666666669</v>
      </c>
      <c r="F1775" t="str">
        <f>I1775&amp;" "&amp;J1775&amp;" "&amp;K1775&amp;" "&amp;L1775&amp;" "&amp;M1775&amp;" "&amp;N1775</f>
        <v>Pilgrimage to Our Lady of Peace</v>
      </c>
      <c r="G1775" t="s">
        <f>TEXT(D1775,"mmm dd")</f>
        <v>1829</v>
      </c>
      <c r="I1775" t="inlineStr">
        <is>
          <t>Pilgrimage</t>
        </is>
      </c>
      <c r="J1775" t="s">
        <v>449</v>
      </c>
      <c r="K1775" t="s">
        <v>2119</v>
      </c>
      <c r="L1775" t="inlineStr">
        <is>
          <t>Lady</t>
        </is>
      </c>
      <c r="M1775" t="s">
        <v>86</v>
      </c>
      <c r="N1775" t="s">
        <v>2172</v>
      </c>
    </row>
    <row r="1776" spans="1:23">
      <c r="A1776">
        <v>24</v>
      </c>
      <c r="B1776">
        <v>1</v>
      </c>
      <c r="C1776">
        <v>2013</v>
      </c>
      <c r="D1776" s="3" t="s">
        <f>B1776&amp;"/"&amp;A1776&amp;"/"&amp;C1776</f>
        <v>2171</v>
      </c>
      <c r="E1776">
        <v>0.95833333333333337</v>
      </c>
      <c r="F1776" t="str">
        <f>I1776&amp;" "&amp;J1776&amp;" "&amp;K1776&amp;" "&amp;L1776&amp;" "&amp;M1776&amp;" "&amp;N1776</f>
        <v>meet Sue N   </v>
      </c>
      <c r="G1776" t="s">
        <f>TEXT(D1776,"mmm dd")</f>
        <v>1829</v>
      </c>
      <c r="I1776" t="s">
        <v>1210</v>
      </c>
      <c r="J1776" t="s">
        <v>2173</v>
      </c>
      <c r="K1776" t="inlineStr">
        <is>
          <t>N</t>
        </is>
      </c>
    </row>
    <row r="1777" spans="1:23">
      <c r="A1777">
        <v>25</v>
      </c>
      <c r="B1777">
        <v>1</v>
      </c>
      <c r="C1777">
        <v>2013</v>
      </c>
      <c r="D1777" s="3" t="s">
        <f>B1777&amp;"/"&amp;A1777&amp;"/"&amp;C1777</f>
        <v>2174</v>
      </c>
      <c r="E1777" t="s">
        <v>42</v>
      </c>
      <c r="F1777" t="s">
        <f>I1777&amp;" "&amp;J1777&amp;" "&amp;K1777&amp;" "&amp;L1777&amp;" "&amp;M1777&amp;" "&amp;N1777</f>
        <v>2175</v>
      </c>
      <c r="G1777" t="s">
        <f>TEXT(D1777,"mmm dd")</f>
        <v>1830</v>
      </c>
      <c r="I1777" t="s">
        <v>2176</v>
      </c>
      <c r="J1777" t="inlineStr">
        <is>
          <t>Hackstaff</t>
        </is>
      </c>
      <c r="K1777" t="s">
        <v>319</v>
      </c>
    </row>
    <row r="1778" spans="1:23">
      <c r="A1778">
        <v>25</v>
      </c>
      <c r="B1778">
        <v>1</v>
      </c>
      <c r="C1778">
        <v>2013</v>
      </c>
      <c r="D1778" s="3" t="s">
        <f>B1778&amp;"/"&amp;A1778&amp;"/"&amp;C1778</f>
        <v>2174</v>
      </c>
      <c r="E1778">
        <v>0.14583333333333334</v>
      </c>
      <c r="F1778" t="s">
        <f>I1778&amp;" "&amp;J1778&amp;" "&amp;K1778&amp;" "&amp;L1778&amp;" "&amp;M1778&amp;" "&amp;N1778</f>
        <v>2033</v>
      </c>
      <c r="G1778" t="s">
        <f>TEXT(D1778,"mmm dd")</f>
        <v>1830</v>
      </c>
      <c r="I1778" t="s">
        <v>1892</v>
      </c>
    </row>
    <row r="1779" spans="1:23">
      <c r="A1779">
        <v>26</v>
      </c>
      <c r="B1779">
        <v>1</v>
      </c>
      <c r="C1779">
        <v>2013</v>
      </c>
      <c r="D1779" s="3" t="str">
        <f>B1779&amp;"/"&amp;A1779&amp;"/"&amp;C1779</f>
        <v>1/26/2013</v>
      </c>
      <c r="E1779">
        <v>0.95833333333333337</v>
      </c>
      <c r="F1779" t="str">
        <f>I1779&amp;" "&amp;J1779&amp;" "&amp;K1779&amp;" "&amp;L1779&amp;" "&amp;M1779&amp;" "&amp;N1779</f>
        <v>Possible meeting with Neal manutai </v>
      </c>
      <c r="G1779" t="s">
        <f>TEXT(D1779,"mmm dd")</f>
        <v>1488</v>
      </c>
      <c r="I1779" t="s">
        <v>885</v>
      </c>
      <c r="J1779" t="s">
        <v>842</v>
      </c>
      <c r="K1779" t="s">
        <v>755</v>
      </c>
      <c r="L1779" t="s">
        <v>2177</v>
      </c>
      <c r="M1779" t="inlineStr">
        <is>
          <t>manutai</t>
        </is>
      </c>
    </row>
    <row r="1780" spans="1:23">
      <c r="A1780">
        <v>31</v>
      </c>
      <c r="B1780">
        <v>1</v>
      </c>
      <c r="C1780">
        <v>2013</v>
      </c>
      <c r="D1780" s="3" t="str">
        <f>B1780&amp;"/"&amp;A1780&amp;"/"&amp;C1780</f>
        <v>1/31/2013</v>
      </c>
      <c r="E1780">
        <v>0.27083333333333331</v>
      </c>
      <c r="F1780" t="s">
        <f>I1780&amp;" "&amp;J1780&amp;" "&amp;K1780&amp;" "&amp;L1780&amp;" "&amp;M1780&amp;" "&amp;N1780</f>
        <v>2169</v>
      </c>
      <c r="G1780" t="s">
        <f>TEXT(D1780,"mmm dd")</f>
        <v>1500</v>
      </c>
      <c r="I1780" t="s">
        <v>1915</v>
      </c>
      <c r="J1780">
        <v>790</v>
      </c>
      <c r="K1780" t="s">
        <v>2170</v>
      </c>
    </row>
    <row r="1781" spans="1:23">
      <c r="A1781">
        <v>1</v>
      </c>
      <c r="B1781">
        <v>2</v>
      </c>
      <c r="C1781">
        <v>2013</v>
      </c>
      <c r="D1781" s="3" t="str">
        <f>B1781&amp;"/"&amp;A1781&amp;"/"&amp;C1781</f>
        <v>2/1/2013</v>
      </c>
      <c r="E1781">
        <v>0.22916666666666666</v>
      </c>
      <c r="F1781" t="str">
        <f>I1781&amp;" "&amp;J1781&amp;" "&amp;K1781&amp;" "&amp;L1781&amp;" "&amp;M1781&amp;" "&amp;N1781</f>
        <v>Neal Manutai    </v>
      </c>
      <c r="G1781" t="s">
        <f>TEXT(D1781,"mmm dd")</f>
        <v>1838</v>
      </c>
      <c r="I1781" t="s">
        <v>2177</v>
      </c>
      <c r="J1781" t="inlineStr">
        <is>
          <t>Manutai</t>
        </is>
      </c>
    </row>
    <row r="1782" spans="1:23">
      <c r="A1782">
        <v>6</v>
      </c>
      <c r="B1782">
        <v>2</v>
      </c>
      <c r="C1782">
        <v>2013</v>
      </c>
      <c r="D1782" s="3" t="str">
        <f>B1782&amp;"/"&amp;A1782&amp;"/"&amp;C1782</f>
        <v>2/6/2013</v>
      </c>
      <c r="E1782">
        <v>0.20833333333333334</v>
      </c>
      <c r="F1782" t="s">
        <f>I1782&amp;" "&amp;J1782&amp;" "&amp;K1782&amp;" "&amp;L1782&amp;" "&amp;M1782&amp;" "&amp;N1782</f>
        <v>2013</v>
      </c>
      <c r="G1782" t="s">
        <f>TEXT(D1782,"mmm dd")</f>
        <v>1185</v>
      </c>
      <c r="I1782" t="s">
        <v>2014</v>
      </c>
    </row>
    <row r="1783" spans="1:23">
      <c r="A1783">
        <v>11</v>
      </c>
      <c r="B1783">
        <v>2</v>
      </c>
      <c r="C1783">
        <v>2013</v>
      </c>
      <c r="D1783" s="3" t="str">
        <f>B1783&amp;"/"&amp;A1783&amp;"/"&amp;C1783</f>
        <v>2/11/2013</v>
      </c>
      <c r="E1783">
        <v>0.27083333333333331</v>
      </c>
      <c r="F1783" t="s">
        <f>I1783&amp;" "&amp;J1783&amp;" "&amp;K1783&amp;" "&amp;L1783&amp;" "&amp;M1783&amp;" "&amp;N1783</f>
        <v>1569</v>
      </c>
      <c r="G1783" t="s">
        <f>TEXT(D1783,"mmm dd")</f>
        <v>1509</v>
      </c>
      <c r="I1783" t="s">
        <v>1543</v>
      </c>
    </row>
    <row r="1784" spans="1:23">
      <c r="A1784">
        <v>13</v>
      </c>
      <c r="B1784">
        <v>2</v>
      </c>
      <c r="C1784">
        <v>2013</v>
      </c>
      <c r="D1784" s="3" t="s">
        <f>B1784&amp;"/"&amp;A1784&amp;"/"&amp;C1784</f>
        <v>2178</v>
      </c>
      <c r="E1784">
        <v>0.125</v>
      </c>
      <c r="F1784" t="s">
        <f>I1784&amp;" "&amp;J1784&amp;" "&amp;K1784&amp;" "&amp;L1784&amp;" "&amp;M1784&amp;" "&amp;N1784</f>
        <v>2033</v>
      </c>
      <c r="G1784" t="s">
        <f>TEXT(D1784,"mmm dd")</f>
        <v>1198</v>
      </c>
      <c r="I1784" t="s">
        <v>1892</v>
      </c>
    </row>
    <row r="1785" spans="1:23">
      <c r="A1785">
        <v>13</v>
      </c>
      <c r="B1785">
        <v>2</v>
      </c>
      <c r="C1785">
        <v>2013</v>
      </c>
      <c r="D1785" s="3" t="s">
        <f>B1785&amp;"/"&amp;A1785&amp;"/"&amp;C1785</f>
        <v>2178</v>
      </c>
      <c r="E1785">
        <v>0.125</v>
      </c>
      <c r="F1785" t="s">
        <f>I1785&amp;" "&amp;J1785&amp;" "&amp;K1785&amp;" "&amp;L1785&amp;" "&amp;M1785&amp;" "&amp;N1785</f>
        <v>2033</v>
      </c>
      <c r="G1785" t="s">
        <f>TEXT(D1785,"mmm dd")</f>
        <v>1198</v>
      </c>
      <c r="I1785" t="s">
        <v>1892</v>
      </c>
    </row>
    <row r="1786" spans="1:23">
      <c r="A1786">
        <v>14</v>
      </c>
      <c r="B1786">
        <v>2</v>
      </c>
      <c r="C1786">
        <v>2013</v>
      </c>
      <c r="D1786" s="3" t="s">
        <f>B1786&amp;"/"&amp;A1786&amp;"/"&amp;C1786</f>
        <v>2179</v>
      </c>
      <c r="E1786">
        <v>0.27083333333333331</v>
      </c>
      <c r="F1786" t="s">
        <f>I1786&amp;" "&amp;J1786&amp;" "&amp;K1786&amp;" "&amp;L1786&amp;" "&amp;M1786&amp;" "&amp;N1786</f>
        <v>2169</v>
      </c>
      <c r="G1786" t="s">
        <f>TEXT(D1786,"mmm dd")</f>
        <v>2180</v>
      </c>
      <c r="I1786" t="s">
        <v>1915</v>
      </c>
      <c r="J1786">
        <v>790</v>
      </c>
      <c r="K1786" t="s">
        <v>2170</v>
      </c>
      <c r="O1786" t="s">
        <v>2048</v>
      </c>
    </row>
    <row r="1787" spans="1:23">
      <c r="A1787">
        <v>14</v>
      </c>
      <c r="B1787">
        <v>2</v>
      </c>
      <c r="C1787">
        <v>2013</v>
      </c>
      <c r="D1787" s="3" t="s">
        <f>B1787&amp;"/"&amp;A1787&amp;"/"&amp;C1787</f>
        <v>2179</v>
      </c>
      <c r="E1787">
        <v>0.98958333333333337</v>
      </c>
      <c r="F1787" t="str">
        <f>I1787&amp;" "&amp;J1787&amp;" "&amp;K1787&amp;" "&amp;L1787&amp;" "&amp;M1787&amp;" "&amp;N1787</f>
        <v>Bloodbank for Dale   </v>
      </c>
      <c r="G1787" t="s">
        <f>TEXT(D1787,"mmm dd")</f>
        <v>2180</v>
      </c>
      <c r="I1787" t="s">
        <v>2014</v>
      </c>
      <c r="J1787" t="s">
        <v>439</v>
      </c>
      <c r="K1787" t="s">
        <v>1316</v>
      </c>
    </row>
    <row r="1788" spans="1:23">
      <c r="A1788">
        <v>19</v>
      </c>
      <c r="B1788">
        <v>2</v>
      </c>
      <c r="C1788">
        <v>2013</v>
      </c>
      <c r="D1788" s="3" t="str">
        <f>B1788&amp;"/"&amp;A1788&amp;"/"&amp;C1788</f>
        <v>2/19/2013</v>
      </c>
      <c r="E1788">
        <v>0.33333333333333331</v>
      </c>
      <c r="F1788" t="str">
        <f>I1788&amp;" "&amp;J1788&amp;" "&amp;K1788&amp;" "&amp;L1788&amp;" "&amp;M1788&amp;" "&amp;N1788</f>
        <v>No centering prayer   </v>
      </c>
      <c r="G1788" t="s">
        <f>TEXT(D1788,"mmm dd")</f>
        <v>1209</v>
      </c>
      <c r="I1788" t="s">
        <v>1264</v>
      </c>
      <c r="J1788" t="s">
        <v>1943</v>
      </c>
      <c r="K1788" t="s">
        <v>1480</v>
      </c>
    </row>
    <row r="1789" spans="1:23">
      <c r="A1789">
        <v>20</v>
      </c>
      <c r="B1789">
        <v>2</v>
      </c>
      <c r="C1789">
        <v>2013</v>
      </c>
      <c r="D1789" s="3" t="str">
        <f>B1789&amp;"/"&amp;A1789&amp;"/"&amp;C1789</f>
        <v>2/20/2013</v>
      </c>
      <c r="E1789">
        <v>1.0625</v>
      </c>
      <c r="F1789" t="s">
        <f>I1789&amp;" "&amp;J1789&amp;" "&amp;K1789&amp;" "&amp;L1789&amp;" "&amp;M1789&amp;" "&amp;N1789</f>
        <v>2152</v>
      </c>
      <c r="G1789" t="s">
        <f>TEXT(D1789,"mmm dd")</f>
        <v>1525</v>
      </c>
      <c r="I1789" t="s">
        <v>1539</v>
      </c>
      <c r="J1789" t="s">
        <v>1540</v>
      </c>
    </row>
    <row r="1790" spans="1:23">
      <c r="A1790">
        <v>21</v>
      </c>
      <c r="B1790">
        <v>2</v>
      </c>
      <c r="C1790">
        <v>2013</v>
      </c>
      <c r="D1790" s="3" t="str">
        <f>B1790&amp;"/"&amp;A1790&amp;"/"&amp;C1790</f>
        <v>2/21/2013</v>
      </c>
      <c r="E1790">
        <v>0.20833333333333334</v>
      </c>
      <c r="F1790" t="str">
        <f>I1790&amp;" "&amp;J1790&amp;" "&amp;K1790&amp;" "&amp;L1790&amp;" "&amp;M1790&amp;" "&amp;N1790</f>
        <v>Hearing appointment at Costco  </v>
      </c>
      <c r="G1790" t="s">
        <f>TEXT(D1790,"mmm dd")</f>
        <v>1530</v>
      </c>
      <c r="I1790" t="s">
        <v>2181</v>
      </c>
      <c r="J1790" t="s">
        <v>648</v>
      </c>
      <c r="K1790" t="s">
        <v>53</v>
      </c>
      <c r="L1790" t="s">
        <v>1826</v>
      </c>
    </row>
    <row r="1791" spans="1:23">
      <c r="A1791">
        <v>26</v>
      </c>
      <c r="B1791">
        <v>2</v>
      </c>
      <c r="C1791">
        <v>2013</v>
      </c>
      <c r="D1791" s="3" t="str">
        <f>B1791&amp;"/"&amp;A1791&amp;"/"&amp;C1791</f>
        <v>2/26/2013</v>
      </c>
      <c r="E1791">
        <v>0.20833333333333334</v>
      </c>
      <c r="F1791" t="str">
        <f>I1791&amp;" "&amp;J1791&amp;" "&amp;K1791&amp;" "&amp;L1791&amp;" "&amp;M1791&amp;" "&amp;N1791</f>
        <v>Yoshimura     </v>
      </c>
      <c r="G1791" t="s">
        <f>TEXT(D1791,"mmm dd")</f>
        <v>1219</v>
      </c>
      <c r="I1791" t="s">
        <v>647</v>
      </c>
    </row>
    <row r="1792" spans="1:23">
      <c r="A1792">
        <v>27</v>
      </c>
      <c r="B1792">
        <v>2</v>
      </c>
      <c r="C1792">
        <v>2013</v>
      </c>
      <c r="D1792" s="3" t="str">
        <f>B1792&amp;"/"&amp;A1792&amp;"/"&amp;C1792</f>
        <v>2/27/2013</v>
      </c>
      <c r="E1792">
        <v>0.125</v>
      </c>
      <c r="F1792" t="s">
        <f>I1792&amp;" "&amp;J1792&amp;" "&amp;K1792&amp;" "&amp;L1792&amp;" "&amp;M1792&amp;" "&amp;N1792</f>
        <v>2033</v>
      </c>
      <c r="G1792" t="s">
        <f>TEXT(D1792,"mmm dd")</f>
        <v>1223</v>
      </c>
      <c r="I1792" t="s">
        <v>1892</v>
      </c>
    </row>
    <row r="1793" spans="1:23">
      <c r="A1793">
        <v>28</v>
      </c>
      <c r="B1793">
        <v>2</v>
      </c>
      <c r="C1793">
        <v>2013</v>
      </c>
      <c r="D1793" s="3" t="s">
        <f>B1793&amp;"/"&amp;A1793&amp;"/"&amp;C1793</f>
        <v>2182</v>
      </c>
      <c r="E1793" t="s">
        <v>42</v>
      </c>
      <c r="F1793" t="str">
        <f>I1793&amp;" "&amp;J1793&amp;" "&amp;K1793&amp;" "&amp;L1793&amp;" "&amp;M1793&amp;" "&amp;N1793</f>
        <v>Career Day @ Priory  </v>
      </c>
      <c r="G1793" t="s">
        <f>TEXT(D1793,"mmm dd")</f>
        <v>1227</v>
      </c>
      <c r="I1793" t="inlineStr">
        <is>
          <t>Career</t>
        </is>
      </c>
      <c r="J1793" t="s">
        <v>10</v>
      </c>
      <c r="K1793" t="s">
        <v>48</v>
      </c>
      <c r="L1793" t="s">
        <v>756</v>
      </c>
    </row>
    <row r="1794" spans="1:23">
      <c r="A1794">
        <v>28</v>
      </c>
      <c r="B1794">
        <v>2</v>
      </c>
      <c r="C1794">
        <v>2013</v>
      </c>
      <c r="D1794" s="3" t="s">
        <f>B1794&amp;"/"&amp;A1794&amp;"/"&amp;C1794</f>
        <v>2182</v>
      </c>
      <c r="E1794">
        <v>0.27083333333333331</v>
      </c>
      <c r="F1794" t="s">
        <f>I1794&amp;" "&amp;J1794&amp;" "&amp;K1794&amp;" "&amp;L1794&amp;" "&amp;M1794&amp;" "&amp;N1794</f>
        <v>2169</v>
      </c>
      <c r="G1794" t="s">
        <f>TEXT(D1794,"mmm dd")</f>
        <v>1227</v>
      </c>
      <c r="I1794" t="s">
        <v>1915</v>
      </c>
      <c r="J1794">
        <v>790</v>
      </c>
      <c r="K1794" t="s">
        <v>2170</v>
      </c>
    </row>
    <row r="1795" spans="1:23">
      <c r="A1795">
        <v>1</v>
      </c>
      <c r="B1795">
        <v>3</v>
      </c>
      <c r="C1795">
        <v>2013</v>
      </c>
      <c r="D1795" s="3" t="str">
        <f>B1795&amp;"/"&amp;A1795&amp;"/"&amp;C1795</f>
        <v>3/1/2013</v>
      </c>
      <c r="E1795">
        <v>0.27083333333333331</v>
      </c>
      <c r="F1795" t="str">
        <f>I1795&amp;" "&amp;J1795&amp;" "&amp;K1795&amp;" "&amp;L1795&amp;" "&amp;M1795&amp;" "&amp;N1795</f>
        <v>Dr. Sato with wait  </v>
      </c>
      <c r="G1795" t="s">
        <f>TEXT(D1795,"mmm dd")</f>
        <v>2183</v>
      </c>
      <c r="I1795" t="s">
        <v>847</v>
      </c>
      <c r="J1795" t="s">
        <v>2184</v>
      </c>
      <c r="K1795" t="s">
        <v>755</v>
      </c>
      <c r="L1795" t="inlineStr">
        <is>
          <t>wait</t>
        </is>
      </c>
    </row>
    <row r="1796" spans="1:23">
      <c r="A1796">
        <v>3</v>
      </c>
      <c r="B1796">
        <v>3</v>
      </c>
      <c r="C1796">
        <v>2013</v>
      </c>
      <c r="D1796" s="3" t="s">
        <f>B1796&amp;"/"&amp;A1796&amp;"/"&amp;C1796</f>
        <v>2185</v>
      </c>
      <c r="E1796">
        <v>0.22916666666666666</v>
      </c>
      <c r="F1796" t="str">
        <f>I1796&amp;" "&amp;J1796&amp;" "&amp;K1796&amp;" "&amp;L1796&amp;" "&amp;M1796&amp;" "&amp;N1796</f>
        <v>Call Owen    </v>
      </c>
      <c r="G1796" t="s">
        <f>TEXT(D1796,"mmm dd")</f>
        <v>1234</v>
      </c>
      <c r="I1796" t="s">
        <v>1028</v>
      </c>
      <c r="J1796" t="inlineStr">
        <is>
          <t>Owen</t>
        </is>
      </c>
    </row>
    <row r="1797" spans="1:23">
      <c r="A1797">
        <v>3</v>
      </c>
      <c r="B1797">
        <v>3</v>
      </c>
      <c r="C1797">
        <v>2013</v>
      </c>
      <c r="D1797" s="3" t="s">
        <f>B1797&amp;"/"&amp;A1797&amp;"/"&amp;C1797</f>
        <v>2185</v>
      </c>
      <c r="E1797">
        <v>1.0833333333333333</v>
      </c>
      <c r="F1797" t="s">
        <f>I1797&amp;" "&amp;J1797&amp;" "&amp;K1797&amp;" "&amp;L1797&amp;" "&amp;M1797&amp;" "&amp;N1797</f>
        <v>1991</v>
      </c>
      <c r="G1797" t="s">
        <f>TEXT(D1797,"mmm dd")</f>
        <v>1234</v>
      </c>
      <c r="I1797" t="s">
        <v>1028</v>
      </c>
      <c r="J1797" t="s">
        <v>1992</v>
      </c>
    </row>
    <row r="1798" spans="1:23">
      <c r="A1798">
        <v>6</v>
      </c>
      <c r="B1798">
        <v>3</v>
      </c>
      <c r="C1798">
        <v>2013</v>
      </c>
      <c r="D1798" s="3" t="str">
        <f>B1798&amp;"/"&amp;A1798&amp;"/"&amp;C1798</f>
        <v>3/6/2013</v>
      </c>
      <c r="E1798">
        <v>1</v>
      </c>
      <c r="F1798" t="s">
        <f>I1798&amp;" "&amp;J1798&amp;" "&amp;K1798&amp;" "&amp;L1798&amp;" "&amp;M1798&amp;" "&amp;N1798</f>
        <v>1979</v>
      </c>
      <c r="G1798" t="s">
        <f>TEXT(D1798,"mmm dd")</f>
        <v>1237</v>
      </c>
      <c r="I1798" t="s">
        <v>1345</v>
      </c>
      <c r="J1798" t="s">
        <v>1980</v>
      </c>
    </row>
    <row r="1799" spans="1:23">
      <c r="A1799">
        <v>7</v>
      </c>
      <c r="B1799">
        <v>3</v>
      </c>
      <c r="C1799">
        <v>2013</v>
      </c>
      <c r="D1799" s="3" t="s">
        <f>B1799&amp;"/"&amp;A1799&amp;"/"&amp;C1799</f>
        <v>2186</v>
      </c>
      <c r="E1799">
        <v>0.17708333333333334</v>
      </c>
      <c r="F1799" t="str">
        <f>I1799&amp;" "&amp;J1799&amp;" "&amp;K1799&amp;" "&amp;L1799&amp;" "&amp;M1799&amp;" "&amp;N1799</f>
        <v>Go to bank   </v>
      </c>
      <c r="G1799" t="s">
        <f>TEXT(D1799,"mmm dd")</f>
        <v>1239</v>
      </c>
      <c r="I1799" t="s">
        <v>1861</v>
      </c>
      <c r="J1799" t="s">
        <v>449</v>
      </c>
      <c r="K1799" t="s">
        <v>1723</v>
      </c>
    </row>
    <row r="1800" spans="1:23">
      <c r="A1800">
        <v>7</v>
      </c>
      <c r="B1800">
        <v>3</v>
      </c>
      <c r="C1800">
        <v>2013</v>
      </c>
      <c r="D1800" s="3" t="s">
        <f>B1800&amp;"/"&amp;A1800&amp;"/"&amp;C1800</f>
        <v>2186</v>
      </c>
      <c r="E1800">
        <v>1.0833333333333333</v>
      </c>
      <c r="F1800" t="s">
        <f>I1800&amp;" "&amp;J1800&amp;" "&amp;K1800&amp;" "&amp;L1800&amp;" "&amp;M1800&amp;" "&amp;N1800</f>
        <v>2132</v>
      </c>
      <c r="G1800" t="s">
        <f>TEXT(D1800,"mmm dd")</f>
        <v>1239</v>
      </c>
      <c r="I1800" t="s">
        <v>1902</v>
      </c>
      <c r="J1800" t="s">
        <v>2133</v>
      </c>
    </row>
    <row r="1801" spans="1:23">
      <c r="A1801">
        <v>13</v>
      </c>
      <c r="B1801">
        <v>3</v>
      </c>
      <c r="C1801">
        <v>2013</v>
      </c>
      <c r="D1801" s="3" t="s">
        <f>B1801&amp;"/"&amp;A1801&amp;"/"&amp;C1801</f>
        <v>2187</v>
      </c>
      <c r="E1801">
        <v>0.375</v>
      </c>
      <c r="F1801" t="str">
        <f>I1801&amp;" "&amp;J1801&amp;" "&amp;K1801&amp;" "&amp;L1801&amp;" "&amp;M1801&amp;" "&amp;N1801</f>
        <v>Jake Shimabakuro    </v>
      </c>
      <c r="G1801" t="s">
        <f>TEXT(D1801,"mmm dd")</f>
        <v>1553</v>
      </c>
      <c r="I1801" t="inlineStr">
        <is>
          <t>Jake</t>
        </is>
      </c>
      <c r="J1801" t="inlineStr">
        <is>
          <t>Shimabakuro</t>
        </is>
      </c>
    </row>
    <row r="1802" spans="1:23">
      <c r="A1802">
        <v>13</v>
      </c>
      <c r="B1802">
        <v>3</v>
      </c>
      <c r="C1802">
        <v>2013</v>
      </c>
      <c r="D1802" s="3" t="s">
        <f>B1802&amp;"/"&amp;A1802&amp;"/"&amp;C1802</f>
        <v>2187</v>
      </c>
      <c r="E1802">
        <v>0.125</v>
      </c>
      <c r="F1802" t="s">
        <f>I1802&amp;" "&amp;J1802&amp;" "&amp;K1802&amp;" "&amp;L1802&amp;" "&amp;M1802&amp;" "&amp;N1802</f>
        <v>2033</v>
      </c>
      <c r="G1802" t="s">
        <f>TEXT(D1802,"mmm dd")</f>
        <v>1553</v>
      </c>
      <c r="I1802" t="s">
        <v>1892</v>
      </c>
    </row>
    <row r="1803" spans="1:23">
      <c r="A1803">
        <v>14</v>
      </c>
      <c r="B1803">
        <v>3</v>
      </c>
      <c r="C1803">
        <v>2013</v>
      </c>
      <c r="D1803" s="3" t="str">
        <f>B1803&amp;"/"&amp;A1803&amp;"/"&amp;C1803</f>
        <v>3/14/2013</v>
      </c>
      <c r="E1803">
        <v>0.27083333333333331</v>
      </c>
      <c r="F1803" t="s">
        <f>I1803&amp;" "&amp;J1803&amp;" "&amp;K1803&amp;" "&amp;L1803&amp;" "&amp;M1803&amp;" "&amp;N1803</f>
        <v>2169</v>
      </c>
      <c r="G1803" t="s">
        <f>TEXT(D1803,"mmm dd")</f>
        <v>1877</v>
      </c>
      <c r="I1803" t="s">
        <v>1915</v>
      </c>
      <c r="J1803">
        <v>790</v>
      </c>
      <c r="K1803" t="s">
        <v>2170</v>
      </c>
    </row>
    <row r="1804" spans="1:23">
      <c r="A1804">
        <v>19</v>
      </c>
      <c r="B1804">
        <v>3</v>
      </c>
      <c r="C1804">
        <v>2013</v>
      </c>
      <c r="D1804" s="3" t="s">
        <f>B1804&amp;"/"&amp;A1804&amp;"/"&amp;C1804</f>
        <v>2188</v>
      </c>
      <c r="E1804">
        <v>1.0625</v>
      </c>
      <c r="F1804" t="str">
        <f>I1804&amp;" "&amp;J1804&amp;" "&amp;K1804&amp;" "&amp;L1804&amp;" "&amp;M1804&amp;" "&amp;N1804</f>
        <v>Provost interview    </v>
      </c>
      <c r="G1804" t="s">
        <f>TEXT(D1804,"mmm dd")</f>
        <v>1254</v>
      </c>
      <c r="I1804" t="s">
        <v>2189</v>
      </c>
      <c r="J1804" t="s">
        <v>2116</v>
      </c>
    </row>
    <row r="1805" spans="1:23">
      <c r="A1805">
        <v>19</v>
      </c>
      <c r="B1805">
        <v>3</v>
      </c>
      <c r="C1805">
        <v>2013</v>
      </c>
      <c r="D1805" s="3" t="s">
        <f>B1805&amp;"/"&amp;A1805&amp;"/"&amp;C1805</f>
        <v>2188</v>
      </c>
      <c r="E1805">
        <v>1.0104166666666667</v>
      </c>
      <c r="F1805" t="str">
        <f>I1805&amp;" "&amp;J1805&amp;" "&amp;K1805&amp;" "&amp;L1805&amp;" "&amp;M1805&amp;" "&amp;N1805</f>
        <v>Lunch with Greg Johnson  </v>
      </c>
      <c r="G1805" t="s">
        <f>TEXT(D1805,"mmm dd")</f>
        <v>1254</v>
      </c>
      <c r="I1805" t="s">
        <v>813</v>
      </c>
      <c r="J1805" t="s">
        <v>755</v>
      </c>
      <c r="K1805" t="s">
        <v>1266</v>
      </c>
      <c r="L1805" t="s">
        <v>1876</v>
      </c>
      <c r="O1805" t="s">
        <v>898</v>
      </c>
    </row>
    <row r="1806" spans="1:23">
      <c r="A1806">
        <v>22</v>
      </c>
      <c r="B1806">
        <v>3</v>
      </c>
      <c r="C1806">
        <v>2013</v>
      </c>
      <c r="D1806" s="3" t="s">
        <f>B1806&amp;"/"&amp;A1806&amp;"/"&amp;C1806</f>
        <v>2190</v>
      </c>
      <c r="E1806">
        <v>0.95833333333333337</v>
      </c>
      <c r="F1806" t="str">
        <f>I1806&amp;" "&amp;J1806&amp;" "&amp;K1806&amp;" "&amp;L1806&amp;" "&amp;M1806&amp;" "&amp;N1806</f>
        <v>Salmon lunch Hogan entrepreneurs  </v>
      </c>
      <c r="G1806" t="s">
        <f>TEXT(D1806,"mmm dd")</f>
        <v>1886</v>
      </c>
      <c r="I1806" t="inlineStr">
        <is>
          <t>Salmon</t>
        </is>
      </c>
      <c r="J1806" t="s">
        <v>440</v>
      </c>
      <c r="K1806" t="inlineStr">
        <is>
          <t>Hogan</t>
        </is>
      </c>
      <c r="L1806" t="inlineStr">
        <is>
          <t>entrepreneurs</t>
        </is>
      </c>
    </row>
    <row r="1807" spans="1:23">
      <c r="A1807">
        <v>22</v>
      </c>
      <c r="B1807">
        <v>3</v>
      </c>
      <c r="C1807">
        <v>2013</v>
      </c>
      <c r="D1807" s="3" t="s">
        <f>B1807&amp;"/"&amp;A1807&amp;"/"&amp;C1807</f>
        <v>2190</v>
      </c>
      <c r="E1807" t="s">
        <v>42</v>
      </c>
      <c r="F1807" t="s">
        <f>I1807&amp;" "&amp;J1807&amp;" "&amp;K1807&amp;" "&amp;L1807&amp;" "&amp;M1807&amp;" "&amp;N1807</f>
        <v>2191</v>
      </c>
      <c r="G1807" t="s">
        <f>TEXT(D1807,"mmm dd")</f>
        <v>1886</v>
      </c>
      <c r="I1807" t="s">
        <v>2192</v>
      </c>
    </row>
    <row r="1808" spans="1:23">
      <c r="A1808">
        <v>22</v>
      </c>
      <c r="B1808">
        <v>3</v>
      </c>
      <c r="C1808">
        <v>2013</v>
      </c>
      <c r="D1808" s="3" t="s">
        <f>B1808&amp;"/"&amp;A1808&amp;"/"&amp;C1808</f>
        <v>2190</v>
      </c>
      <c r="E1808">
        <v>1.0625</v>
      </c>
      <c r="F1808" t="str">
        <f>I1808&amp;" "&amp;J1808&amp;" "&amp;K1808&amp;" "&amp;L1808&amp;" "&amp;M1808&amp;" "&amp;N1808</f>
        <v>Long Term Care presentation  </v>
      </c>
      <c r="G1808" t="s">
        <f>TEXT(D1808,"mmm dd")</f>
        <v>1886</v>
      </c>
      <c r="I1808" t="s">
        <v>2193</v>
      </c>
      <c r="J1808" t="inlineStr">
        <is>
          <t>Term</t>
        </is>
      </c>
      <c r="K1808" t="inlineStr">
        <is>
          <t>Care</t>
        </is>
      </c>
      <c r="L1808" t="s">
        <v>1286</v>
      </c>
    </row>
    <row r="1809" spans="1:23">
      <c r="A1809">
        <v>25</v>
      </c>
      <c r="B1809">
        <v>3</v>
      </c>
      <c r="C1809">
        <v>2013</v>
      </c>
      <c r="D1809" s="3" t="str">
        <f>B1809&amp;"/"&amp;A1809&amp;"/"&amp;C1809</f>
        <v>3/25/2013</v>
      </c>
      <c r="E1809">
        <v>0.29166666666666669</v>
      </c>
      <c r="F1809" t="str">
        <f>I1809&amp;" "&amp;J1809&amp;" "&amp;K1809&amp;" "&amp;L1809&amp;" "&amp;M1809&amp;" "&amp;N1809</f>
        <v>Louie birthday    </v>
      </c>
      <c r="G1809" t="s">
        <f>TEXT(D1809,"mmm dd")</f>
        <v>1559</v>
      </c>
      <c r="I1809" t="s">
        <v>2194</v>
      </c>
      <c r="J1809" t="s">
        <v>319</v>
      </c>
    </row>
    <row r="1810" spans="1:23">
      <c r="A1810">
        <v>27</v>
      </c>
      <c r="B1810">
        <v>3</v>
      </c>
      <c r="C1810">
        <v>2013</v>
      </c>
      <c r="D1810" s="3" t="str">
        <f>B1810&amp;"/"&amp;A1810&amp;"/"&amp;C1810</f>
        <v>3/27/2013</v>
      </c>
      <c r="E1810">
        <v>0.875</v>
      </c>
      <c r="F1810" t="str">
        <f>I1810&amp;" "&amp;J1810&amp;" "&amp;K1810&amp;" "&amp;L1810&amp;" "&amp;M1810&amp;" "&amp;N1810</f>
        <v>Pick up river outfit  </v>
      </c>
      <c r="G1810" t="s">
        <f>TEXT(D1810,"mmm dd")</f>
        <v>1891</v>
      </c>
      <c r="I1810" t="s">
        <v>806</v>
      </c>
      <c r="J1810" t="s">
        <v>807</v>
      </c>
      <c r="K1810" t="inlineStr">
        <is>
          <t>river</t>
        </is>
      </c>
      <c r="L1810" t="inlineStr">
        <is>
          <t>outfit</t>
        </is>
      </c>
      <c r="O1810" t="inlineStr">
        <is>
          <t>fall</t>
        </is>
      </c>
    </row>
    <row r="1811" spans="1:23">
      <c r="A1811">
        <v>1</v>
      </c>
      <c r="B1811">
        <v>4</v>
      </c>
      <c r="C1811">
        <v>2013</v>
      </c>
      <c r="D1811" s="3" t="str">
        <f>B1811&amp;"/"&amp;A1811&amp;"/"&amp;C1811</f>
        <v>4/1/2013</v>
      </c>
      <c r="E1811">
        <v>1.1041666666666667</v>
      </c>
      <c r="F1811" t="str">
        <f>I1811&amp;" "&amp;J1811&amp;" "&amp;K1811&amp;" "&amp;L1811&amp;" "&amp;M1811&amp;" "&amp;N1811</f>
        <v>Lucy re. long term care </v>
      </c>
      <c r="G1811" t="s">
        <f>TEXT(D1811,"mmm dd")</f>
        <v>43</v>
      </c>
      <c r="I1811" t="s">
        <v>2011</v>
      </c>
      <c r="J1811" t="s">
        <v>633</v>
      </c>
      <c r="K1811" t="inlineStr">
        <is>
          <t>long</t>
        </is>
      </c>
      <c r="L1811" t="inlineStr">
        <is>
          <t>term</t>
        </is>
      </c>
      <c r="M1811" t="inlineStr">
        <is>
          <t>care</t>
        </is>
      </c>
    </row>
    <row r="1812" spans="1:23">
      <c r="A1812">
        <v>2</v>
      </c>
      <c r="B1812">
        <v>4</v>
      </c>
      <c r="C1812">
        <v>2013</v>
      </c>
      <c r="D1812" s="3" t="s">
        <f>B1812&amp;"/"&amp;A1812&amp;"/"&amp;C1812</f>
        <v>2195</v>
      </c>
      <c r="E1812">
        <v>0.20833333333333334</v>
      </c>
      <c r="F1812" t="s">
        <f>I1812&amp;" "&amp;J1812&amp;" "&amp;K1812&amp;" "&amp;L1812&amp;" "&amp;M1812&amp;" "&amp;N1812</f>
        <v>2196</v>
      </c>
      <c r="G1812" t="s">
        <f>TEXT(D1812,"mmm dd")</f>
        <v>65</v>
      </c>
      <c r="I1812" t="s">
        <v>1871</v>
      </c>
      <c r="J1812" t="s">
        <v>2197</v>
      </c>
    </row>
    <row r="1813" spans="1:23">
      <c r="A1813">
        <v>2</v>
      </c>
      <c r="B1813">
        <v>4</v>
      </c>
      <c r="C1813">
        <v>2013</v>
      </c>
      <c r="D1813" s="3" t="s">
        <f>B1813&amp;"/"&amp;A1813&amp;"/"&amp;C1813</f>
        <v>2195</v>
      </c>
      <c r="E1813">
        <v>1</v>
      </c>
      <c r="F1813" t="str">
        <f>I1813&amp;" "&amp;J1813&amp;" "&amp;K1813&amp;" "&amp;L1813&amp;" "&amp;M1813&amp;" "&amp;N1813</f>
        <v>Meet with Izabel Orendain  time</v>
      </c>
      <c r="G1813" t="s">
        <f>TEXT(D1813,"mmm dd")</f>
        <v>65</v>
      </c>
      <c r="I1813" t="s">
        <v>300</v>
      </c>
      <c r="J1813" t="s">
        <v>755</v>
      </c>
      <c r="K1813" t="s">
        <v>2198</v>
      </c>
      <c r="L1813" t="inlineStr">
        <is>
          <t>Orendain</t>
        </is>
      </c>
      <c r="N1813" t="s">
        <v>2068</v>
      </c>
    </row>
    <row r="1814" spans="1:23">
      <c r="A1814">
        <v>3</v>
      </c>
      <c r="B1814">
        <v>4</v>
      </c>
      <c r="C1814">
        <v>2013</v>
      </c>
      <c r="D1814" s="3" t="s">
        <f>B1814&amp;"/"&amp;A1814&amp;"/"&amp;C1814</f>
        <v>2199</v>
      </c>
      <c r="E1814">
        <v>1</v>
      </c>
      <c r="F1814" t="s">
        <f>I1814&amp;" "&amp;J1814&amp;" "&amp;K1814&amp;" "&amp;L1814&amp;" "&amp;M1814&amp;" "&amp;N1814</f>
        <v>2033</v>
      </c>
      <c r="G1814" t="s">
        <f>TEXT(D1814,"mmm dd")</f>
        <v>83</v>
      </c>
      <c r="I1814" t="s">
        <v>1892</v>
      </c>
    </row>
    <row r="1815" spans="1:23">
      <c r="A1815">
        <v>3</v>
      </c>
      <c r="B1815">
        <v>4</v>
      </c>
      <c r="C1815">
        <v>2013</v>
      </c>
      <c r="D1815" s="3" t="s">
        <f>B1815&amp;"/"&amp;A1815&amp;"/"&amp;C1815</f>
        <v>2199</v>
      </c>
      <c r="E1815">
        <v>0.125</v>
      </c>
      <c r="F1815" t="str">
        <f>I1815&amp;" "&amp;J1815&amp;" "&amp;K1815&amp;" "&amp;L1815&amp;" "&amp;M1815&amp;" "&amp;N1815</f>
        <v>Sato dentist    </v>
      </c>
      <c r="G1815" t="s">
        <f>TEXT(D1815,"mmm dd")</f>
        <v>83</v>
      </c>
      <c r="I1815" t="s">
        <v>2184</v>
      </c>
      <c r="J1815" t="s">
        <v>1973</v>
      </c>
    </row>
    <row r="1816" spans="1:23">
      <c r="A1816">
        <v>5</v>
      </c>
      <c r="B1816">
        <v>4</v>
      </c>
      <c r="C1816">
        <v>2013</v>
      </c>
      <c r="D1816" s="3" t="str">
        <f>B1816&amp;"/"&amp;A1816&amp;"/"&amp;C1816</f>
        <v>4/5/2013</v>
      </c>
      <c r="E1816">
        <v>1.0416666666666667</v>
      </c>
      <c r="F1816" t="s">
        <f>I1816&amp;" "&amp;J1816&amp;" "&amp;K1816&amp;" "&amp;L1816&amp;" "&amp;M1816&amp;" "&amp;N1816</f>
        <v>2200</v>
      </c>
      <c r="G1816" t="s">
        <f>TEXT(D1816,"mmm dd")</f>
        <v>108</v>
      </c>
      <c r="I1816" t="s">
        <v>2184</v>
      </c>
      <c r="J1816" t="s">
        <v>2035</v>
      </c>
    </row>
    <row r="1817" spans="1:23">
      <c r="A1817">
        <v>9</v>
      </c>
      <c r="B1817">
        <v>4</v>
      </c>
      <c r="C1817">
        <v>2013</v>
      </c>
      <c r="D1817" s="3" t="str">
        <f>B1817&amp;"/"&amp;A1817&amp;"/"&amp;C1817</f>
        <v>4/9/2013</v>
      </c>
      <c r="E1817">
        <v>0.20833333333333334</v>
      </c>
      <c r="F1817" t="s">
        <f>I1817&amp;" "&amp;J1817&amp;" "&amp;K1817&amp;" "&amp;L1817&amp;" "&amp;M1817&amp;" "&amp;N1817</f>
        <v>2196</v>
      </c>
      <c r="G1817" t="s">
        <f>TEXT(D1817,"mmm dd")</f>
        <v>147</v>
      </c>
      <c r="I1817" t="s">
        <v>1871</v>
      </c>
      <c r="J1817" t="s">
        <v>2197</v>
      </c>
    </row>
    <row r="1818" spans="1:23">
      <c r="A1818">
        <v>11</v>
      </c>
      <c r="B1818">
        <v>4</v>
      </c>
      <c r="C1818">
        <v>2013</v>
      </c>
      <c r="D1818" s="3" t="s">
        <f>B1818&amp;"/"&amp;A1818&amp;"/"&amp;C1818</f>
        <v>2201</v>
      </c>
      <c r="E1818">
        <v>0.99305555555555558</v>
      </c>
      <c r="F1818" t="str">
        <f>I1818&amp;" "&amp;J1818&amp;" "&amp;K1818&amp;" "&amp;L1818&amp;" "&amp;M1818&amp;" "&amp;N1818</f>
        <v>Pick up Zippy's chili  </v>
      </c>
      <c r="G1818" t="s">
        <f>TEXT(D1818,"mmm dd")</f>
        <v>161</v>
      </c>
      <c r="I1818" t="s">
        <v>806</v>
      </c>
      <c r="J1818" t="s">
        <v>807</v>
      </c>
      <c r="K1818" t="inlineStr">
        <is>
          <t>Zippy's</t>
        </is>
      </c>
      <c r="L1818" t="inlineStr">
        <is>
          <t>chili</t>
        </is>
      </c>
    </row>
    <row r="1819" spans="1:23">
      <c r="A1819">
        <v>11</v>
      </c>
      <c r="B1819">
        <v>4</v>
      </c>
      <c r="C1819">
        <v>2013</v>
      </c>
      <c r="D1819" s="3" t="s">
        <f>B1819&amp;"/"&amp;A1819&amp;"/"&amp;C1819</f>
        <v>2201</v>
      </c>
      <c r="E1819">
        <v>1.0763888888888888</v>
      </c>
      <c r="F1819" t="s">
        <f>I1819&amp;" "&amp;J1819&amp;" "&amp;K1819&amp;" "&amp;L1819&amp;" "&amp;M1819&amp;" "&amp;N1819</f>
        <v>2202</v>
      </c>
      <c r="G1819" t="s">
        <f>TEXT(D1819,"mmm dd")</f>
        <v>161</v>
      </c>
      <c r="I1819" t="s">
        <v>1902</v>
      </c>
    </row>
    <row r="1820" spans="1:23">
      <c r="A1820">
        <v>12</v>
      </c>
      <c r="B1820">
        <v>4</v>
      </c>
      <c r="C1820">
        <v>2013</v>
      </c>
      <c r="D1820" s="3" t="s">
        <f>B1820&amp;"/"&amp;A1820&amp;"/"&amp;C1820</f>
        <v>2203</v>
      </c>
      <c r="E1820">
        <v>0.1875</v>
      </c>
      <c r="F1820" t="s">
        <f>I1820&amp;" "&amp;J1820&amp;" "&amp;K1820&amp;" "&amp;L1820&amp;" "&amp;M1820&amp;" "&amp;N1820</f>
        <v>2204</v>
      </c>
      <c r="G1820" t="s">
        <f>TEXT(D1820,"mmm dd")</f>
        <v>168</v>
      </c>
      <c r="I1820" t="s">
        <v>2205</v>
      </c>
      <c r="J1820" t="s">
        <v>2084</v>
      </c>
    </row>
    <row r="1821" spans="1:23">
      <c r="A1821">
        <v>12</v>
      </c>
      <c r="B1821">
        <v>4</v>
      </c>
      <c r="C1821">
        <v>2013</v>
      </c>
      <c r="D1821" s="3" t="s">
        <f>B1821&amp;"/"&amp;A1821&amp;"/"&amp;C1821</f>
        <v>2203</v>
      </c>
      <c r="E1821">
        <v>1.1041666666666667</v>
      </c>
      <c r="F1821" t="str">
        <f>I1821&amp;" "&amp;J1821&amp;" "&amp;K1821&amp;" "&amp;L1821&amp;" "&amp;M1821&amp;" "&amp;N1821</f>
        <v>Division meeting?    </v>
      </c>
      <c r="G1821" t="s">
        <f>TEXT(D1821,"mmm dd")</f>
        <v>168</v>
      </c>
      <c r="I1821" t="s">
        <v>1970</v>
      </c>
      <c r="J1821" t="inlineStr">
        <is>
          <t>meeting?</t>
        </is>
      </c>
    </row>
    <row r="1822" spans="1:23">
      <c r="A1822">
        <v>13</v>
      </c>
      <c r="B1822">
        <v>4</v>
      </c>
      <c r="C1822">
        <v>2013</v>
      </c>
      <c r="D1822" s="3" t="str">
        <f>B1822&amp;"/"&amp;A1822&amp;"/"&amp;C1822</f>
        <v>4/13/2013</v>
      </c>
      <c r="E1822">
        <v>0.14583333333333334</v>
      </c>
      <c r="F1822" t="str">
        <f>I1822&amp;" "&amp;J1822&amp;" "&amp;K1822&amp;" "&amp;L1822&amp;" "&amp;M1822&amp;" "&amp;N1822</f>
        <v>Izabel     </v>
      </c>
      <c r="G1822" t="s">
        <f>TEXT(D1822,"mmm dd")</f>
        <v>174</v>
      </c>
      <c r="I1822" t="s">
        <v>2198</v>
      </c>
    </row>
    <row r="1823" spans="1:23">
      <c r="A1823">
        <v>15</v>
      </c>
      <c r="B1823">
        <v>4</v>
      </c>
      <c r="C1823">
        <v>2013</v>
      </c>
      <c r="D1823" s="3" t="str">
        <f>B1823&amp;"/"&amp;A1823&amp;"/"&amp;C1823</f>
        <v>4/15/2013</v>
      </c>
      <c r="E1823">
        <v>1</v>
      </c>
      <c r="F1823" t="str">
        <f>I1823&amp;" "&amp;J1823&amp;" "&amp;K1823&amp;" "&amp;L1823&amp;" "&amp;M1823&amp;" "&amp;N1823</f>
        <v>Drive to Scott's   </v>
      </c>
      <c r="G1823" t="s">
        <f>TEXT(D1823,"mmm dd")</f>
        <v>179</v>
      </c>
      <c r="I1823" t="s">
        <v>1733</v>
      </c>
      <c r="J1823" t="s">
        <v>449</v>
      </c>
      <c r="K1823" t="inlineStr">
        <is>
          <t>Scott's</t>
        </is>
      </c>
    </row>
    <row r="1824" spans="1:23">
      <c r="A1824">
        <v>16</v>
      </c>
      <c r="B1824">
        <v>4</v>
      </c>
      <c r="C1824">
        <v>2013</v>
      </c>
      <c r="D1824" s="3" t="str">
        <f>B1824&amp;"/"&amp;A1824&amp;"/"&amp;C1824</f>
        <v>4/16/2013</v>
      </c>
      <c r="E1824">
        <v>1</v>
      </c>
      <c r="F1824" t="str">
        <f>I1824&amp;" "&amp;J1824&amp;" "&amp;K1824&amp;" "&amp;L1824&amp;" "&amp;M1824&amp;" "&amp;N1824</f>
        <v>Julian     </v>
      </c>
      <c r="G1824" t="s">
        <f>TEXT(D1824,"mmm dd")</f>
        <v>184</v>
      </c>
      <c r="I1824" t="s">
        <v>284</v>
      </c>
    </row>
    <row r="1825" spans="1:23">
      <c r="A1825">
        <v>18</v>
      </c>
      <c r="B1825">
        <v>4</v>
      </c>
      <c r="C1825">
        <v>2013</v>
      </c>
      <c r="D1825" s="3" t="str">
        <f>B1825&amp;"/"&amp;A1825&amp;"/"&amp;C1825</f>
        <v>4/18/2013</v>
      </c>
      <c r="E1825">
        <v>0.70833333333333337</v>
      </c>
      <c r="F1825" t="str">
        <f>I1825&amp;" "&amp;J1825&amp;" "&amp;K1825&amp;" "&amp;L1825&amp;" "&amp;M1825&amp;" "&amp;N1825</f>
        <v>Chaos Games and Fractal Images </v>
      </c>
      <c r="G1825" t="s">
        <f>TEXT(D1825,"mmm dd")</f>
        <v>193</v>
      </c>
      <c r="I1825" t="inlineStr">
        <is>
          <t>Chaos</t>
        </is>
      </c>
      <c r="J1825" t="inlineStr">
        <is>
          <t>Games</t>
        </is>
      </c>
      <c r="K1825" t="s">
        <v>135</v>
      </c>
      <c r="L1825" t="inlineStr">
        <is>
          <t>Fractal</t>
        </is>
      </c>
      <c r="M1825" t="inlineStr">
        <is>
          <t>Images</t>
        </is>
      </c>
    </row>
    <row r="1826" spans="1:23">
      <c r="A1826">
        <v>19</v>
      </c>
      <c r="B1826">
        <v>4</v>
      </c>
      <c r="C1826">
        <v>2013</v>
      </c>
      <c r="D1826" s="3" t="s">
        <f>B1826&amp;"/"&amp;A1826&amp;"/"&amp;C1826</f>
        <v>2206</v>
      </c>
      <c r="E1826">
        <v>0.875</v>
      </c>
      <c r="F1826" t="str">
        <f>I1826&amp;" "&amp;J1826&amp;" "&amp;K1826&amp;" "&amp;L1826&amp;" "&amp;M1826&amp;" "&amp;N1826</f>
        <v>Reasoning and Sense Making with At</v>
      </c>
      <c r="G1826" t="s">
        <f>TEXT(D1826,"mmm dd")</f>
        <v>196</v>
      </c>
      <c r="I1826" t="inlineStr">
        <is>
          <t>Reasoning</t>
        </is>
      </c>
      <c r="J1826" t="s">
        <v>135</v>
      </c>
      <c r="K1826" t="inlineStr">
        <is>
          <t>Sense</t>
        </is>
      </c>
      <c r="L1826" t="inlineStr">
        <is>
          <t>Making</t>
        </is>
      </c>
      <c r="M1826" t="s">
        <v>755</v>
      </c>
      <c r="N1826" t="inlineStr">
        <is>
          <t>At</t>
        </is>
      </c>
    </row>
    <row r="1827" spans="1:23">
      <c r="A1827">
        <v>19</v>
      </c>
      <c r="B1827">
        <v>4</v>
      </c>
      <c r="C1827">
        <v>2013</v>
      </c>
      <c r="D1827" s="3" t="s">
        <f>B1827&amp;"/"&amp;A1827&amp;"/"&amp;C1827</f>
        <v>2206</v>
      </c>
      <c r="E1827">
        <v>0.94791666666666663</v>
      </c>
      <c r="F1827" t="str">
        <f>I1827&amp;" "&amp;J1827&amp;" "&amp;K1827&amp;" "&amp;L1827&amp;" "&amp;M1827&amp;" "&amp;N1827</f>
        <v>Building Geometric Thinkers   Cory</v>
      </c>
      <c r="G1827" t="s">
        <f>TEXT(D1827,"mmm dd")</f>
        <v>196</v>
      </c>
      <c r="I1827" t="inlineStr">
        <is>
          <t>Building</t>
        </is>
      </c>
      <c r="J1827" t="inlineStr">
        <is>
          <t>Geometric</t>
        </is>
      </c>
      <c r="K1827" t="inlineStr">
        <is>
          <t>Thinkers</t>
        </is>
      </c>
      <c r="N1827" t="inlineStr">
        <is>
          <t>Cory</t>
        </is>
      </c>
    </row>
    <row r="1828" spans="1:23">
      <c r="A1828">
        <v>21</v>
      </c>
      <c r="B1828">
        <v>4</v>
      </c>
      <c r="C1828">
        <v>2013</v>
      </c>
      <c r="D1828" s="3" t="str">
        <f>B1828&amp;"/"&amp;A1828&amp;"/"&amp;C1828</f>
        <v>4/21/2013</v>
      </c>
      <c r="E1828" t="s">
        <v>42</v>
      </c>
      <c r="F1828" t="str">
        <f>I1828&amp;" "&amp;J1828&amp;" "&amp;K1828&amp;" "&amp;L1828&amp;" "&amp;M1828&amp;" "&amp;N1828</f>
        <v>Julian friend wedding   </v>
      </c>
      <c r="G1828" t="s">
        <f>TEXT(D1828,"mmm dd")</f>
        <v>211</v>
      </c>
      <c r="I1828" t="s">
        <v>284</v>
      </c>
      <c r="J1828" t="inlineStr">
        <is>
          <t>friend</t>
        </is>
      </c>
      <c r="K1828" t="s">
        <v>861</v>
      </c>
    </row>
    <row r="1829" spans="1:23">
      <c r="A1829">
        <v>23</v>
      </c>
      <c r="B1829">
        <v>4</v>
      </c>
      <c r="C1829">
        <v>2013</v>
      </c>
      <c r="D1829" s="3" t="s">
        <f>B1829&amp;"/"&amp;A1829&amp;"/"&amp;C1829</f>
        <v>2207</v>
      </c>
      <c r="E1829">
        <v>0.125</v>
      </c>
      <c r="F1829" t="str">
        <f>I1829&amp;" "&amp;J1829&amp;" "&amp;K1829&amp;" "&amp;L1829&amp;" "&amp;M1829&amp;" "&amp;N1829</f>
        <v>Meet re GDP   </v>
      </c>
      <c r="G1829" t="s">
        <f>TEXT(D1829,"mmm dd")</f>
        <v>221</v>
      </c>
      <c r="I1829" t="s">
        <v>300</v>
      </c>
      <c r="J1829" t="s">
        <v>594</v>
      </c>
      <c r="K1829" t="inlineStr">
        <is>
          <t>GDP</t>
        </is>
      </c>
    </row>
    <row r="1830" spans="1:23">
      <c r="A1830">
        <v>23</v>
      </c>
      <c r="B1830">
        <v>4</v>
      </c>
      <c r="C1830">
        <v>2013</v>
      </c>
      <c r="D1830" s="3" t="s">
        <f>B1830&amp;"/"&amp;A1830&amp;"/"&amp;C1830</f>
        <v>2207</v>
      </c>
      <c r="E1830">
        <v>1.0833333333333333</v>
      </c>
      <c r="F1830" t="s">
        <f>I1830&amp;" "&amp;J1830&amp;" "&amp;K1830&amp;" "&amp;L1830&amp;" "&amp;M1830&amp;" "&amp;N1830</f>
        <v>2033</v>
      </c>
      <c r="G1830" t="s">
        <f>TEXT(D1830,"mmm dd")</f>
        <v>221</v>
      </c>
      <c r="I1830" t="s">
        <v>1892</v>
      </c>
    </row>
    <row r="1831" spans="1:23">
      <c r="A1831">
        <v>24</v>
      </c>
      <c r="B1831">
        <v>4</v>
      </c>
      <c r="C1831">
        <v>2013</v>
      </c>
      <c r="D1831" s="3" t="str">
        <f>B1831&amp;"/"&amp;A1831&amp;"/"&amp;C1831</f>
        <v>4/24/2013</v>
      </c>
      <c r="E1831">
        <v>0.16666666666666666</v>
      </c>
      <c r="F1831" t="s">
        <f>I1831&amp;" "&amp;J1831&amp;" "&amp;K1831&amp;" "&amp;L1831&amp;" "&amp;M1831&amp;" "&amp;N1831</f>
        <v>2013</v>
      </c>
      <c r="G1831" t="s">
        <f>TEXT(D1831,"mmm dd")</f>
        <v>224</v>
      </c>
      <c r="I1831" t="s">
        <v>2014</v>
      </c>
    </row>
    <row r="1832" spans="1:23">
      <c r="A1832">
        <v>25</v>
      </c>
      <c r="B1832">
        <v>4</v>
      </c>
      <c r="C1832">
        <v>2013</v>
      </c>
      <c r="D1832" s="3" t="s">
        <f>B1832&amp;"/"&amp;A1832&amp;"/"&amp;C1832</f>
        <v>2208</v>
      </c>
      <c r="E1832">
        <v>0.875</v>
      </c>
      <c r="F1832" t="str">
        <f>I1832&amp;" "&amp;J1832&amp;" "&amp;K1832&amp;" "&amp;L1832&amp;" "&amp;M1832&amp;" "&amp;N1832</f>
        <v>Chong     </v>
      </c>
      <c r="G1832" t="s">
        <f>TEXT(D1832,"mmm dd")</f>
        <v>227</v>
      </c>
      <c r="I1832" t="s">
        <v>770</v>
      </c>
    </row>
    <row r="1833" spans="1:23">
      <c r="A1833">
        <v>25</v>
      </c>
      <c r="B1833">
        <v>4</v>
      </c>
      <c r="C1833">
        <v>2013</v>
      </c>
      <c r="D1833" s="3" t="s">
        <f>B1833&amp;"/"&amp;A1833&amp;"/"&amp;C1833</f>
        <v>2208</v>
      </c>
      <c r="E1833">
        <v>0.9375</v>
      </c>
      <c r="F1833" t="s">
        <f>I1833&amp;" "&amp;J1833&amp;" "&amp;K1833&amp;" "&amp;L1833&amp;" "&amp;M1833&amp;" "&amp;N1833</f>
        <v>2013</v>
      </c>
      <c r="G1833" t="s">
        <f>TEXT(D1833,"mmm dd")</f>
        <v>227</v>
      </c>
      <c r="I1833" t="s">
        <v>2014</v>
      </c>
    </row>
    <row r="1834" spans="1:23">
      <c r="A1834">
        <v>29</v>
      </c>
      <c r="B1834">
        <v>4</v>
      </c>
      <c r="C1834">
        <v>2013</v>
      </c>
      <c r="D1834" s="3" t="s">
        <f>B1834&amp;"/"&amp;A1834&amp;"/"&amp;C1834</f>
        <v>2209</v>
      </c>
      <c r="E1834">
        <v>0.85416666666666663</v>
      </c>
      <c r="F1834" t="str">
        <f>I1834&amp;" "&amp;J1834&amp;" "&amp;K1834&amp;" "&amp;L1834&amp;" "&amp;M1834&amp;" "&amp;N1834</f>
        <v>Plan 220    </v>
      </c>
      <c r="G1834" t="s">
        <f>TEXT(D1834,"mmm dd")</f>
        <v>239</v>
      </c>
      <c r="I1834" t="s">
        <v>2210</v>
      </c>
      <c r="J1834">
        <v>220</v>
      </c>
    </row>
    <row r="1835" spans="1:23">
      <c r="A1835">
        <v>29</v>
      </c>
      <c r="B1835">
        <v>4</v>
      </c>
      <c r="C1835">
        <v>2013</v>
      </c>
      <c r="D1835" s="3" t="s">
        <f>B1835&amp;"/"&amp;A1835&amp;"/"&amp;C1835</f>
        <v>2209</v>
      </c>
      <c r="E1835">
        <v>1.0625</v>
      </c>
      <c r="F1835" t="s">
        <f>I1835&amp;" "&amp;J1835&amp;" "&amp;K1835&amp;" "&amp;L1835&amp;" "&amp;M1835&amp;" "&amp;N1835</f>
        <v>2204</v>
      </c>
      <c r="G1835" t="s">
        <f>TEXT(D1835,"mmm dd")</f>
        <v>239</v>
      </c>
      <c r="I1835" t="s">
        <v>2205</v>
      </c>
      <c r="J1835" t="s">
        <v>2084</v>
      </c>
    </row>
    <row r="1836" spans="1:23">
      <c r="A1836">
        <v>29</v>
      </c>
      <c r="B1836">
        <v>4</v>
      </c>
      <c r="C1836">
        <v>2013</v>
      </c>
      <c r="D1836" s="3" t="s">
        <f>B1836&amp;"/"&amp;A1836&amp;"/"&amp;C1836</f>
        <v>2209</v>
      </c>
      <c r="E1836">
        <v>0.83333333333333337</v>
      </c>
      <c r="F1836" t="str">
        <f>I1836&amp;" "&amp;J1836&amp;" "&amp;K1836&amp;" "&amp;L1836&amp;" "&amp;M1836&amp;" "&amp;N1836</f>
        <v>Move car    </v>
      </c>
      <c r="G1836" t="s">
        <f>TEXT(D1836,"mmm dd")</f>
        <v>239</v>
      </c>
      <c r="I1836" t="s">
        <v>1679</v>
      </c>
      <c r="J1836" t="s">
        <v>2062</v>
      </c>
    </row>
    <row r="1837" spans="1:23">
      <c r="A1837">
        <v>30</v>
      </c>
      <c r="B1837">
        <v>4</v>
      </c>
      <c r="C1837">
        <v>2013</v>
      </c>
      <c r="D1837" s="3" t="str">
        <f>B1837&amp;"/"&amp;A1837&amp;"/"&amp;C1837</f>
        <v>4/30/2013</v>
      </c>
      <c r="E1837">
        <v>0.20833333333333334</v>
      </c>
      <c r="F1837" t="s">
        <f>I1837&amp;" "&amp;J1837&amp;" "&amp;K1837&amp;" "&amp;L1837&amp;" "&amp;M1837&amp;" "&amp;N1837</f>
        <v>2196</v>
      </c>
      <c r="G1837" t="s">
        <f>TEXT(D1837,"mmm dd")</f>
        <v>246</v>
      </c>
      <c r="I1837" t="s">
        <v>1871</v>
      </c>
      <c r="J1837" t="s">
        <v>2197</v>
      </c>
    </row>
    <row r="1838" spans="1:23">
      <c r="A1838">
        <v>1</v>
      </c>
      <c r="B1838">
        <v>5</v>
      </c>
      <c r="C1838">
        <v>2013</v>
      </c>
      <c r="D1838" s="3" t="str">
        <f>B1838&amp;"/"&amp;A1838&amp;"/"&amp;C1838</f>
        <v>5/1/2013</v>
      </c>
      <c r="E1838" t="s">
        <v>42</v>
      </c>
      <c r="F1838" t="str">
        <f>I1838&amp;" "&amp;J1838&amp;" "&amp;K1838&amp;" "&amp;L1838&amp;" "&amp;M1838&amp;" "&amp;N1838</f>
        <v>May Day Festival @ Priory </v>
      </c>
      <c r="G1838" t="s">
        <f>TEXT(D1838,"mmm dd")</f>
        <v>249</v>
      </c>
      <c r="I1838" t="s">
        <v>375</v>
      </c>
      <c r="J1838" t="s">
        <v>10</v>
      </c>
      <c r="K1838" t="s">
        <v>2211</v>
      </c>
      <c r="L1838" t="s">
        <v>48</v>
      </c>
      <c r="M1838" t="s">
        <v>756</v>
      </c>
    </row>
    <row r="1839" spans="1:23">
      <c r="A1839">
        <v>5</v>
      </c>
      <c r="B1839">
        <v>5</v>
      </c>
      <c r="C1839">
        <v>2013</v>
      </c>
      <c r="D1839" s="3" t="str">
        <f>B1839&amp;"/"&amp;A1839&amp;"/"&amp;C1839</f>
        <v>5/5/2013</v>
      </c>
      <c r="E1839">
        <v>0.25</v>
      </c>
      <c r="F1839" t="str">
        <f>I1839&amp;" "&amp;J1839&amp;" "&amp;K1839&amp;" "&amp;L1839&amp;" "&amp;M1839&amp;" "&amp;N1839</f>
        <v>Gordon Biersch    </v>
      </c>
      <c r="G1839" t="s">
        <f>TEXT(D1839,"mmm dd")</f>
        <v>2212</v>
      </c>
      <c r="I1839" t="s">
        <v>1717</v>
      </c>
      <c r="J1839" t="s">
        <v>1718</v>
      </c>
    </row>
    <row r="1840" spans="1:23">
      <c r="A1840">
        <v>8</v>
      </c>
      <c r="B1840">
        <v>5</v>
      </c>
      <c r="C1840">
        <v>2013</v>
      </c>
      <c r="D1840" s="3" t="str">
        <f>B1840&amp;"/"&amp;A1840&amp;"/"&amp;C1840</f>
        <v>5/8/2013</v>
      </c>
      <c r="E1840">
        <v>0.125</v>
      </c>
      <c r="F1840" t="s">
        <f>I1840&amp;" "&amp;J1840&amp;" "&amp;K1840&amp;" "&amp;L1840&amp;" "&amp;M1840&amp;" "&amp;N1840</f>
        <v>2033</v>
      </c>
      <c r="G1840" t="s">
        <f>TEXT(D1840,"mmm dd")</f>
        <v>282</v>
      </c>
      <c r="I1840" t="s">
        <v>1892</v>
      </c>
    </row>
    <row r="1841" spans="1:23">
      <c r="A1841">
        <v>9</v>
      </c>
      <c r="B1841">
        <v>5</v>
      </c>
      <c r="C1841">
        <v>2013</v>
      </c>
      <c r="D1841" s="3" t="str">
        <f>B1841&amp;"/"&amp;A1841&amp;"/"&amp;C1841</f>
        <v>5/9/2013</v>
      </c>
      <c r="E1841" t="s">
        <v>42</v>
      </c>
      <c r="F1841" t="s">
        <f>I1841&amp;" "&amp;J1841&amp;" "&amp;K1841&amp;" "&amp;L1841&amp;" "&amp;M1841&amp;" "&amp;N1841</f>
        <v>1308</v>
      </c>
      <c r="G1841" t="s">
        <f>TEXT(D1841,"mmm dd")</f>
        <v>295</v>
      </c>
      <c r="I1841" t="s">
        <v>254</v>
      </c>
      <c r="J1841" t="s">
        <v>10</v>
      </c>
      <c r="K1841" t="s">
        <v>48</v>
      </c>
      <c r="L1841" t="s">
        <v>756</v>
      </c>
    </row>
    <row r="1842" spans="1:23">
      <c r="A1842">
        <v>11</v>
      </c>
      <c r="B1842">
        <v>5</v>
      </c>
      <c r="C1842">
        <v>2013</v>
      </c>
      <c r="D1842" s="3" t="s">
        <f>B1842&amp;"/"&amp;A1842&amp;"/"&amp;C1842</f>
        <v>2213</v>
      </c>
      <c r="E1842">
        <v>0.95833333333333337</v>
      </c>
      <c r="F1842" t="str">
        <f>I1842&amp;" "&amp;J1842&amp;" "&amp;K1842&amp;" "&amp;L1842&amp;" "&amp;M1842&amp;" "&amp;N1842</f>
        <v>Albert Oki at Kuakini  </v>
      </c>
      <c r="G1842" t="s">
        <f>TEXT(D1842,"mmm dd")</f>
        <v>308</v>
      </c>
      <c r="I1842" t="inlineStr">
        <is>
          <t>Albert</t>
        </is>
      </c>
      <c r="J1842" t="inlineStr">
        <is>
          <t>Oki</t>
        </is>
      </c>
      <c r="K1842" t="s">
        <v>53</v>
      </c>
      <c r="L1842" t="inlineStr">
        <is>
          <t>Kuakini</t>
        </is>
      </c>
    </row>
    <row r="1843" spans="1:23">
      <c r="A1843">
        <v>11</v>
      </c>
      <c r="B1843">
        <v>5</v>
      </c>
      <c r="C1843">
        <v>2013</v>
      </c>
      <c r="D1843" s="3" t="s">
        <f>B1843&amp;"/"&amp;A1843&amp;"/"&amp;C1843</f>
        <v>2213</v>
      </c>
      <c r="E1843" t="s">
        <v>42</v>
      </c>
      <c r="F1843" t="str">
        <f>I1843&amp;" "&amp;J1843&amp;" "&amp;K1843&amp;" "&amp;L1843&amp;" "&amp;M1843&amp;" "&amp;N1843</f>
        <v>Remind mp to exercise  </v>
      </c>
      <c r="G1843" t="s">
        <f>TEXT(D1843,"mmm dd")</f>
        <v>308</v>
      </c>
      <c r="I1843" t="s">
        <v>2165</v>
      </c>
      <c r="J1843" t="inlineStr">
        <is>
          <t>mp</t>
        </is>
      </c>
      <c r="K1843" t="s">
        <v>449</v>
      </c>
      <c r="L1843" t="inlineStr">
        <is>
          <t>exercise</t>
        </is>
      </c>
    </row>
    <row r="1844" spans="1:23">
      <c r="A1844">
        <v>11</v>
      </c>
      <c r="B1844">
        <v>5</v>
      </c>
      <c r="C1844">
        <v>2013</v>
      </c>
      <c r="D1844" s="3" t="s">
        <f>B1844&amp;"/"&amp;A1844&amp;"/"&amp;C1844</f>
        <v>2213</v>
      </c>
      <c r="E1844">
        <v>0.125</v>
      </c>
      <c r="F1844" t="str">
        <f>I1844&amp;" "&amp;J1844&amp;" "&amp;K1844&amp;" "&amp;L1844&amp;" "&amp;M1844&amp;" "&amp;N1844</f>
        <v>Pau hana    </v>
      </c>
      <c r="G1844" t="s">
        <f>TEXT(D1844,"mmm dd")</f>
        <v>308</v>
      </c>
      <c r="I1844" t="s">
        <v>1933</v>
      </c>
      <c r="J1844" t="inlineStr">
        <is>
          <t>hana</t>
        </is>
      </c>
    </row>
    <row r="1845" spans="1:23">
      <c r="A1845">
        <v>15</v>
      </c>
      <c r="B1845">
        <v>5</v>
      </c>
      <c r="C1845">
        <v>2013</v>
      </c>
      <c r="D1845" s="3" t="str">
        <f>B1845&amp;"/"&amp;A1845&amp;"/"&amp;C1845</f>
        <v>5/15/2013</v>
      </c>
      <c r="E1845">
        <v>0.95833333333333337</v>
      </c>
      <c r="F1845" t="str">
        <f>I1845&amp;" "&amp;J1845&amp;" "&amp;K1845&amp;" "&amp;L1845&amp;" "&amp;M1845&amp;" "&amp;N1845</f>
        <v>June     </v>
      </c>
      <c r="G1845" t="s">
        <f>TEXT(D1845,"mmm dd")</f>
        <v>326</v>
      </c>
      <c r="I1845" t="s">
        <v>1539</v>
      </c>
    </row>
    <row r="1846" spans="1:23">
      <c r="A1846">
        <v>16</v>
      </c>
      <c r="B1846">
        <v>5</v>
      </c>
      <c r="C1846">
        <v>2013</v>
      </c>
      <c r="D1846" s="3" t="s">
        <f>B1846&amp;"/"&amp;A1846&amp;"/"&amp;C1846</f>
        <v>2214</v>
      </c>
      <c r="E1846">
        <v>0.91666666666666663</v>
      </c>
      <c r="F1846" t="str">
        <f>I1846&amp;" "&amp;J1846&amp;" "&amp;K1846&amp;" "&amp;L1846&amp;" "&amp;M1846&amp;" "&amp;N1846</f>
        <v>Hina Mauka    </v>
      </c>
      <c r="G1846" t="s">
        <f>TEXT(D1846,"mmm dd")</f>
        <v>328</v>
      </c>
      <c r="I1846" t="inlineStr">
        <is>
          <t>Hina</t>
        </is>
      </c>
      <c r="J1846" t="s">
        <v>2087</v>
      </c>
    </row>
    <row r="1847" spans="1:23">
      <c r="A1847">
        <v>16</v>
      </c>
      <c r="B1847">
        <v>5</v>
      </c>
      <c r="C1847">
        <v>2013</v>
      </c>
      <c r="D1847" s="3" t="s">
        <f>B1847&amp;"/"&amp;A1847&amp;"/"&amp;C1847</f>
        <v>2214</v>
      </c>
      <c r="E1847">
        <v>1.0833333333333333</v>
      </c>
      <c r="F1847" t="s">
        <f>I1847&amp;" "&amp;J1847&amp;" "&amp;K1847&amp;" "&amp;L1847&amp;" "&amp;M1847&amp;" "&amp;N1847</f>
        <v>2202</v>
      </c>
      <c r="G1847" t="s">
        <f>TEXT(D1847,"mmm dd")</f>
        <v>328</v>
      </c>
      <c r="I1847" t="s">
        <v>1902</v>
      </c>
    </row>
    <row r="1848" spans="1:23">
      <c r="A1848">
        <v>18</v>
      </c>
      <c r="B1848">
        <v>5</v>
      </c>
      <c r="C1848">
        <v>2013</v>
      </c>
      <c r="D1848" s="3" t="str">
        <f>B1848&amp;"/"&amp;A1848&amp;"/"&amp;C1848</f>
        <v>5/18/2013</v>
      </c>
      <c r="E1848">
        <v>1.0833333333333333</v>
      </c>
      <c r="F1848" t="str">
        <f>I1848&amp;" "&amp;J1848&amp;" "&amp;K1848&amp;" "&amp;L1848&amp;" "&amp;M1848&amp;" "&amp;N1848</f>
        <v>Buy Flip camera   </v>
      </c>
      <c r="G1848" t="s">
        <f>TEXT(D1848,"mmm dd")</f>
        <v>339</v>
      </c>
      <c r="I1848" t="s">
        <v>1384</v>
      </c>
      <c r="J1848" t="inlineStr">
        <is>
          <t>Flip</t>
        </is>
      </c>
      <c r="K1848" t="inlineStr">
        <is>
          <t>camera</t>
        </is>
      </c>
    </row>
    <row r="1849" spans="1:23">
      <c r="A1849">
        <v>22</v>
      </c>
      <c r="B1849">
        <v>5</v>
      </c>
      <c r="C1849">
        <v>2013</v>
      </c>
      <c r="D1849" s="3" t="str">
        <f>B1849&amp;"/"&amp;A1849&amp;"/"&amp;C1849</f>
        <v>5/22/2013</v>
      </c>
      <c r="E1849">
        <v>0.125</v>
      </c>
      <c r="F1849" t="str">
        <f>I1849&amp;" "&amp;J1849&amp;" "&amp;K1849&amp;" "&amp;L1849&amp;" "&amp;M1849&amp;" "&amp;N1849</f>
        <v>Bishop     </v>
      </c>
      <c r="G1849" t="s">
        <f>TEXT(D1849,"mmm dd")</f>
        <v>357</v>
      </c>
      <c r="I1849" t="s">
        <v>85</v>
      </c>
    </row>
    <row r="1850" spans="1:23">
      <c r="A1850">
        <v>23</v>
      </c>
      <c r="B1850">
        <v>5</v>
      </c>
      <c r="C1850">
        <v>2013</v>
      </c>
      <c r="D1850" s="3" t="s">
        <f>B1850&amp;"/"&amp;A1850&amp;"/"&amp;C1850</f>
        <v>2215</v>
      </c>
      <c r="E1850">
        <v>1.0416666666666667</v>
      </c>
      <c r="F1850" t="s">
        <f>I1850&amp;" "&amp;J1850&amp;" "&amp;K1850&amp;" "&amp;L1850&amp;" "&amp;M1850&amp;" "&amp;N1850</f>
        <v>2204</v>
      </c>
      <c r="G1850" t="s">
        <f>TEXT(D1850,"mmm dd")</f>
        <v>360</v>
      </c>
      <c r="I1850" t="s">
        <v>2205</v>
      </c>
      <c r="J1850" t="s">
        <v>2084</v>
      </c>
    </row>
    <row r="1851" spans="1:23">
      <c r="A1851">
        <v>23</v>
      </c>
      <c r="B1851">
        <v>5</v>
      </c>
      <c r="C1851">
        <v>2013</v>
      </c>
      <c r="D1851" s="3" t="s">
        <f>B1851&amp;"/"&amp;A1851&amp;"/"&amp;C1851</f>
        <v>2215</v>
      </c>
      <c r="E1851">
        <v>0.97916666666666663</v>
      </c>
      <c r="F1851" t="s">
        <f>I1851&amp;" "&amp;J1851&amp;" "&amp;K1851&amp;" "&amp;L1851&amp;" "&amp;M1851&amp;" "&amp;N1851</f>
        <v>2033</v>
      </c>
      <c r="G1851" t="s">
        <f>TEXT(D1851,"mmm dd")</f>
        <v>360</v>
      </c>
      <c r="I1851" t="s">
        <v>1892</v>
      </c>
    </row>
    <row r="1852" spans="1:23">
      <c r="A1852">
        <v>27</v>
      </c>
      <c r="B1852">
        <v>5</v>
      </c>
      <c r="C1852">
        <v>2013</v>
      </c>
      <c r="D1852" s="3" t="s">
        <f>B1852&amp;"/"&amp;A1852&amp;"/"&amp;C1852</f>
        <v>2216</v>
      </c>
      <c r="E1852">
        <v>0.16666666666666666</v>
      </c>
      <c r="F1852" t="str">
        <f>I1852&amp;" "&amp;J1852&amp;" "&amp;K1852&amp;" "&amp;L1852&amp;" "&amp;M1852&amp;" "&amp;N1852</f>
        <v>Baccalaureate @ Priory   </v>
      </c>
      <c r="G1852" t="s">
        <f>TEXT(D1852,"mmm dd")</f>
        <v>391</v>
      </c>
      <c r="I1852" t="s">
        <v>1937</v>
      </c>
      <c r="J1852" t="s">
        <v>48</v>
      </c>
      <c r="K1852" t="s">
        <v>756</v>
      </c>
    </row>
    <row r="1853" spans="1:23">
      <c r="A1853">
        <v>27</v>
      </c>
      <c r="B1853">
        <v>5</v>
      </c>
      <c r="C1853">
        <v>2013</v>
      </c>
      <c r="D1853" s="3" t="s">
        <f>B1853&amp;"/"&amp;A1853&amp;"/"&amp;C1853</f>
        <v>2216</v>
      </c>
      <c r="E1853">
        <v>0.27083333333333331</v>
      </c>
      <c r="F1853" t="s">
        <f>I1853&amp;" "&amp;J1853&amp;" "&amp;K1853&amp;" "&amp;L1853&amp;" "&amp;M1853&amp;" "&amp;N1853</f>
        <v>1569</v>
      </c>
      <c r="G1853" t="s">
        <f>TEXT(D1853,"mmm dd")</f>
        <v>391</v>
      </c>
      <c r="I1853" t="s">
        <v>1543</v>
      </c>
    </row>
    <row r="1854" spans="1:23">
      <c r="A1854">
        <v>3</v>
      </c>
      <c r="B1854">
        <v>6</v>
      </c>
      <c r="C1854">
        <v>2013</v>
      </c>
      <c r="D1854" s="3" t="str">
        <f>B1854&amp;"/"&amp;A1854&amp;"/"&amp;C1854</f>
        <v>6/3/2013</v>
      </c>
      <c r="E1854">
        <v>0.25</v>
      </c>
      <c r="F1854" t="str">
        <f>I1854&amp;" "&amp;J1854&amp;" "&amp;K1854&amp;" "&amp;L1854&amp;" "&amp;M1854&amp;" "&amp;N1854</f>
        <v>Commencement @ Priory   </v>
      </c>
      <c r="G1854" t="s">
        <f>TEXT(D1854,"mmm dd")</f>
        <v>434</v>
      </c>
      <c r="I1854" t="s">
        <v>2217</v>
      </c>
      <c r="J1854" t="s">
        <v>48</v>
      </c>
      <c r="K1854" t="s">
        <v>756</v>
      </c>
    </row>
    <row r="1855" spans="1:23">
      <c r="A1855">
        <v>18</v>
      </c>
      <c r="B1855">
        <v>6</v>
      </c>
      <c r="C1855">
        <v>2013</v>
      </c>
      <c r="D1855" s="3" t="str">
        <f>B1855&amp;"/"&amp;A1855&amp;"/"&amp;C1855</f>
        <v>6/18/2013</v>
      </c>
      <c r="E1855">
        <v>1.0833333333333333</v>
      </c>
      <c r="F1855" t="s">
        <f>I1855&amp;" "&amp;J1855&amp;" "&amp;K1855&amp;" "&amp;L1855&amp;" "&amp;M1855&amp;" "&amp;N1855</f>
        <v>2033</v>
      </c>
      <c r="G1855" t="s">
        <f>TEXT(D1855,"mmm dd")</f>
        <v>558</v>
      </c>
      <c r="I1855" t="s">
        <v>1892</v>
      </c>
    </row>
    <row r="1856" spans="1:23">
      <c r="A1856">
        <v>19</v>
      </c>
      <c r="B1856">
        <v>6</v>
      </c>
      <c r="C1856">
        <v>2013</v>
      </c>
      <c r="D1856" s="3" t="str">
        <f>B1856&amp;"/"&amp;A1856&amp;"/"&amp;C1856</f>
        <v>6/19/2013</v>
      </c>
      <c r="E1856">
        <v>1</v>
      </c>
      <c r="F1856" t="s">
        <f>I1856&amp;" "&amp;J1856&amp;" "&amp;K1856&amp;" "&amp;L1856&amp;" "&amp;M1856&amp;" "&amp;N1856</f>
        <v>2202</v>
      </c>
      <c r="G1856" t="s">
        <f>TEXT(D1856,"mmm dd")</f>
        <v>564</v>
      </c>
      <c r="I1856" t="s">
        <v>1902</v>
      </c>
    </row>
    <row r="1857" spans="1:23">
      <c r="A1857">
        <v>20</v>
      </c>
      <c r="B1857">
        <v>6</v>
      </c>
      <c r="C1857">
        <v>2013</v>
      </c>
      <c r="D1857" s="3" t="str">
        <f>B1857&amp;"/"&amp;A1857&amp;"/"&amp;C1857</f>
        <v>6/20/2013</v>
      </c>
      <c r="E1857">
        <v>1.0833333333333333</v>
      </c>
      <c r="F1857" t="s">
        <f>I1857&amp;" "&amp;J1857&amp;" "&amp;K1857&amp;" "&amp;L1857&amp;" "&amp;M1857&amp;" "&amp;N1857</f>
        <v>2013</v>
      </c>
      <c r="G1857" t="s">
        <f>TEXT(D1857,"mmm dd")</f>
        <v>566</v>
      </c>
      <c r="I1857" t="s">
        <v>2014</v>
      </c>
    </row>
    <row r="1858" spans="1:23">
      <c r="A1858">
        <v>21</v>
      </c>
      <c r="B1858">
        <v>6</v>
      </c>
      <c r="C1858">
        <v>2013</v>
      </c>
      <c r="D1858" s="3" t="str">
        <f>B1858&amp;"/"&amp;A1858&amp;"/"&amp;C1858</f>
        <v>6/21/2013</v>
      </c>
      <c r="E1858" t="s">
        <v>42</v>
      </c>
      <c r="F1858" t="str">
        <f>I1858&amp;" "&amp;J1858&amp;" "&amp;K1858&amp;" "&amp;L1858&amp;" "&amp;M1858&amp;" "&amp;N1858</f>
        <v>Mom Bill to SC  </v>
      </c>
      <c r="G1858" t="s">
        <f>TEXT(D1858,"mmm dd")</f>
        <v>568</v>
      </c>
      <c r="I1858" t="s">
        <v>2218</v>
      </c>
      <c r="J1858" t="s">
        <v>814</v>
      </c>
      <c r="K1858" t="s">
        <v>449</v>
      </c>
      <c r="L1858" t="s">
        <v>1301</v>
      </c>
    </row>
    <row r="1859" spans="1:23">
      <c r="A1859">
        <v>28</v>
      </c>
      <c r="B1859">
        <v>6</v>
      </c>
      <c r="C1859">
        <v>2013</v>
      </c>
      <c r="D1859" s="3" t="str">
        <f>B1859&amp;"/"&amp;A1859&amp;"/"&amp;C1859</f>
        <v>6/28/2013</v>
      </c>
      <c r="E1859">
        <v>0.41666666666666669</v>
      </c>
      <c r="F1859" t="str">
        <f>I1859&amp;" "&amp;J1859&amp;" "&amp;K1859&amp;" "&amp;L1859&amp;" "&amp;M1859&amp;" "&amp;N1859</f>
        <v>Fly to Anchorage   </v>
      </c>
      <c r="G1859" t="s">
        <f>TEXT(D1859,"mmm dd")</f>
        <v>597</v>
      </c>
      <c r="I1859" t="s">
        <v>519</v>
      </c>
      <c r="J1859" t="s">
        <v>449</v>
      </c>
      <c r="K1859" t="inlineStr">
        <is>
          <t>Anchorage</t>
        </is>
      </c>
    </row>
    <row r="1860" spans="1:23">
      <c r="A1860">
        <v>30</v>
      </c>
      <c r="B1860">
        <v>6</v>
      </c>
      <c r="C1860">
        <v>2013</v>
      </c>
      <c r="D1860" s="3" t="s">
        <f>B1860&amp;"/"&amp;A1860&amp;"/"&amp;C1860</f>
        <v>2219</v>
      </c>
      <c r="E1860" t="s">
        <v>42</v>
      </c>
      <c r="F1860" t="s">
        <f>I1860&amp;" "&amp;J1860&amp;" "&amp;K1860&amp;" "&amp;L1860&amp;" "&amp;M1860&amp;" "&amp;N1860</f>
        <v>2021</v>
      </c>
      <c r="G1860" t="s">
        <f>TEXT(D1860,"mmm dd")</f>
        <v>12</v>
      </c>
      <c r="I1860" t="s">
        <v>1743</v>
      </c>
    </row>
    <row r="1861" spans="1:23">
      <c r="A1861">
        <v>3</v>
      </c>
      <c r="B1861">
        <v>7</v>
      </c>
      <c r="C1861">
        <v>2013</v>
      </c>
      <c r="D1861" s="3" t="s">
        <f>B1861&amp;"/"&amp;A1861&amp;"/"&amp;C1861</f>
        <v>2220</v>
      </c>
      <c r="E1861">
        <v>0.88888888888888884</v>
      </c>
      <c r="F1861" t="str">
        <f>I1861&amp;" "&amp;J1861&amp;" "&amp;K1861&amp;" "&amp;L1861&amp;" "&amp;M1861&amp;" "&amp;N1861</f>
        <v>Tour     </v>
      </c>
      <c r="G1861" t="s">
        <f>TEXT(D1861,"mmm dd")</f>
        <v>16</v>
      </c>
      <c r="I1861" t="inlineStr">
        <is>
          <t>Tour</t>
        </is>
      </c>
    </row>
    <row r="1862" spans="1:23">
      <c r="A1862">
        <v>3</v>
      </c>
      <c r="B1862">
        <v>7</v>
      </c>
      <c r="C1862">
        <v>2013</v>
      </c>
      <c r="D1862" s="3" t="s">
        <f>B1862&amp;"/"&amp;A1862&amp;"/"&amp;C1862</f>
        <v>2220</v>
      </c>
      <c r="E1862">
        <v>1.1041666666666667</v>
      </c>
      <c r="F1862" t="str">
        <f>I1862&amp;" "&amp;J1862&amp;" "&amp;K1862&amp;" "&amp;L1862&amp;" "&amp;M1862&amp;" "&amp;N1862</f>
        <v>Whales everywhere    </v>
      </c>
      <c r="G1862" t="s">
        <f>TEXT(D1862,"mmm dd")</f>
        <v>16</v>
      </c>
      <c r="I1862" t="inlineStr">
        <is>
          <t>Whales</t>
        </is>
      </c>
      <c r="J1862" t="inlineStr">
        <is>
          <t>everywhere</t>
        </is>
      </c>
    </row>
    <row r="1863" spans="1:23">
      <c r="A1863">
        <v>3</v>
      </c>
      <c r="B1863">
        <v>7</v>
      </c>
      <c r="C1863">
        <v>2013</v>
      </c>
      <c r="D1863" s="3" t="s">
        <f>B1863&amp;"/"&amp;A1863&amp;"/"&amp;C1863</f>
        <v>2220</v>
      </c>
      <c r="E1863">
        <v>1.0833333333333333</v>
      </c>
      <c r="F1863" t="str">
        <f>I1863&amp;" "&amp;J1863&amp;" "&amp;K1863&amp;" "&amp;L1863&amp;" "&amp;M1863&amp;" "&amp;N1863</f>
        <v>All aboard    </v>
      </c>
      <c r="G1863" t="s">
        <f>TEXT(D1863,"mmm dd")</f>
        <v>16</v>
      </c>
      <c r="I1863" t="inlineStr">
        <is>
          <t>All</t>
        </is>
      </c>
      <c r="J1863" t="inlineStr">
        <is>
          <t>aboard</t>
        </is>
      </c>
    </row>
    <row r="1864" spans="1:23">
      <c r="A1864">
        <v>4</v>
      </c>
      <c r="B1864">
        <v>7</v>
      </c>
      <c r="C1864">
        <v>2013</v>
      </c>
      <c r="D1864" s="3" t="s">
        <f>B1864&amp;"/"&amp;A1864&amp;"/"&amp;C1864</f>
        <v>2221</v>
      </c>
      <c r="E1864">
        <v>0.39583333333333331</v>
      </c>
      <c r="F1864" t="str">
        <f>I1864&amp;" "&amp;J1864&amp;" "&amp;K1864&amp;" "&amp;L1864&amp;" "&amp;M1864&amp;" "&amp;N1864</f>
        <v>James Taylor    </v>
      </c>
      <c r="G1864" t="s">
        <f>TEXT(D1864,"mmm dd")</f>
        <v>18</v>
      </c>
      <c r="I1864" t="s">
        <v>77</v>
      </c>
      <c r="J1864" t="inlineStr">
        <is>
          <t>Taylor</t>
        </is>
      </c>
    </row>
    <row r="1865" spans="1:23">
      <c r="A1865">
        <v>4</v>
      </c>
      <c r="B1865">
        <v>7</v>
      </c>
      <c r="C1865">
        <v>2013</v>
      </c>
      <c r="D1865" s="3" t="s">
        <f>B1865&amp;"/"&amp;A1865&amp;"/"&amp;C1865</f>
        <v>2221</v>
      </c>
      <c r="E1865">
        <v>0.27083333333333331</v>
      </c>
      <c r="F1865" t="str">
        <f>I1865&amp;" "&amp;J1865&amp;" "&amp;K1865&amp;" "&amp;L1865&amp;" "&amp;M1865&amp;" "&amp;N1865</f>
        <v>Rock this town   </v>
      </c>
      <c r="G1865" t="s">
        <f>TEXT(D1865,"mmm dd")</f>
        <v>18</v>
      </c>
      <c r="I1865" t="inlineStr">
        <is>
          <t>Rock</t>
        </is>
      </c>
      <c r="J1865" t="s">
        <v>1893</v>
      </c>
      <c r="K1865" t="inlineStr">
        <is>
          <t>town</t>
        </is>
      </c>
    </row>
    <row r="1866" spans="1:23">
      <c r="A1866">
        <v>4</v>
      </c>
      <c r="B1866">
        <v>7</v>
      </c>
      <c r="C1866">
        <v>2013</v>
      </c>
      <c r="D1866" s="3" t="s">
        <f>B1866&amp;"/"&amp;A1866&amp;"/"&amp;C1866</f>
        <v>2221</v>
      </c>
      <c r="E1866">
        <v>0.17708333333333334</v>
      </c>
      <c r="F1866" t="str">
        <f>I1866&amp;" "&amp;J1866&amp;" "&amp;K1866&amp;" "&amp;L1866&amp;" "&amp;M1866&amp;" "&amp;N1866</f>
        <v>Dixieland     </v>
      </c>
      <c r="G1866" t="s">
        <f>TEXT(D1866,"mmm dd")</f>
        <v>18</v>
      </c>
      <c r="I1866" t="inlineStr">
        <is>
          <t>Dixieland</t>
        </is>
      </c>
    </row>
    <row r="1867" spans="1:23">
      <c r="A1867">
        <v>4</v>
      </c>
      <c r="B1867">
        <v>7</v>
      </c>
      <c r="C1867">
        <v>2013</v>
      </c>
      <c r="D1867" s="3" t="s">
        <f>B1867&amp;"/"&amp;A1867&amp;"/"&amp;C1867</f>
        <v>2221</v>
      </c>
      <c r="E1867">
        <v>0.15625</v>
      </c>
      <c r="F1867" t="str">
        <f>I1867&amp;" "&amp;J1867&amp;" "&amp;K1867&amp;" "&amp;L1867&amp;" "&amp;M1867&amp;" "&amp;N1867</f>
        <v>Northern treasures    </v>
      </c>
      <c r="G1867" t="s">
        <f>TEXT(D1867,"mmm dd")</f>
        <v>18</v>
      </c>
      <c r="I1867" t="inlineStr">
        <is>
          <t>Northern</t>
        </is>
      </c>
      <c r="J1867" t="inlineStr">
        <is>
          <t>treasures</t>
        </is>
      </c>
    </row>
    <row r="1868" spans="1:23">
      <c r="A1868">
        <v>7</v>
      </c>
      <c r="B1868">
        <v>7</v>
      </c>
      <c r="C1868">
        <v>2013</v>
      </c>
      <c r="D1868" s="3" t="str">
        <f>B1868&amp;"/"&amp;A1868&amp;"/"&amp;C1868</f>
        <v>7/7/2013</v>
      </c>
      <c r="E1868" t="s">
        <v>42</v>
      </c>
      <c r="F1868" t="str">
        <f>I1868&amp;" "&amp;J1868&amp;" "&amp;K1868&amp;" "&amp;L1868&amp;" "&amp;M1868&amp;" "&amp;N1868</f>
        <v>Vancouver     </v>
      </c>
      <c r="G1868" t="s">
        <f>TEXT(D1868,"mmm dd")</f>
        <v>24</v>
      </c>
      <c r="I1868" t="inlineStr">
        <is>
          <t>Vancouver</t>
        </is>
      </c>
    </row>
    <row r="1869" spans="1:23">
      <c r="A1869">
        <v>9</v>
      </c>
      <c r="B1869">
        <v>7</v>
      </c>
      <c r="C1869">
        <v>2013</v>
      </c>
      <c r="D1869" s="3" t="str">
        <f>B1869&amp;"/"&amp;A1869&amp;"/"&amp;C1869</f>
        <v>7/9/2013</v>
      </c>
      <c r="E1869" t="s">
        <v>42</v>
      </c>
      <c r="F1869" t="str">
        <f>I1869&amp;" "&amp;J1869&amp;" "&amp;K1869&amp;" "&amp;L1869&amp;" "&amp;M1869&amp;" "&amp;N1869</f>
        <v>Fly to Phoenix   </v>
      </c>
      <c r="G1869" t="s">
        <f>TEXT(D1869,"mmm dd")</f>
        <v>625</v>
      </c>
      <c r="I1869" t="s">
        <v>519</v>
      </c>
      <c r="J1869" t="s">
        <v>449</v>
      </c>
      <c r="K1869" t="s">
        <v>2222</v>
      </c>
    </row>
    <row r="1870" spans="1:23">
      <c r="A1870">
        <v>10</v>
      </c>
      <c r="B1870">
        <v>7</v>
      </c>
      <c r="C1870">
        <v>2013</v>
      </c>
      <c r="D1870" s="3" t="str">
        <f>B1870&amp;"/"&amp;A1870&amp;"/"&amp;C1870</f>
        <v>7/10/2013</v>
      </c>
      <c r="E1870" t="s">
        <v>42</v>
      </c>
      <c r="F1870" t="str">
        <f>I1870&amp;" "&amp;J1870&amp;" "&amp;K1870&amp;" "&amp;L1870&amp;" "&amp;M1870&amp;" "&amp;N1870</f>
        <v>Flagstaff     </v>
      </c>
      <c r="G1870" t="s">
        <f>TEXT(D1870,"mmm dd")</f>
        <v>1712</v>
      </c>
      <c r="I1870" t="inlineStr">
        <is>
          <t>Flagstaff</t>
        </is>
      </c>
    </row>
    <row r="1871" spans="1:23">
      <c r="A1871">
        <v>12</v>
      </c>
      <c r="B1871">
        <v>7</v>
      </c>
      <c r="C1871">
        <v>2013</v>
      </c>
      <c r="D1871" s="3" t="str">
        <f>B1871&amp;"/"&amp;A1871&amp;"/"&amp;C1871</f>
        <v>7/12/2013</v>
      </c>
      <c r="E1871" t="s">
        <v>42</v>
      </c>
      <c r="F1871" t="str">
        <f>I1871&amp;" "&amp;J1871&amp;" "&amp;K1871&amp;" "&amp;L1871&amp;" "&amp;M1871&amp;" "&amp;N1871</f>
        <v>Battery     </v>
      </c>
      <c r="G1871" t="s">
        <f>TEXT(D1871,"mmm dd")</f>
        <v>638</v>
      </c>
      <c r="I1871" t="s">
        <v>2223</v>
      </c>
    </row>
    <row r="1872" spans="1:23">
      <c r="A1872">
        <v>14</v>
      </c>
      <c r="B1872">
        <v>7</v>
      </c>
      <c r="C1872">
        <v>2013</v>
      </c>
      <c r="D1872" s="3" t="str">
        <f>B1872&amp;"/"&amp;A1872&amp;"/"&amp;C1872</f>
        <v>7/14/2013</v>
      </c>
      <c r="E1872" t="s">
        <v>42</v>
      </c>
      <c r="F1872" t="s">
        <f>I1872&amp;" "&amp;J1872&amp;" "&amp;K1872&amp;" "&amp;L1872&amp;" "&amp;M1872&amp;" "&amp;N1872</f>
        <v>2224</v>
      </c>
      <c r="G1872" t="s">
        <f>TEXT(D1872,"mmm dd")</f>
        <v>1340</v>
      </c>
      <c r="I1872" t="s">
        <v>2225</v>
      </c>
      <c r="J1872" t="s">
        <v>2226</v>
      </c>
    </row>
    <row r="1873" spans="1:23">
      <c r="A1873">
        <v>17</v>
      </c>
      <c r="B1873">
        <v>7</v>
      </c>
      <c r="C1873">
        <v>2013</v>
      </c>
      <c r="D1873" s="3" t="str">
        <f>B1873&amp;"/"&amp;A1873&amp;"/"&amp;C1873</f>
        <v>7/17/2013</v>
      </c>
      <c r="E1873" t="s">
        <v>42</v>
      </c>
      <c r="F1873" t="str">
        <f>I1873&amp;" "&amp;J1873&amp;" "&amp;K1873&amp;" "&amp;L1873&amp;" "&amp;M1873&amp;" "&amp;N1873</f>
        <v>Return to Seattle   </v>
      </c>
      <c r="G1873" t="s">
        <f>TEXT(D1873,"mmm dd")</f>
        <v>653</v>
      </c>
      <c r="I1873" t="s">
        <v>548</v>
      </c>
      <c r="J1873" t="s">
        <v>449</v>
      </c>
      <c r="K1873" t="s">
        <v>581</v>
      </c>
    </row>
    <row r="1874" spans="1:23">
      <c r="A1874">
        <v>18</v>
      </c>
      <c r="B1874">
        <v>7</v>
      </c>
      <c r="C1874">
        <v>2013</v>
      </c>
      <c r="D1874" s="3" t="s">
        <f>B1874&amp;"/"&amp;A1874&amp;"/"&amp;C1874</f>
        <v>2227</v>
      </c>
      <c r="E1874">
        <v>0.875</v>
      </c>
      <c r="F1874" t="s">
        <f>I1874&amp;" "&amp;J1874&amp;" "&amp;K1874&amp;" "&amp;L1874&amp;" "&amp;M1874&amp;" "&amp;N1874</f>
        <v>2228</v>
      </c>
      <c r="G1874" t="s">
        <f>TEXT(D1874,"mmm dd")</f>
        <v>658</v>
      </c>
      <c r="I1874" t="s">
        <v>1028</v>
      </c>
      <c r="J1874" t="s">
        <v>1719</v>
      </c>
    </row>
    <row r="1875" spans="1:23">
      <c r="A1875">
        <v>18</v>
      </c>
      <c r="B1875">
        <v>7</v>
      </c>
      <c r="C1875">
        <v>2013</v>
      </c>
      <c r="D1875" s="3" t="s">
        <f>B1875&amp;"/"&amp;A1875&amp;"/"&amp;C1875</f>
        <v>2227</v>
      </c>
      <c r="E1875" t="s">
        <v>42</v>
      </c>
      <c r="F1875" t="str">
        <f>I1875&amp;" "&amp;J1875&amp;" "&amp;K1875&amp;" "&amp;L1875&amp;" "&amp;M1875&amp;" "&amp;N1875</f>
        <v>Visit with Miriam   </v>
      </c>
      <c r="G1875" t="s">
        <f>TEXT(D1875,"mmm dd")</f>
        <v>658</v>
      </c>
      <c r="I1875" t="s">
        <v>1252</v>
      </c>
      <c r="J1875" t="s">
        <v>755</v>
      </c>
      <c r="K1875" t="s">
        <v>1992</v>
      </c>
    </row>
    <row r="1876" spans="1:23">
      <c r="A1876">
        <v>20</v>
      </c>
      <c r="B1876">
        <v>7</v>
      </c>
      <c r="C1876">
        <v>2013</v>
      </c>
      <c r="D1876" s="3" t="str">
        <f>B1876&amp;"/"&amp;A1876&amp;"/"&amp;C1876</f>
        <v>7/20/2013</v>
      </c>
      <c r="E1876">
        <v>0.71875</v>
      </c>
      <c r="F1876" t="str">
        <f>I1876&amp;" "&amp;J1876&amp;" "&amp;K1876&amp;" "&amp;L1876&amp;" "&amp;M1876&amp;" "&amp;N1876</f>
        <v>Leave for Miriam   </v>
      </c>
      <c r="G1876" t="s">
        <f>TEXT(D1876,"mmm dd")</f>
        <v>29</v>
      </c>
      <c r="I1876" t="s">
        <v>2229</v>
      </c>
      <c r="J1876" t="s">
        <v>439</v>
      </c>
      <c r="K1876" t="s">
        <v>1992</v>
      </c>
    </row>
    <row r="1877" spans="1:23">
      <c r="A1877">
        <v>24</v>
      </c>
      <c r="B1877">
        <v>7</v>
      </c>
      <c r="C1877">
        <v>2013</v>
      </c>
      <c r="D1877" s="3" t="str">
        <f>B1877&amp;"/"&amp;A1877&amp;"/"&amp;C1877</f>
        <v>7/24/2013</v>
      </c>
      <c r="E1877">
        <v>1.0069444444444444</v>
      </c>
      <c r="F1877" t="str">
        <f>I1877&amp;" "&amp;J1877&amp;" "&amp;K1877&amp;" "&amp;L1877&amp;" "&amp;M1877&amp;" "&amp;N1877</f>
        <v>Dale haircut    </v>
      </c>
      <c r="G1877" t="s">
        <f>TEXT(D1877,"mmm dd")</f>
        <v>684</v>
      </c>
      <c r="I1877" t="s">
        <v>1316</v>
      </c>
      <c r="J1877" t="s">
        <v>1625</v>
      </c>
    </row>
    <row r="1878" spans="1:23">
      <c r="A1878">
        <v>25</v>
      </c>
      <c r="B1878">
        <v>7</v>
      </c>
      <c r="C1878">
        <v>2013</v>
      </c>
      <c r="D1878" s="3" t="str">
        <f>B1878&amp;"/"&amp;A1878&amp;"/"&amp;C1878</f>
        <v>7/25/2013</v>
      </c>
      <c r="E1878">
        <v>0.91666666666666663</v>
      </c>
      <c r="F1878" t="s">
        <f>I1878&amp;" "&amp;J1878&amp;" "&amp;K1878&amp;" "&amp;L1878&amp;" "&amp;M1878&amp;" "&amp;N1878</f>
        <v>2204</v>
      </c>
      <c r="G1878" t="s">
        <f>TEXT(D1878,"mmm dd")</f>
        <v>25</v>
      </c>
      <c r="I1878" t="s">
        <v>2205</v>
      </c>
      <c r="J1878" t="s">
        <v>2084</v>
      </c>
    </row>
    <row r="1879" spans="1:23">
      <c r="A1879">
        <v>28</v>
      </c>
      <c r="B1879">
        <v>7</v>
      </c>
      <c r="C1879">
        <v>2013</v>
      </c>
      <c r="D1879" s="3" t="str">
        <f>B1879&amp;"/"&amp;A1879&amp;"/"&amp;C1879</f>
        <v>7/28/2013</v>
      </c>
      <c r="E1879" t="s">
        <v>42</v>
      </c>
      <c r="F1879" t="str">
        <f>I1879&amp;" "&amp;J1879&amp;" "&amp;K1879&amp;" "&amp;L1879&amp;" "&amp;M1879&amp;" "&amp;N1879</f>
        <v>Louie     </v>
      </c>
      <c r="G1879" t="s">
        <f>TEXT(D1879,"mmm dd")</f>
        <v>1745</v>
      </c>
      <c r="I1879" t="s">
        <v>2194</v>
      </c>
    </row>
    <row r="1880" spans="1:23">
      <c r="A1880">
        <v>30</v>
      </c>
      <c r="B1880">
        <v>7</v>
      </c>
      <c r="C1880">
        <v>2013</v>
      </c>
      <c r="D1880" s="3" t="str">
        <f>B1880&amp;"/"&amp;A1880&amp;"/"&amp;C1880</f>
        <v>7/30/2013</v>
      </c>
      <c r="E1880">
        <v>1.0416666666666667</v>
      </c>
      <c r="F1880" t="str">
        <f>I1880&amp;" "&amp;J1880&amp;" "&amp;K1880&amp;" "&amp;L1880&amp;" "&amp;M1880&amp;" "&amp;N1880</f>
        <v>Lunch with John O  </v>
      </c>
      <c r="G1880" t="s">
        <f>TEXT(D1880,"mmm dd")</f>
        <v>709</v>
      </c>
      <c r="I1880" t="s">
        <v>813</v>
      </c>
      <c r="J1880" t="s">
        <v>755</v>
      </c>
      <c r="K1880" t="s">
        <v>585</v>
      </c>
      <c r="L1880" t="s">
        <v>1685</v>
      </c>
    </row>
    <row r="1881" spans="1:23">
      <c r="A1881">
        <v>31</v>
      </c>
      <c r="B1881">
        <v>7</v>
      </c>
      <c r="C1881">
        <v>2013</v>
      </c>
      <c r="D1881" s="3" t="str">
        <f>B1881&amp;"/"&amp;A1881&amp;"/"&amp;C1881</f>
        <v>7/31/2013</v>
      </c>
      <c r="E1881">
        <v>0.66666666666666663</v>
      </c>
      <c r="F1881" t="s">
        <f>I1881&amp;" "&amp;J1881&amp;" "&amp;K1881&amp;" "&amp;L1881&amp;" "&amp;M1881&amp;" "&amp;N1881</f>
        <v>1734</v>
      </c>
      <c r="G1881" t="s">
        <f>TEXT(D1881,"mmm dd")</f>
        <v>714</v>
      </c>
      <c r="I1881" t="s">
        <v>188</v>
      </c>
      <c r="J1881" t="s">
        <v>189</v>
      </c>
      <c r="O1881" t="s">
        <v>1647</v>
      </c>
    </row>
    <row r="1882" spans="1:23">
      <c r="A1882">
        <v>2</v>
      </c>
      <c r="B1882">
        <v>8</v>
      </c>
      <c r="C1882">
        <v>2013</v>
      </c>
      <c r="D1882" s="3" t="str">
        <f>B1882&amp;"/"&amp;A1882&amp;"/"&amp;C1882</f>
        <v>8/2/2013</v>
      </c>
      <c r="E1882">
        <v>1.0208333333333333</v>
      </c>
      <c r="F1882" t="s">
        <f>I1882&amp;" "&amp;J1882&amp;" "&amp;K1882&amp;" "&amp;L1882&amp;" "&amp;M1882&amp;" "&amp;N1882</f>
        <v>2230</v>
      </c>
      <c r="G1882" t="s">
        <f>TEXT(D1882,"mmm dd")</f>
        <v>724</v>
      </c>
      <c r="I1882" t="s">
        <v>813</v>
      </c>
      <c r="J1882" t="s">
        <v>755</v>
      </c>
      <c r="K1882" t="s">
        <v>772</v>
      </c>
    </row>
    <row r="1883" spans="1:23">
      <c r="A1883">
        <v>8</v>
      </c>
      <c r="B1883">
        <v>8</v>
      </c>
      <c r="C1883">
        <v>2013</v>
      </c>
      <c r="D1883" s="3" t="str">
        <f>B1883&amp;"/"&amp;A1883&amp;"/"&amp;C1883</f>
        <v>8/8/2013</v>
      </c>
      <c r="E1883" t="s">
        <v>42</v>
      </c>
      <c r="F1883" t="str">
        <f>I1883&amp;" "&amp;J1883&amp;" "&amp;K1883&amp;" "&amp;L1883&amp;" "&amp;M1883&amp;" "&amp;N1883</f>
        <v>Kona     </v>
      </c>
      <c r="G1883" t="s">
        <f>TEXT(D1883,"mmm dd")</f>
        <v>1366</v>
      </c>
      <c r="I1883" t="s">
        <v>2231</v>
      </c>
    </row>
    <row r="1884" spans="1:23">
      <c r="A1884">
        <v>15</v>
      </c>
      <c r="B1884">
        <v>8</v>
      </c>
      <c r="C1884">
        <v>2013</v>
      </c>
      <c r="D1884" s="3" t="str">
        <f>B1884&amp;"/"&amp;A1884&amp;"/"&amp;C1884</f>
        <v>8/15/2013</v>
      </c>
      <c r="E1884">
        <v>0.25</v>
      </c>
      <c r="F1884" t="str">
        <f>I1884&amp;" "&amp;J1884&amp;" "&amp;K1884&amp;" "&amp;L1884&amp;" "&amp;M1884&amp;" "&amp;N1884</f>
        <v>Rob's funeral    </v>
      </c>
      <c r="G1884" t="s">
        <f>TEXT(D1884,"mmm dd")</f>
        <v>776</v>
      </c>
      <c r="I1884" t="inlineStr">
        <is>
          <t>Rob's</t>
        </is>
      </c>
      <c r="J1884" t="s">
        <v>1116</v>
      </c>
    </row>
    <row r="1885" spans="1:23">
      <c r="A1885">
        <v>16</v>
      </c>
      <c r="B1885">
        <v>8</v>
      </c>
      <c r="C1885">
        <v>2013</v>
      </c>
      <c r="D1885" s="3" t="str">
        <f>B1885&amp;"/"&amp;A1885&amp;"/"&amp;C1885</f>
        <v>8/16/2013</v>
      </c>
      <c r="E1885">
        <v>1.0208333333333333</v>
      </c>
      <c r="F1885" t="s">
        <f>I1885&amp;" "&amp;J1885&amp;" "&amp;K1885&amp;" "&amp;L1885&amp;" "&amp;M1885&amp;" "&amp;N1885</f>
        <v>2230</v>
      </c>
      <c r="G1885" t="s">
        <f>TEXT(D1885,"mmm dd")</f>
        <v>784</v>
      </c>
      <c r="I1885" t="s">
        <v>813</v>
      </c>
      <c r="J1885" t="s">
        <v>755</v>
      </c>
      <c r="K1885" t="s">
        <v>772</v>
      </c>
    </row>
    <row r="1886" spans="1:23">
      <c r="A1886">
        <v>19</v>
      </c>
      <c r="B1886">
        <v>8</v>
      </c>
      <c r="C1886">
        <v>2013</v>
      </c>
      <c r="D1886" s="3" t="str">
        <f>B1886&amp;"/"&amp;A1886&amp;"/"&amp;C1886</f>
        <v>8/19/2013</v>
      </c>
      <c r="E1886">
        <v>1.03125</v>
      </c>
      <c r="F1886" t="s">
        <f>I1886&amp;" "&amp;J1886&amp;" "&amp;K1886&amp;" "&amp;L1886&amp;" "&amp;M1886&amp;" "&amp;N1886</f>
        <v>2232</v>
      </c>
      <c r="G1886" t="s">
        <f>TEXT(D1886,"mmm dd")</f>
        <v>805</v>
      </c>
      <c r="I1886" t="s">
        <v>1791</v>
      </c>
      <c r="J1886" t="s">
        <v>2233</v>
      </c>
    </row>
    <row r="1887" spans="1:23">
      <c r="A1887">
        <v>20</v>
      </c>
      <c r="B1887">
        <v>8</v>
      </c>
      <c r="C1887">
        <v>2013</v>
      </c>
      <c r="D1887" s="3" t="str">
        <f>B1887&amp;"/"&amp;A1887&amp;"/"&amp;C1887</f>
        <v>8/20/2013</v>
      </c>
      <c r="E1887">
        <v>1.0833333333333333</v>
      </c>
      <c r="F1887" t="s">
        <f>I1887&amp;" "&amp;J1887&amp;" "&amp;K1887&amp;" "&amp;L1887&amp;" "&amp;M1887&amp;" "&amp;N1887</f>
        <v>2033</v>
      </c>
      <c r="G1887" t="s">
        <f>TEXT(D1887,"mmm dd")</f>
        <v>812</v>
      </c>
      <c r="I1887" t="s">
        <v>1892</v>
      </c>
    </row>
    <row r="1888" spans="1:23">
      <c r="A1888">
        <v>26</v>
      </c>
      <c r="B1888">
        <v>8</v>
      </c>
      <c r="C1888">
        <v>2013</v>
      </c>
      <c r="D1888" s="3" t="str">
        <f>B1888&amp;"/"&amp;A1888&amp;"/"&amp;C1888</f>
        <v>8/26/2013</v>
      </c>
      <c r="E1888" t="s">
        <v>42</v>
      </c>
      <c r="F1888" t="str">
        <f>I1888&amp;" "&amp;J1888&amp;" "&amp;K1888&amp;" "&amp;L1888&amp;" "&amp;M1888&amp;" "&amp;N1888</f>
        <v>First day classes CUH  </v>
      </c>
      <c r="G1888" t="s">
        <f>TEXT(D1888,"mmm dd")</f>
        <v>837</v>
      </c>
      <c r="I1888" t="s">
        <v>370</v>
      </c>
      <c r="J1888" t="s">
        <v>502</v>
      </c>
      <c r="K1888" t="s">
        <v>2234</v>
      </c>
      <c r="L1888" t="inlineStr">
        <is>
          <t>CUH</t>
        </is>
      </c>
    </row>
    <row r="1889" spans="1:23">
      <c r="A1889">
        <v>27</v>
      </c>
      <c r="B1889">
        <v>8</v>
      </c>
      <c r="C1889">
        <v>2013</v>
      </c>
      <c r="D1889" s="3" t="str">
        <f>B1889&amp;"/"&amp;A1889&amp;"/"&amp;C1889</f>
        <v>8/27/2013</v>
      </c>
      <c r="E1889">
        <v>1</v>
      </c>
      <c r="F1889" t="s">
        <f>I1889&amp;" "&amp;J1889&amp;" "&amp;K1889&amp;" "&amp;L1889&amp;" "&amp;M1889&amp;" "&amp;N1889</f>
        <v>1698</v>
      </c>
      <c r="G1889" t="s">
        <f>TEXT(D1889,"mmm dd")</f>
        <v>1374</v>
      </c>
      <c r="I1889" t="s">
        <v>847</v>
      </c>
      <c r="J1889" t="s">
        <v>1657</v>
      </c>
    </row>
    <row r="1890" spans="1:23">
      <c r="A1890">
        <v>28</v>
      </c>
      <c r="B1890">
        <v>8</v>
      </c>
      <c r="C1890">
        <v>2013</v>
      </c>
      <c r="D1890" s="3" t="str">
        <f>B1890&amp;"/"&amp;A1890&amp;"/"&amp;C1890</f>
        <v>8/28/2013</v>
      </c>
      <c r="E1890">
        <v>1</v>
      </c>
      <c r="F1890" t="s">
        <f>I1890&amp;" "&amp;J1890&amp;" "&amp;K1890&amp;" "&amp;L1890&amp;" "&amp;M1890&amp;" "&amp;N1890</f>
        <v>2202</v>
      </c>
      <c r="G1890" t="s">
        <f>TEXT(D1890,"mmm dd")</f>
        <v>1375</v>
      </c>
      <c r="I1890" t="s">
        <v>1902</v>
      </c>
    </row>
    <row r="1891" spans="1:23">
      <c r="A1891">
        <v>5</v>
      </c>
      <c r="B1891">
        <v>9</v>
      </c>
      <c r="C1891">
        <v>2013</v>
      </c>
      <c r="D1891" s="3" t="str">
        <f>B1891&amp;"/"&amp;A1891&amp;"/"&amp;C1891</f>
        <v>9/5/2013</v>
      </c>
      <c r="E1891">
        <v>1.0625</v>
      </c>
      <c r="F1891" t="str">
        <f>I1891&amp;" "&amp;J1891&amp;" "&amp;K1891&amp;" "&amp;L1891&amp;" "&amp;M1891&amp;" "&amp;N1891</f>
        <v>Bernie open meeting   </v>
      </c>
      <c r="G1891" t="s">
        <f>TEXT(D1891,"mmm dd")</f>
        <v>1378</v>
      </c>
      <c r="I1891" t="inlineStr">
        <is>
          <t>Bernie</t>
        </is>
      </c>
      <c r="J1891" t="s">
        <v>2235</v>
      </c>
      <c r="K1891" t="s">
        <v>842</v>
      </c>
    </row>
    <row r="1892" spans="1:23">
      <c r="A1892">
        <v>7</v>
      </c>
      <c r="B1892">
        <v>9</v>
      </c>
      <c r="C1892">
        <v>2013</v>
      </c>
      <c r="D1892" s="3" t="str">
        <f>B1892&amp;"/"&amp;A1892&amp;"/"&amp;C1892</f>
        <v>9/7/2013</v>
      </c>
      <c r="E1892">
        <v>0.875</v>
      </c>
      <c r="F1892" t="str">
        <f>I1892&amp;" "&amp;J1892&amp;" "&amp;K1892&amp;" "&amp;L1892&amp;" "&amp;M1892&amp;" "&amp;N1892</f>
        <v>Dale to DLS   </v>
      </c>
      <c r="G1892" t="s">
        <f>TEXT(D1892,"mmm dd")</f>
        <v>1381</v>
      </c>
      <c r="I1892" t="s">
        <v>1316</v>
      </c>
      <c r="J1892" t="s">
        <v>449</v>
      </c>
      <c r="K1892" t="inlineStr">
        <is>
          <t>DLS</t>
        </is>
      </c>
    </row>
    <row r="1893" spans="1:23">
      <c r="A1893">
        <v>11</v>
      </c>
      <c r="B1893">
        <v>9</v>
      </c>
      <c r="C1893">
        <v>2013</v>
      </c>
      <c r="D1893" s="3" t="str">
        <f>B1893&amp;"/"&amp;A1893&amp;"/"&amp;C1893</f>
        <v>9/11/2013</v>
      </c>
      <c r="E1893">
        <v>0.95833333333333337</v>
      </c>
      <c r="F1893" t="s">
        <f>I1893&amp;" "&amp;J1893&amp;" "&amp;K1893&amp;" "&amp;L1893&amp;" "&amp;M1893&amp;" "&amp;N1893</f>
        <v>2236</v>
      </c>
      <c r="G1893" t="s">
        <f>TEXT(D1893,"mmm dd")</f>
        <v>1383</v>
      </c>
      <c r="I1893" t="s">
        <v>2237</v>
      </c>
      <c r="J1893" t="s">
        <v>768</v>
      </c>
    </row>
    <row r="1894" spans="1:23">
      <c r="A1894">
        <v>12</v>
      </c>
      <c r="B1894">
        <v>9</v>
      </c>
      <c r="C1894">
        <v>2013</v>
      </c>
      <c r="D1894" s="3" t="str">
        <f>B1894&amp;"/"&amp;A1894&amp;"/"&amp;C1894</f>
        <v>9/12/2013</v>
      </c>
      <c r="E1894">
        <v>0.97916666666666663</v>
      </c>
      <c r="F1894" t="str">
        <f>I1894&amp;" "&amp;J1894&amp;" "&amp;K1894&amp;" "&amp;L1894&amp;" "&amp;M1894&amp;" "&amp;N1894</f>
        <v>Joyce at counseling center  </v>
      </c>
      <c r="G1894" t="s">
        <f>TEXT(D1894,"mmm dd")</f>
        <v>1386</v>
      </c>
      <c r="I1894" t="s">
        <v>1892</v>
      </c>
      <c r="J1894" t="s">
        <v>53</v>
      </c>
      <c r="K1894" t="s">
        <v>2238</v>
      </c>
      <c r="L1894" t="s">
        <v>2239</v>
      </c>
    </row>
    <row r="1895" spans="1:23">
      <c r="A1895">
        <v>13</v>
      </c>
      <c r="B1895">
        <v>9</v>
      </c>
      <c r="C1895">
        <v>2013</v>
      </c>
      <c r="D1895" s="3" t="str">
        <f>B1895&amp;"/"&amp;A1895&amp;"/"&amp;C1895</f>
        <v>9/13/2013</v>
      </c>
      <c r="E1895">
        <v>1.0625</v>
      </c>
      <c r="F1895" t="s">
        <f>I1895&amp;" "&amp;J1895&amp;" "&amp;K1895&amp;" "&amp;L1895&amp;" "&amp;M1895&amp;" "&amp;N1895</f>
        <v>2122</v>
      </c>
      <c r="G1895" t="s">
        <f>TEXT(D1895,"mmm dd")</f>
        <v>866</v>
      </c>
      <c r="I1895" t="s">
        <v>496</v>
      </c>
      <c r="J1895" t="s">
        <v>2123</v>
      </c>
    </row>
    <row r="1896" spans="1:23">
      <c r="A1896">
        <v>15</v>
      </c>
      <c r="B1896">
        <v>9</v>
      </c>
      <c r="C1896">
        <v>2013</v>
      </c>
      <c r="D1896" s="3" t="str">
        <f>B1896&amp;"/"&amp;A1896&amp;"/"&amp;C1896</f>
        <v>9/15/2013</v>
      </c>
      <c r="E1896">
        <v>0.95833333333333337</v>
      </c>
      <c r="F1896" t="str">
        <f>I1896&amp;" "&amp;J1896&amp;" "&amp;K1896&amp;" "&amp;L1896&amp;" "&amp;M1896&amp;" "&amp;N1896</f>
        <v>Bring piano to mass  </v>
      </c>
      <c r="G1896" t="s">
        <f>TEXT(D1896,"mmm dd")</f>
        <v>1391</v>
      </c>
      <c r="I1896" t="inlineStr">
        <is>
          <t>Bring</t>
        </is>
      </c>
      <c r="J1896" t="s">
        <v>1983</v>
      </c>
      <c r="K1896" t="s">
        <v>449</v>
      </c>
      <c r="L1896" t="s">
        <v>1774</v>
      </c>
    </row>
    <row r="1897" spans="1:23">
      <c r="A1897">
        <v>16</v>
      </c>
      <c r="B1897">
        <v>9</v>
      </c>
      <c r="C1897">
        <v>2013</v>
      </c>
      <c r="D1897" s="3" t="str">
        <f>B1897&amp;"/"&amp;A1897&amp;"/"&amp;C1897</f>
        <v>9/16/2013</v>
      </c>
      <c r="E1897">
        <v>1.0625</v>
      </c>
      <c r="F1897" t="s">
        <f>I1897&amp;" "&amp;J1897&amp;" "&amp;K1897&amp;" "&amp;L1897&amp;" "&amp;M1897&amp;" "&amp;N1897</f>
        <v>2204</v>
      </c>
      <c r="G1897" t="s">
        <f>TEXT(D1897,"mmm dd")</f>
        <v>870</v>
      </c>
      <c r="I1897" t="s">
        <v>2205</v>
      </c>
      <c r="J1897" t="s">
        <v>2084</v>
      </c>
    </row>
    <row r="1898" spans="1:23">
      <c r="A1898">
        <v>20</v>
      </c>
      <c r="B1898">
        <v>9</v>
      </c>
      <c r="C1898">
        <v>2013</v>
      </c>
      <c r="D1898" s="3" t="str">
        <f>B1898&amp;"/"&amp;A1898&amp;"/"&amp;C1898</f>
        <v>9/20/2013</v>
      </c>
      <c r="E1898">
        <v>0.88541666666666663</v>
      </c>
      <c r="F1898" t="s">
        <f>I1898&amp;" "&amp;J1898&amp;" "&amp;K1898&amp;" "&amp;L1898&amp;" "&amp;M1898&amp;" "&amp;N1898</f>
        <v>1225</v>
      </c>
      <c r="G1898" t="s">
        <f>TEXT(D1898,"mmm dd")</f>
        <v>884</v>
      </c>
      <c r="I1898" t="s">
        <v>847</v>
      </c>
      <c r="J1898" t="s">
        <v>770</v>
      </c>
    </row>
    <row r="1899" spans="1:23">
      <c r="A1899">
        <v>26</v>
      </c>
      <c r="B1899">
        <v>9</v>
      </c>
      <c r="C1899">
        <v>2013</v>
      </c>
      <c r="D1899" s="3" t="s">
        <f>B1899&amp;"/"&amp;A1899&amp;"/"&amp;C1899</f>
        <v>2240</v>
      </c>
      <c r="E1899">
        <v>1.0833333333333333</v>
      </c>
      <c r="F1899" t="s">
        <f>I1899&amp;" "&amp;J1899&amp;" "&amp;K1899&amp;" "&amp;L1899&amp;" "&amp;M1899&amp;" "&amp;N1899</f>
        <v>2033</v>
      </c>
      <c r="G1899" t="s">
        <f>TEXT(D1899,"mmm dd")</f>
        <v>895</v>
      </c>
      <c r="I1899" t="s">
        <v>1892</v>
      </c>
    </row>
    <row r="1900" spans="1:23">
      <c r="A1900">
        <v>26</v>
      </c>
      <c r="B1900">
        <v>9</v>
      </c>
      <c r="C1900">
        <v>2013</v>
      </c>
      <c r="D1900" s="3" t="s">
        <f>B1900&amp;"/"&amp;A1900&amp;"/"&amp;C1900</f>
        <v>2240</v>
      </c>
      <c r="E1900">
        <v>1.0416666666666667</v>
      </c>
      <c r="F1900" t="str">
        <f>I1900&amp;" "&amp;J1900&amp;" "&amp;K1900&amp;" "&amp;L1900&amp;" "&amp;M1900&amp;" "&amp;N1900</f>
        <v>Cam Irons    </v>
      </c>
      <c r="G1900" t="s">
        <f>TEXT(D1900,"mmm dd")</f>
        <v>895</v>
      </c>
      <c r="I1900" t="inlineStr">
        <is>
          <t>Cam</t>
        </is>
      </c>
      <c r="J1900" t="inlineStr">
        <is>
          <t>Irons</t>
        </is>
      </c>
    </row>
    <row r="1901" spans="1:23">
      <c r="A1901">
        <v>27</v>
      </c>
      <c r="B1901">
        <v>9</v>
      </c>
      <c r="C1901">
        <v>2013</v>
      </c>
      <c r="D1901" s="3" t="str">
        <f>B1901&amp;"/"&amp;A1901&amp;"/"&amp;C1901</f>
        <v>9/27/2013</v>
      </c>
      <c r="E1901">
        <v>0.20833333333333334</v>
      </c>
      <c r="F1901" t="str">
        <f>I1901&amp;" "&amp;J1901&amp;" "&amp;K1901&amp;" "&amp;L1901&amp;" "&amp;M1901&amp;" "&amp;N1901</f>
        <v>Claudia     </v>
      </c>
      <c r="G1901" t="s">
        <f>TEXT(D1901,"mmm dd")</f>
        <v>901</v>
      </c>
      <c r="I1901" t="inlineStr">
        <is>
          <t>Claudia</t>
        </is>
      </c>
    </row>
    <row r="1902" spans="1:23">
      <c r="A1902">
        <v>30</v>
      </c>
      <c r="B1902">
        <v>9</v>
      </c>
      <c r="C1902">
        <v>2013</v>
      </c>
      <c r="D1902" s="3" t="str">
        <f>B1902&amp;"/"&amp;A1902&amp;"/"&amp;C1902</f>
        <v>9/30/2013</v>
      </c>
      <c r="E1902">
        <v>0.3125</v>
      </c>
      <c r="F1902" t="str">
        <f>I1902&amp;" "&amp;J1902&amp;" "&amp;K1902&amp;" "&amp;L1902&amp;" "&amp;M1902&amp;" "&amp;N1902</f>
        <v>Dinner with Joel and Gail </v>
      </c>
      <c r="G1902" t="s">
        <f>TEXT(D1902,"mmm dd")</f>
        <v>916</v>
      </c>
      <c r="I1902" t="s">
        <v>838</v>
      </c>
      <c r="J1902" t="s">
        <v>755</v>
      </c>
      <c r="K1902" t="s">
        <v>2241</v>
      </c>
      <c r="L1902" t="s">
        <v>135</v>
      </c>
      <c r="M1902" t="s">
        <v>1350</v>
      </c>
    </row>
    <row r="1903" spans="1:23">
      <c r="A1903">
        <v>1</v>
      </c>
      <c r="B1903">
        <v>10</v>
      </c>
      <c r="C1903">
        <v>2013</v>
      </c>
      <c r="D1903" s="3" t="s">
        <f>B1903&amp;"/"&amp;A1903&amp;"/"&amp;C1903</f>
        <v>2242</v>
      </c>
      <c r="E1903">
        <v>1.0208333333333333</v>
      </c>
      <c r="F1903" t="str">
        <f>I1903&amp;" "&amp;J1903&amp;" "&amp;K1903&amp;" "&amp;L1903&amp;" "&amp;M1903&amp;" "&amp;N1903</f>
        <v>Meet Taira    </v>
      </c>
      <c r="G1903" t="s">
        <f>TEXT(D1903,"mmm dd")</f>
        <v>2099</v>
      </c>
      <c r="I1903" t="s">
        <v>300</v>
      </c>
      <c r="J1903" t="inlineStr">
        <is>
          <t>Taira</t>
        </is>
      </c>
    </row>
    <row r="1904" spans="1:23">
      <c r="A1904">
        <v>1</v>
      </c>
      <c r="B1904">
        <v>10</v>
      </c>
      <c r="C1904">
        <v>2013</v>
      </c>
      <c r="D1904" s="3" t="s">
        <f>B1904&amp;"/"&amp;A1904&amp;"/"&amp;C1904</f>
        <v>2242</v>
      </c>
      <c r="E1904">
        <v>1.0833333333333333</v>
      </c>
      <c r="F1904" t="s">
        <f>I1904&amp;" "&amp;J1904&amp;" "&amp;K1904&amp;" "&amp;L1904&amp;" "&amp;M1904&amp;" "&amp;N1904</f>
        <v>2243</v>
      </c>
      <c r="G1904" t="s">
        <f>TEXT(D1904,"mmm dd")</f>
        <v>2099</v>
      </c>
      <c r="I1904" t="s">
        <v>2244</v>
      </c>
    </row>
    <row r="1905" spans="1:23">
      <c r="A1905">
        <v>2</v>
      </c>
      <c r="B1905">
        <v>10</v>
      </c>
      <c r="C1905">
        <v>2013</v>
      </c>
      <c r="D1905" s="3" t="s">
        <f>B1905&amp;"/"&amp;A1905&amp;"/"&amp;C1905</f>
        <v>2245</v>
      </c>
      <c r="E1905">
        <v>1.0625</v>
      </c>
      <c r="F1905" t="str">
        <f>I1905&amp;" "&amp;J1905&amp;" "&amp;K1905&amp;" "&amp;L1905&amp;" "&amp;M1905&amp;" "&amp;N1905</f>
        <v>Flexible Spending Plan Presentation  </v>
      </c>
      <c r="G1905" t="s">
        <f>TEXT(D1905,"mmm dd")</f>
        <v>2103</v>
      </c>
      <c r="I1905" t="inlineStr">
        <is>
          <t>Flexible</t>
        </is>
      </c>
      <c r="J1905" t="s">
        <v>2110</v>
      </c>
      <c r="K1905" t="s">
        <v>2210</v>
      </c>
      <c r="L1905" t="s">
        <v>2246</v>
      </c>
    </row>
    <row r="1906" spans="1:23">
      <c r="A1906">
        <v>2</v>
      </c>
      <c r="B1906">
        <v>10</v>
      </c>
      <c r="C1906">
        <v>2013</v>
      </c>
      <c r="D1906" s="3" t="s">
        <f>B1906&amp;"/"&amp;A1906&amp;"/"&amp;C1906</f>
        <v>2245</v>
      </c>
      <c r="E1906">
        <v>0.35416666666666669</v>
      </c>
      <c r="F1906" t="str">
        <f>I1906&amp;" "&amp;J1906&amp;" "&amp;K1906&amp;" "&amp;L1906&amp;" "&amp;M1906&amp;" "&amp;N1906</f>
        <v>Call email Pearl   </v>
      </c>
      <c r="G1906" t="s">
        <f>TEXT(D1906,"mmm dd")</f>
        <v>2103</v>
      </c>
      <c r="I1906" t="s">
        <v>1028</v>
      </c>
      <c r="J1906" t="s">
        <v>2247</v>
      </c>
      <c r="K1906" t="s">
        <v>1729</v>
      </c>
    </row>
    <row r="1907" spans="1:23">
      <c r="A1907">
        <v>2</v>
      </c>
      <c r="B1907">
        <v>10</v>
      </c>
      <c r="C1907">
        <v>2013</v>
      </c>
      <c r="D1907" s="3" t="s">
        <f>B1907&amp;"/"&amp;A1907&amp;"/"&amp;C1907</f>
        <v>2245</v>
      </c>
      <c r="E1907">
        <v>0.1875</v>
      </c>
      <c r="F1907" t="s">
        <f>I1907&amp;" "&amp;J1907&amp;" "&amp;K1907&amp;" "&amp;L1907&amp;" "&amp;M1907&amp;" "&amp;N1907</f>
        <v>2191</v>
      </c>
      <c r="G1907" t="s">
        <f>TEXT(D1907,"mmm dd")</f>
        <v>2103</v>
      </c>
      <c r="I1907" t="s">
        <v>2192</v>
      </c>
    </row>
    <row r="1908" spans="1:23">
      <c r="A1908">
        <v>2</v>
      </c>
      <c r="B1908">
        <v>10</v>
      </c>
      <c r="C1908">
        <v>2013</v>
      </c>
      <c r="D1908" s="3" t="s">
        <f>B1908&amp;"/"&amp;A1908&amp;"/"&amp;C1908</f>
        <v>2245</v>
      </c>
      <c r="E1908">
        <v>0.9375</v>
      </c>
      <c r="F1908" t="str">
        <f>I1908&amp;" "&amp;J1908&amp;" "&amp;K1908&amp;" "&amp;L1908&amp;" "&amp;M1908&amp;" "&amp;N1908</f>
        <v>Prepare prayer for meeting  </v>
      </c>
      <c r="G1908" t="s">
        <f>TEXT(D1908,"mmm dd")</f>
        <v>2103</v>
      </c>
      <c r="I1908" t="s">
        <v>2248</v>
      </c>
      <c r="J1908" t="s">
        <v>1480</v>
      </c>
      <c r="K1908" t="s">
        <v>439</v>
      </c>
      <c r="L1908" t="s">
        <v>842</v>
      </c>
    </row>
    <row r="1909" spans="1:23">
      <c r="A1909">
        <v>3</v>
      </c>
      <c r="B1909">
        <v>10</v>
      </c>
      <c r="C1909">
        <v>2013</v>
      </c>
      <c r="D1909" s="3" t="str">
        <f>B1909&amp;"/"&amp;A1909&amp;"/"&amp;C1909</f>
        <v>10/3/2013</v>
      </c>
      <c r="E1909">
        <v>1.03125</v>
      </c>
      <c r="F1909" t="str">
        <f>I1909&amp;" "&amp;J1909&amp;" "&amp;K1909&amp;" "&amp;L1909&amp;" "&amp;M1909&amp;" "&amp;N1909</f>
        <v>Lunch with Bishop   </v>
      </c>
      <c r="G1909" t="s">
        <f>TEXT(D1909,"mmm dd")</f>
        <v>920</v>
      </c>
      <c r="I1909" t="s">
        <v>813</v>
      </c>
      <c r="J1909" t="s">
        <v>755</v>
      </c>
      <c r="K1909" t="s">
        <v>85</v>
      </c>
    </row>
    <row r="1910" spans="1:23">
      <c r="A1910">
        <v>6</v>
      </c>
      <c r="B1910">
        <v>10</v>
      </c>
      <c r="C1910">
        <v>2013</v>
      </c>
      <c r="D1910" s="3" t="str">
        <f>B1910&amp;"/"&amp;A1910&amp;"/"&amp;C1910</f>
        <v>10/6/2013</v>
      </c>
      <c r="E1910">
        <v>0.20833333333333334</v>
      </c>
      <c r="F1910" t="str">
        <f>I1910&amp;" "&amp;J1910&amp;" "&amp;K1910&amp;" "&amp;L1910&amp;" "&amp;M1910&amp;" "&amp;N1910</f>
        <v>New ministry at holy nativity </v>
      </c>
      <c r="G1910" t="s">
        <f>TEXT(D1910,"mmm dd")</f>
        <v>1615</v>
      </c>
      <c r="I1910" t="s">
        <v>164</v>
      </c>
      <c r="J1910" t="s">
        <v>1016</v>
      </c>
      <c r="K1910" t="s">
        <v>53</v>
      </c>
      <c r="L1910" t="inlineStr">
        <is>
          <t>holy</t>
        </is>
      </c>
      <c r="M1910" t="inlineStr">
        <is>
          <t>nativity</t>
        </is>
      </c>
    </row>
    <row r="1911" spans="1:23">
      <c r="A1911">
        <v>7</v>
      </c>
      <c r="B1911">
        <v>10</v>
      </c>
      <c r="C1911">
        <v>2013</v>
      </c>
      <c r="D1911" s="3" t="str">
        <f>B1911&amp;"/"&amp;A1911&amp;"/"&amp;C1911</f>
        <v>10/7/2013</v>
      </c>
      <c r="E1911" t="s">
        <v>42</v>
      </c>
      <c r="F1911" t="str">
        <f>I1911&amp;" "&amp;J1911&amp;" "&amp;K1911&amp;" "&amp;L1911&amp;" "&amp;M1911&amp;" "&amp;N1911</f>
        <v>Begin Graduate Semester   </v>
      </c>
      <c r="G1911" t="s">
        <f>TEXT(D1911,"mmm dd")</f>
        <v>1399</v>
      </c>
      <c r="I1911" t="inlineStr">
        <is>
          <t>Begin</t>
        </is>
      </c>
      <c r="J1911" t="s">
        <v>1882</v>
      </c>
      <c r="K1911" t="s">
        <v>1883</v>
      </c>
    </row>
    <row r="1912" spans="1:23">
      <c r="A1912">
        <v>8</v>
      </c>
      <c r="B1912">
        <v>10</v>
      </c>
      <c r="C1912">
        <v>2013</v>
      </c>
      <c r="D1912" s="3" t="str">
        <f>B1912&amp;"/"&amp;A1912&amp;"/"&amp;C1912</f>
        <v>10/8/2013</v>
      </c>
      <c r="E1912">
        <v>1.0208333333333333</v>
      </c>
      <c r="F1912" t="s">
        <f>I1912&amp;" "&amp;J1912&amp;" "&amp;K1912&amp;" "&amp;L1912&amp;" "&amp;M1912&amp;" "&amp;N1912</f>
        <v>2249</v>
      </c>
      <c r="G1912" t="s">
        <f>TEXT(D1912,"mmm dd")</f>
        <v>1617</v>
      </c>
      <c r="I1912" t="s">
        <v>2250</v>
      </c>
      <c r="J1912" t="s">
        <v>46</v>
      </c>
    </row>
    <row r="1913" spans="1:23">
      <c r="A1913">
        <v>10</v>
      </c>
      <c r="B1913">
        <v>10</v>
      </c>
      <c r="C1913">
        <v>2013</v>
      </c>
      <c r="D1913" s="3" t="s">
        <f>B1913&amp;"/"&amp;A1913&amp;"/"&amp;C1913</f>
        <v>2251</v>
      </c>
      <c r="E1913">
        <v>1.0520833333333333</v>
      </c>
      <c r="F1913" t="s">
        <f>I1913&amp;" "&amp;J1913&amp;" "&amp;K1913&amp;" "&amp;L1913&amp;" "&amp;M1913&amp;" "&amp;N1913</f>
        <v>2232</v>
      </c>
      <c r="G1913" t="s">
        <f>TEXT(D1913,"mmm dd")</f>
        <v>1401</v>
      </c>
      <c r="I1913" t="s">
        <v>1791</v>
      </c>
      <c r="J1913" t="s">
        <v>2233</v>
      </c>
    </row>
    <row r="1914" spans="1:23">
      <c r="A1914">
        <v>10</v>
      </c>
      <c r="B1914">
        <v>10</v>
      </c>
      <c r="C1914">
        <v>2013</v>
      </c>
      <c r="D1914" s="3" t="s">
        <f>B1914&amp;"/"&amp;A1914&amp;"/"&amp;C1914</f>
        <v>2251</v>
      </c>
      <c r="E1914">
        <v>0.97916666666666663</v>
      </c>
      <c r="F1914" t="s">
        <f>I1914&amp;" "&amp;J1914&amp;" "&amp;K1914&amp;" "&amp;L1914&amp;" "&amp;M1914&amp;" "&amp;N1914</f>
        <v>2033</v>
      </c>
      <c r="G1914" t="s">
        <f>TEXT(D1914,"mmm dd")</f>
        <v>1401</v>
      </c>
      <c r="I1914" t="s">
        <v>1892</v>
      </c>
    </row>
    <row r="1915" spans="1:23">
      <c r="A1915">
        <v>12</v>
      </c>
      <c r="B1915">
        <v>10</v>
      </c>
      <c r="C1915">
        <v>2013</v>
      </c>
      <c r="D1915" s="3" t="str">
        <f>B1915&amp;"/"&amp;A1915&amp;"/"&amp;C1915</f>
        <v>10/12/2013</v>
      </c>
      <c r="E1915">
        <v>0.20833333333333334</v>
      </c>
      <c r="F1915" t="s">
        <f>I1915&amp;" "&amp;J1915&amp;" "&amp;K1915&amp;" "&amp;L1915&amp;" "&amp;M1915&amp;" "&amp;N1915</f>
        <v>2252</v>
      </c>
      <c r="G1915" t="s">
        <f>TEXT(D1915,"mmm dd")</f>
        <v>1619</v>
      </c>
      <c r="I1915" t="s">
        <v>1028</v>
      </c>
      <c r="J1915" t="s">
        <v>284</v>
      </c>
    </row>
    <row r="1916" spans="1:23">
      <c r="A1916">
        <v>13</v>
      </c>
      <c r="B1916">
        <v>10</v>
      </c>
      <c r="C1916">
        <v>2013</v>
      </c>
      <c r="D1916" s="3" t="str">
        <f>B1916&amp;"/"&amp;A1916&amp;"/"&amp;C1916</f>
        <v>10/13/2013</v>
      </c>
      <c r="E1916">
        <v>0.125</v>
      </c>
      <c r="F1916" t="str">
        <f>I1916&amp;" "&amp;J1916&amp;" "&amp;K1916&amp;" "&amp;L1916&amp;" "&amp;M1916&amp;" "&amp;N1916</f>
        <v>World day of prayer  </v>
      </c>
      <c r="G1916" t="s">
        <f>TEXT(D1916,"mmm dd")</f>
        <v>1775</v>
      </c>
      <c r="I1916" t="s">
        <v>2253</v>
      </c>
      <c r="J1916" t="s">
        <v>502</v>
      </c>
      <c r="K1916" t="s">
        <v>86</v>
      </c>
      <c r="L1916" t="s">
        <v>1480</v>
      </c>
    </row>
    <row r="1917" spans="1:23">
      <c r="A1917">
        <v>16</v>
      </c>
      <c r="B1917">
        <v>10</v>
      </c>
      <c r="C1917">
        <v>2013</v>
      </c>
      <c r="D1917" s="3" t="s">
        <f>B1917&amp;"/"&amp;A1917&amp;"/"&amp;C1917</f>
        <v>2254</v>
      </c>
      <c r="E1917">
        <v>0.89583333333333337</v>
      </c>
      <c r="F1917" t="str">
        <f>I1917&amp;" "&amp;J1917&amp;" "&amp;K1917&amp;" "&amp;L1917&amp;" "&amp;M1917&amp;" "&amp;N1917</f>
        <v>Line dancing    </v>
      </c>
      <c r="G1917" t="s">
        <f>TEXT(D1917,"mmm dd")</f>
        <v>1404</v>
      </c>
      <c r="I1917" t="inlineStr">
        <is>
          <t>Line</t>
        </is>
      </c>
      <c r="J1917" t="inlineStr">
        <is>
          <t>dancing</t>
        </is>
      </c>
    </row>
    <row r="1918" spans="1:23">
      <c r="A1918">
        <v>16</v>
      </c>
      <c r="B1918">
        <v>10</v>
      </c>
      <c r="C1918">
        <v>2013</v>
      </c>
      <c r="D1918" s="3" t="s">
        <f>B1918&amp;"/"&amp;A1918&amp;"/"&amp;C1918</f>
        <v>2254</v>
      </c>
      <c r="E1918">
        <v>0.89583333333333337</v>
      </c>
      <c r="F1918" t="str">
        <f>I1918&amp;" "&amp;J1918&amp;" "&amp;K1918&amp;" "&amp;L1918&amp;" "&amp;M1918&amp;" "&amp;N1918</f>
        <v>Sean court date   </v>
      </c>
      <c r="G1918" t="s">
        <f>TEXT(D1918,"mmm dd")</f>
        <v>1404</v>
      </c>
      <c r="I1918" t="s">
        <v>2255</v>
      </c>
      <c r="J1918" t="s">
        <v>1884</v>
      </c>
      <c r="K1918" t="inlineStr">
        <is>
          <t>date</t>
        </is>
      </c>
    </row>
    <row r="1919" spans="1:23">
      <c r="A1919">
        <v>18</v>
      </c>
      <c r="B1919">
        <v>10</v>
      </c>
      <c r="C1919">
        <v>2013</v>
      </c>
      <c r="D1919" s="3" t="s">
        <f>B1919&amp;"/"&amp;A1919&amp;"/"&amp;C1919</f>
        <v>2256</v>
      </c>
      <c r="E1919" t="s">
        <v>42</v>
      </c>
      <c r="F1919" t="str">
        <f>I1919&amp;" "&amp;J1919&amp;" "&amp;K1919&amp;" "&amp;L1919&amp;" "&amp;M1919&amp;" "&amp;N1919</f>
        <v>PSALM     </v>
      </c>
      <c r="G1919" t="s">
        <f>TEXT(D1919,"mmm dd")</f>
        <v>1407</v>
      </c>
      <c r="I1919" t="inlineStr">
        <is>
          <t>PSALM</t>
        </is>
      </c>
    </row>
    <row r="1920" spans="1:23">
      <c r="A1920">
        <v>18</v>
      </c>
      <c r="B1920">
        <v>10</v>
      </c>
      <c r="C1920">
        <v>2013</v>
      </c>
      <c r="D1920" s="3" t="s">
        <f>B1920&amp;"/"&amp;A1920&amp;"/"&amp;C1920</f>
        <v>2256</v>
      </c>
      <c r="E1920">
        <v>0.94444444444444442</v>
      </c>
      <c r="F1920" t="s">
        <f>I1920&amp;" "&amp;J1920&amp;" "&amp;K1920&amp;" "&amp;L1920&amp;" "&amp;M1920&amp;" "&amp;N1920</f>
        <v>2200</v>
      </c>
      <c r="G1920" t="s">
        <f>TEXT(D1920,"mmm dd")</f>
        <v>1407</v>
      </c>
      <c r="I1920" t="s">
        <v>2184</v>
      </c>
      <c r="J1920" t="s">
        <v>2035</v>
      </c>
    </row>
    <row r="1921" spans="1:23">
      <c r="A1921">
        <v>19</v>
      </c>
      <c r="B1921">
        <v>10</v>
      </c>
      <c r="C1921">
        <v>2013</v>
      </c>
      <c r="D1921" s="3" t="str">
        <f>B1921&amp;"/"&amp;A1921&amp;"/"&amp;C1921</f>
        <v>10/19/2013</v>
      </c>
      <c r="E1921">
        <v>0.25</v>
      </c>
      <c r="F1921" t="str">
        <f>I1921&amp;" "&amp;J1921&amp;" "&amp;K1921&amp;" "&amp;L1921&amp;" "&amp;M1921&amp;" "&amp;N1921</f>
        <v>Psalm     </v>
      </c>
      <c r="G1921" t="s">
        <f>TEXT(D1921,"mmm dd")</f>
        <v>1626</v>
      </c>
      <c r="I1921" t="inlineStr">
        <is>
          <t>Psalm</t>
        </is>
      </c>
    </row>
    <row r="1922" spans="1:23">
      <c r="A1922">
        <v>23</v>
      </c>
      <c r="B1922">
        <v>10</v>
      </c>
      <c r="C1922">
        <v>2013</v>
      </c>
      <c r="D1922" s="3" t="str">
        <f>B1922&amp;"/"&amp;A1922&amp;"/"&amp;C1922</f>
        <v>10/23/2013</v>
      </c>
      <c r="E1922">
        <v>0.20833333333333334</v>
      </c>
      <c r="F1922" t="s">
        <f>I1922&amp;" "&amp;J1922&amp;" "&amp;K1922&amp;" "&amp;L1922&amp;" "&amp;M1922&amp;" "&amp;N1922</f>
        <v>2161</v>
      </c>
      <c r="G1922" t="s">
        <f>TEXT(D1922,"mmm dd")</f>
        <v>953</v>
      </c>
      <c r="I1922" t="s">
        <v>2162</v>
      </c>
      <c r="J1922" t="s">
        <v>2006</v>
      </c>
    </row>
    <row r="1923" spans="1:23">
      <c r="A1923">
        <v>24</v>
      </c>
      <c r="B1923">
        <v>10</v>
      </c>
      <c r="C1923">
        <v>2013</v>
      </c>
      <c r="D1923" s="3" t="s">
        <f>B1923&amp;"/"&amp;A1923&amp;"/"&amp;C1923</f>
        <v>2257</v>
      </c>
      <c r="E1923">
        <v>0.54166666666666663</v>
      </c>
      <c r="F1923" t="s">
        <f>I1923&amp;" "&amp;J1923&amp;" "&amp;K1923&amp;" "&amp;L1923&amp;" "&amp;M1923&amp;" "&amp;N1923</f>
        <v>2258</v>
      </c>
      <c r="G1923" t="s">
        <f>TEXT(D1923,"mmm dd")</f>
        <v>956</v>
      </c>
      <c r="I1923" t="s">
        <v>2259</v>
      </c>
    </row>
    <row r="1924" spans="1:23">
      <c r="A1924">
        <v>24</v>
      </c>
      <c r="B1924">
        <v>10</v>
      </c>
      <c r="C1924">
        <v>2013</v>
      </c>
      <c r="D1924" s="3" t="s">
        <f>B1924&amp;"/"&amp;A1924&amp;"/"&amp;C1924</f>
        <v>2257</v>
      </c>
      <c r="E1924" t="s">
        <v>42</v>
      </c>
      <c r="F1924" t="str">
        <f>I1924&amp;" "&amp;J1924&amp;" "&amp;K1924&amp;" "&amp;L1924&amp;" "&amp;M1924&amp;" "&amp;N1924</f>
        <v>Mom's surgery    </v>
      </c>
      <c r="G1924" t="s">
        <f>TEXT(D1924,"mmm dd")</f>
        <v>956</v>
      </c>
      <c r="I1924" t="inlineStr">
        <is>
          <t>Mom's</t>
        </is>
      </c>
      <c r="J1924" t="s">
        <v>1448</v>
      </c>
    </row>
    <row r="1925" spans="1:23">
      <c r="A1925">
        <v>25</v>
      </c>
      <c r="B1925">
        <v>10</v>
      </c>
      <c r="C1925">
        <v>2013</v>
      </c>
      <c r="D1925" s="3" t="str">
        <f>B1925&amp;"/"&amp;A1925&amp;"/"&amp;C1925</f>
        <v>10/25/2013</v>
      </c>
      <c r="E1925">
        <v>0.14583333333333334</v>
      </c>
      <c r="F1925" t="s">
        <f>I1925&amp;" "&amp;J1925&amp;" "&amp;K1925&amp;" "&amp;L1925&amp;" "&amp;M1925&amp;" "&amp;N1925</f>
        <v>2260</v>
      </c>
      <c r="G1925" t="s">
        <f>TEXT(D1925,"mmm dd")</f>
        <v>2261</v>
      </c>
      <c r="I1925" t="s">
        <v>1990</v>
      </c>
    </row>
    <row r="1926" spans="1:23">
      <c r="A1926">
        <v>27</v>
      </c>
      <c r="B1926">
        <v>10</v>
      </c>
      <c r="C1926">
        <v>2013</v>
      </c>
      <c r="D1926" s="3" t="str">
        <f>B1926&amp;"/"&amp;A1926&amp;"/"&amp;C1926</f>
        <v>10/27/2013</v>
      </c>
      <c r="E1926">
        <v>1.0416666666666667</v>
      </c>
      <c r="F1926" t="str">
        <f>I1926&amp;" "&amp;J1926&amp;" "&amp;K1926&amp;" "&amp;L1926&amp;" "&amp;M1926&amp;" "&amp;N1926</f>
        <v>Skype with CS 103  </v>
      </c>
      <c r="G1926" t="s">
        <f>TEXT(D1926,"mmm dd")</f>
        <v>1781</v>
      </c>
      <c r="I1926" t="s">
        <v>1999</v>
      </c>
      <c r="J1926" t="s">
        <v>755</v>
      </c>
      <c r="K1926" t="s">
        <v>1994</v>
      </c>
      <c r="L1926">
        <v>103</v>
      </c>
    </row>
    <row r="1927" spans="1:23">
      <c r="A1927">
        <v>28</v>
      </c>
      <c r="B1927">
        <v>10</v>
      </c>
      <c r="C1927">
        <v>2013</v>
      </c>
      <c r="D1927" s="3" t="str">
        <f>B1927&amp;"/"&amp;A1927&amp;"/"&amp;C1927</f>
        <v>10/28/2013</v>
      </c>
      <c r="E1927">
        <v>1.0416666666666667</v>
      </c>
      <c r="F1927" t="str">
        <f>I1927&amp;" "&amp;J1927&amp;" "&amp;K1927&amp;" "&amp;L1927&amp;" "&amp;M1927&amp;" "&amp;N1927</f>
        <v>Sato for crown   </v>
      </c>
      <c r="G1927" t="s">
        <f>TEXT(D1927,"mmm dd")</f>
        <v>959</v>
      </c>
      <c r="I1927" t="s">
        <v>2184</v>
      </c>
      <c r="J1927" t="s">
        <v>439</v>
      </c>
      <c r="K1927" t="s">
        <v>2262</v>
      </c>
    </row>
    <row r="1928" spans="1:23">
      <c r="A1928">
        <v>29</v>
      </c>
      <c r="B1928">
        <v>10</v>
      </c>
      <c r="C1928">
        <v>2013</v>
      </c>
      <c r="D1928" s="3" t="str">
        <f>B1928&amp;"/"&amp;A1928&amp;"/"&amp;C1928</f>
        <v>10/29/2013</v>
      </c>
      <c r="E1928">
        <v>0.95833333333333337</v>
      </c>
      <c r="F1928" t="str">
        <f>I1928&amp;" "&amp;J1928&amp;" "&amp;K1928&amp;" "&amp;L1928&amp;" "&amp;M1928&amp;" "&amp;N1928</f>
        <v>Joe Peters?    </v>
      </c>
      <c r="G1928" t="s">
        <f>TEXT(D1928,"mmm dd")</f>
        <v>962</v>
      </c>
      <c r="I1928" t="s">
        <v>1345</v>
      </c>
      <c r="J1928" t="inlineStr">
        <is>
          <t>Peters?</t>
        </is>
      </c>
    </row>
    <row r="1929" spans="1:23">
      <c r="A1929">
        <v>30</v>
      </c>
      <c r="B1929">
        <v>10</v>
      </c>
      <c r="C1929">
        <v>2013</v>
      </c>
      <c r="D1929" s="3" t="str">
        <f>B1929&amp;"/"&amp;A1929&amp;"/"&amp;C1929</f>
        <v>10/30/2013</v>
      </c>
      <c r="E1929">
        <v>0.66666666666666663</v>
      </c>
      <c r="F1929" t="s">
        <f>I1929&amp;" "&amp;J1929&amp;" "&amp;K1929&amp;" "&amp;L1929&amp;" "&amp;M1929&amp;" "&amp;N1929</f>
        <v>1734</v>
      </c>
      <c r="G1929" t="s">
        <f>TEXT(D1929,"mmm dd")</f>
        <v>967</v>
      </c>
      <c r="I1929" t="s">
        <v>188</v>
      </c>
      <c r="J1929" t="s">
        <v>189</v>
      </c>
    </row>
    <row r="1930" spans="1:23">
      <c r="A1930">
        <v>31</v>
      </c>
      <c r="B1930">
        <v>10</v>
      </c>
      <c r="C1930">
        <v>2013</v>
      </c>
      <c r="D1930" s="3" t="str">
        <f>B1930&amp;"/"&amp;A1930&amp;"/"&amp;C1930</f>
        <v>10/31/2013</v>
      </c>
      <c r="E1930">
        <v>1.1041666666666667</v>
      </c>
      <c r="F1930" t="s">
        <f>I1930&amp;" "&amp;J1930&amp;" "&amp;K1930&amp;" "&amp;L1930&amp;" "&amp;M1930&amp;" "&amp;N1930</f>
        <v>2033</v>
      </c>
      <c r="G1930" t="s">
        <f>TEXT(D1930,"mmm dd")</f>
        <v>30</v>
      </c>
      <c r="I1930" t="s">
        <v>1892</v>
      </c>
    </row>
    <row r="1931" spans="1:23">
      <c r="A1931">
        <v>2</v>
      </c>
      <c r="B1931">
        <v>11</v>
      </c>
      <c r="C1931">
        <v>2013</v>
      </c>
      <c r="D1931" s="3" t="s">
        <f>B1931&amp;"/"&amp;A1931&amp;"/"&amp;C1931</f>
        <v>2263</v>
      </c>
      <c r="E1931">
        <v>0.29166666666666669</v>
      </c>
      <c r="F1931" t="str">
        <f>I1931&amp;" "&amp;J1931&amp;" "&amp;K1931&amp;" "&amp;L1931&amp;" "&amp;M1931&amp;" "&amp;N1931</f>
        <v>Bud and Berta for dinner </v>
      </c>
      <c r="G1931" t="s">
        <f>TEXT(D1931,"mmm dd")</f>
        <v>32</v>
      </c>
      <c r="I1931" t="inlineStr">
        <is>
          <t>Bud</t>
        </is>
      </c>
      <c r="J1931" t="s">
        <v>135</v>
      </c>
      <c r="K1931" t="s">
        <v>2066</v>
      </c>
      <c r="L1931" t="s">
        <v>439</v>
      </c>
      <c r="M1931" t="s">
        <v>517</v>
      </c>
    </row>
    <row r="1932" spans="1:23">
      <c r="A1932">
        <v>2</v>
      </c>
      <c r="B1932">
        <v>11</v>
      </c>
      <c r="C1932">
        <v>2013</v>
      </c>
      <c r="D1932" s="3" t="s">
        <f>B1932&amp;"/"&amp;A1932&amp;"/"&amp;C1932</f>
        <v>2263</v>
      </c>
      <c r="E1932">
        <v>0.29166666666666669</v>
      </c>
      <c r="F1932" t="str">
        <f>I1932&amp;" "&amp;J1932&amp;" "&amp;K1932&amp;" "&amp;L1932&amp;" "&amp;M1932&amp;" "&amp;N1932</f>
        <v>Pacific Island Review   </v>
      </c>
      <c r="G1932" t="s">
        <f>TEXT(D1932,"mmm dd")</f>
        <v>32</v>
      </c>
      <c r="I1932" t="s">
        <v>1526</v>
      </c>
      <c r="J1932" t="s">
        <v>2264</v>
      </c>
      <c r="K1932" t="s">
        <v>2265</v>
      </c>
    </row>
    <row r="1933" spans="1:23">
      <c r="A1933">
        <v>4</v>
      </c>
      <c r="B1933">
        <v>11</v>
      </c>
      <c r="C1933">
        <v>2013</v>
      </c>
      <c r="D1933" s="3" t="str">
        <f>B1933&amp;"/"&amp;A1933&amp;"/"&amp;C1933</f>
        <v>11/4/2013</v>
      </c>
      <c r="E1933">
        <v>1.0625</v>
      </c>
      <c r="F1933" t="s">
        <f>I1933&amp;" "&amp;J1933&amp;" "&amp;K1933&amp;" "&amp;L1933&amp;" "&amp;M1933&amp;" "&amp;N1933</f>
        <v>2204</v>
      </c>
      <c r="G1933" t="s">
        <f>TEXT(D1933,"mmm dd")</f>
        <v>34</v>
      </c>
      <c r="I1933" t="s">
        <v>2205</v>
      </c>
      <c r="J1933" t="s">
        <v>2084</v>
      </c>
    </row>
    <row r="1934" spans="1:23">
      <c r="A1934">
        <v>7</v>
      </c>
      <c r="B1934">
        <v>11</v>
      </c>
      <c r="C1934">
        <v>2013</v>
      </c>
      <c r="D1934" s="3" t="str">
        <f>B1934&amp;"/"&amp;A1934&amp;"/"&amp;C1934</f>
        <v>11/7/2013</v>
      </c>
      <c r="E1934">
        <v>1.0625</v>
      </c>
      <c r="F1934" t="s">
        <f>I1934&amp;" "&amp;J1934&amp;" "&amp;K1934&amp;" "&amp;L1934&amp;" "&amp;M1934&amp;" "&amp;N1934</f>
        <v>2204</v>
      </c>
      <c r="G1934" t="s">
        <f>TEXT(D1934,"mmm dd")</f>
        <v>1417</v>
      </c>
      <c r="I1934" t="s">
        <v>2205</v>
      </c>
      <c r="J1934" t="s">
        <v>2084</v>
      </c>
    </row>
    <row r="1935" spans="1:23">
      <c r="A1935">
        <v>13</v>
      </c>
      <c r="B1935">
        <v>11</v>
      </c>
      <c r="C1935">
        <v>2013</v>
      </c>
      <c r="D1935" s="3" t="str">
        <f>B1935&amp;"/"&amp;A1935&amp;"/"&amp;C1935</f>
        <v>11/13/2013</v>
      </c>
      <c r="E1935">
        <v>0.91666666666666663</v>
      </c>
      <c r="F1935" t="str">
        <f>I1935&amp;" "&amp;J1935&amp;" "&amp;K1935&amp;" "&amp;L1935&amp;" "&amp;M1935&amp;" "&amp;N1935</f>
        <v>interview NKU    </v>
      </c>
      <c r="G1935" t="s">
        <f>TEXT(D1935,"mmm dd")</f>
        <v>37</v>
      </c>
      <c r="I1935" t="s">
        <v>2116</v>
      </c>
      <c r="J1935" t="inlineStr">
        <is>
          <t>NKU</t>
        </is>
      </c>
    </row>
    <row r="1936" spans="1:23">
      <c r="A1936">
        <v>18</v>
      </c>
      <c r="B1936">
        <v>11</v>
      </c>
      <c r="C1936">
        <v>2013</v>
      </c>
      <c r="D1936" s="3" t="str">
        <f>B1936&amp;"/"&amp;A1936&amp;"/"&amp;C1936</f>
        <v>11/18/2013</v>
      </c>
      <c r="E1936">
        <v>0.27083333333333331</v>
      </c>
      <c r="F1936" t="str">
        <f>I1936&amp;" "&amp;J1936&amp;" "&amp;K1936&amp;" "&amp;L1936&amp;" "&amp;M1936&amp;" "&amp;N1936</f>
        <v>Julian arrive time?   </v>
      </c>
      <c r="G1936" t="s">
        <f>TEXT(D1936,"mmm dd")</f>
        <v>1024</v>
      </c>
      <c r="I1936" t="s">
        <v>284</v>
      </c>
      <c r="J1936" t="s">
        <v>737</v>
      </c>
      <c r="K1936" t="s">
        <v>537</v>
      </c>
    </row>
    <row r="1937" spans="1:23">
      <c r="A1937">
        <v>20</v>
      </c>
      <c r="B1937">
        <v>11</v>
      </c>
      <c r="C1937">
        <v>2013</v>
      </c>
      <c r="D1937" s="3" t="str">
        <f>B1937&amp;"/"&amp;A1937&amp;"/"&amp;C1937</f>
        <v>11/20/2013</v>
      </c>
      <c r="E1937" t="s">
        <v>42</v>
      </c>
      <c r="F1937" t="str">
        <f>I1937&amp;" "&amp;J1937&amp;" "&amp;K1937&amp;" "&amp;L1937&amp;" "&amp;M1937&amp;" "&amp;N1937</f>
        <v>Universal children day   </v>
      </c>
      <c r="G1937" t="s">
        <f>TEXT(D1937,"mmm dd")</f>
        <v>1030</v>
      </c>
      <c r="I1937" t="inlineStr">
        <is>
          <t>Universal</t>
        </is>
      </c>
      <c r="J1937" t="inlineStr">
        <is>
          <t>children</t>
        </is>
      </c>
      <c r="K1937" t="s">
        <v>502</v>
      </c>
    </row>
    <row r="1938" spans="1:23">
      <c r="A1938">
        <v>21</v>
      </c>
      <c r="B1938">
        <v>11</v>
      </c>
      <c r="C1938">
        <v>2013</v>
      </c>
      <c r="D1938" s="3" t="s">
        <f>B1938&amp;"/"&amp;A1938&amp;"/"&amp;C1938</f>
        <v>2266</v>
      </c>
      <c r="E1938">
        <v>1.1041666666666667</v>
      </c>
      <c r="F1938" t="s">
        <f>I1938&amp;" "&amp;J1938&amp;" "&amp;K1938&amp;" "&amp;L1938&amp;" "&amp;M1938&amp;" "&amp;N1938</f>
        <v>2033</v>
      </c>
      <c r="G1938" t="s">
        <f>TEXT(D1938,"mmm dd")</f>
        <v>2146</v>
      </c>
      <c r="I1938" t="s">
        <v>1892</v>
      </c>
    </row>
    <row r="1939" spans="1:23">
      <c r="A1939">
        <v>21</v>
      </c>
      <c r="B1939">
        <v>11</v>
      </c>
      <c r="C1939">
        <v>2013</v>
      </c>
      <c r="D1939" s="3" t="s">
        <f>B1939&amp;"/"&amp;A1939&amp;"/"&amp;C1939</f>
        <v>2266</v>
      </c>
      <c r="E1939">
        <v>1</v>
      </c>
      <c r="F1939" t="str">
        <f>I1939&amp;" "&amp;J1939&amp;" "&amp;K1939&amp;" "&amp;L1939&amp;" "&amp;M1939&amp;" "&amp;N1939</f>
        <v>Sato re crown   </v>
      </c>
      <c r="G1939" t="s">
        <f>TEXT(D1939,"mmm dd")</f>
        <v>2146</v>
      </c>
      <c r="I1939" t="s">
        <v>2184</v>
      </c>
      <c r="J1939" t="s">
        <v>594</v>
      </c>
      <c r="K1939" t="s">
        <v>2262</v>
      </c>
    </row>
    <row r="1940" spans="1:23">
      <c r="A1940">
        <v>22</v>
      </c>
      <c r="B1940">
        <v>11</v>
      </c>
      <c r="C1940">
        <v>2013</v>
      </c>
      <c r="D1940" s="3" t="str">
        <f>B1940&amp;"/"&amp;A1940&amp;"/"&amp;C1940</f>
        <v>11/22/2013</v>
      </c>
      <c r="E1940">
        <v>0.20833333333333334</v>
      </c>
      <c r="F1940" t="s">
        <f>I1940&amp;" "&amp;J1940&amp;" "&amp;K1940&amp;" "&amp;L1940&amp;" "&amp;M1940&amp;" "&amp;N1940</f>
        <v>2161</v>
      </c>
      <c r="G1940" t="s">
        <f>TEXT(D1940,"mmm dd")</f>
        <v>1428</v>
      </c>
      <c r="I1940" t="s">
        <v>2162</v>
      </c>
      <c r="J1940" t="s">
        <v>2006</v>
      </c>
    </row>
    <row r="1941" spans="1:23">
      <c r="A1941">
        <v>26</v>
      </c>
      <c r="B1941">
        <v>11</v>
      </c>
      <c r="C1941">
        <v>2013</v>
      </c>
      <c r="D1941" s="3" t="s">
        <f>B1941&amp;"/"&amp;A1941&amp;"/"&amp;C1941</f>
        <v>2267</v>
      </c>
      <c r="E1941">
        <v>1.0625</v>
      </c>
      <c r="F1941" t="str">
        <f>I1941&amp;" "&amp;J1941&amp;" "&amp;K1941&amp;" "&amp;L1941&amp;" "&amp;M1941&amp;" "&amp;N1941</f>
        <v>Porsche     </v>
      </c>
      <c r="G1941" t="s">
        <f>TEXT(D1941,"mmm dd")</f>
        <v>1661</v>
      </c>
      <c r="I1941" t="inlineStr">
        <is>
          <t>Porsche</t>
        </is>
      </c>
    </row>
    <row r="1942" spans="1:23">
      <c r="A1942">
        <v>26</v>
      </c>
      <c r="B1942">
        <v>11</v>
      </c>
      <c r="C1942">
        <v>2013</v>
      </c>
      <c r="D1942" s="3" t="s">
        <f>B1942&amp;"/"&amp;A1942&amp;"/"&amp;C1942</f>
        <v>2267</v>
      </c>
      <c r="E1942">
        <v>0.97916666666666663</v>
      </c>
      <c r="F1942" t="str">
        <f>I1942&amp;" "&amp;J1942&amp;" "&amp;K1942&amp;" "&amp;L1942&amp;" "&amp;M1942&amp;" "&amp;N1942</f>
        <v>Camcam     </v>
      </c>
      <c r="G1942" t="s">
        <f>TEXT(D1942,"mmm dd")</f>
        <v>1661</v>
      </c>
      <c r="I1942" t="inlineStr">
        <is>
          <t>Camcam</t>
        </is>
      </c>
    </row>
    <row r="1943" spans="1:23">
      <c r="A1943">
        <v>27</v>
      </c>
      <c r="B1943">
        <v>11</v>
      </c>
      <c r="C1943">
        <v>2013</v>
      </c>
      <c r="D1943" s="3" t="str">
        <f>B1943&amp;"/"&amp;A1943&amp;"/"&amp;C1943</f>
        <v>11/27/2013</v>
      </c>
      <c r="E1943">
        <v>1.0625</v>
      </c>
      <c r="F1943" t="str">
        <f>I1943&amp;" "&amp;J1943&amp;" "&amp;K1943&amp;" "&amp;L1943&amp;" "&amp;M1943&amp;" "&amp;N1943</f>
        <v>Julia Wong    </v>
      </c>
      <c r="G1943" t="s">
        <f>TEXT(D1943,"mmm dd")</f>
        <v>1045</v>
      </c>
      <c r="I1943" t="inlineStr">
        <is>
          <t>Julia</t>
        </is>
      </c>
      <c r="J1943" t="s">
        <v>1220</v>
      </c>
    </row>
    <row r="1944" spans="1:23">
      <c r="A1944">
        <v>2</v>
      </c>
      <c r="B1944">
        <v>12</v>
      </c>
      <c r="C1944">
        <v>2013</v>
      </c>
      <c r="D1944" s="3" t="s">
        <f>B1944&amp;"/"&amp;A1944&amp;"/"&amp;C1944</f>
        <v>2268</v>
      </c>
      <c r="E1944">
        <v>0.97916666666666663</v>
      </c>
      <c r="F1944" t="str">
        <f>I1944&amp;" "&amp;J1944&amp;" "&amp;K1944&amp;" "&amp;L1944&amp;" "&amp;M1944&amp;" "&amp;N1944</f>
        <v>Shea Rodriguez    </v>
      </c>
      <c r="G1944" t="s">
        <f>TEXT(D1944,"mmm dd")</f>
        <v>1438</v>
      </c>
      <c r="I1944" t="inlineStr">
        <is>
          <t>Shea</t>
        </is>
      </c>
      <c r="J1944" t="inlineStr">
        <is>
          <t>Rodriguez</t>
        </is>
      </c>
    </row>
    <row r="1945" spans="1:23">
      <c r="A1945">
        <v>2</v>
      </c>
      <c r="B1945">
        <v>12</v>
      </c>
      <c r="C1945">
        <v>2013</v>
      </c>
      <c r="D1945" s="3" t="s">
        <f>B1945&amp;"/"&amp;A1945&amp;"/"&amp;C1945</f>
        <v>2268</v>
      </c>
      <c r="E1945">
        <v>1.0625</v>
      </c>
      <c r="F1945" t="str">
        <f>I1945&amp;" "&amp;J1945&amp;" "&amp;K1945&amp;" "&amp;L1945&amp;" "&amp;M1945&amp;" "&amp;N1945</f>
        <v>Amanda Koerner    </v>
      </c>
      <c r="G1945" t="s">
        <f>TEXT(D1945,"mmm dd")</f>
        <v>1438</v>
      </c>
      <c r="I1945" t="inlineStr">
        <is>
          <t>Amanda</t>
        </is>
      </c>
      <c r="J1945" t="inlineStr">
        <is>
          <t>Koerner</t>
        </is>
      </c>
    </row>
    <row r="1946" spans="1:23">
      <c r="A1946">
        <v>3</v>
      </c>
      <c r="B1946">
        <v>12</v>
      </c>
      <c r="C1946">
        <v>2013</v>
      </c>
      <c r="D1946" s="3" t="s">
        <f>B1946&amp;"/"&amp;A1946&amp;"/"&amp;C1946</f>
        <v>2269</v>
      </c>
      <c r="E1946">
        <v>0.1875</v>
      </c>
      <c r="F1946" t="s">
        <f>I1946&amp;" "&amp;J1946&amp;" "&amp;K1946&amp;" "&amp;L1946&amp;" "&amp;M1946&amp;" "&amp;N1946</f>
        <v>2129</v>
      </c>
      <c r="G1946" t="s">
        <f>TEXT(D1946,"mmm dd")</f>
        <v>1662</v>
      </c>
      <c r="I1946" t="s">
        <v>2130</v>
      </c>
      <c r="J1946" t="s">
        <v>2131</v>
      </c>
    </row>
    <row r="1947" spans="1:23">
      <c r="A1947">
        <v>3</v>
      </c>
      <c r="B1947">
        <v>12</v>
      </c>
      <c r="C1947">
        <v>2013</v>
      </c>
      <c r="D1947" s="3" t="s">
        <f>B1947&amp;"/"&amp;A1947&amp;"/"&amp;C1947</f>
        <v>2269</v>
      </c>
      <c r="E1947">
        <v>1.0208333333333333</v>
      </c>
      <c r="F1947" t="s">
        <f>I1947&amp;" "&amp;J1947&amp;" "&amp;K1947&amp;" "&amp;L1947&amp;" "&amp;M1947&amp;" "&amp;N1947</f>
        <v>2243</v>
      </c>
      <c r="G1947" t="s">
        <f>TEXT(D1947,"mmm dd")</f>
        <v>1662</v>
      </c>
      <c r="I1947" t="s">
        <v>2244</v>
      </c>
    </row>
    <row r="1948" spans="1:23">
      <c r="A1948">
        <v>3</v>
      </c>
      <c r="B1948">
        <v>12</v>
      </c>
      <c r="C1948">
        <v>2013</v>
      </c>
      <c r="D1948" s="3" t="s">
        <f>B1948&amp;"/"&amp;A1948&amp;"/"&amp;C1948</f>
        <v>2269</v>
      </c>
      <c r="E1948">
        <v>0.95833333333333337</v>
      </c>
      <c r="F1948" t="str">
        <f>I1948&amp;" "&amp;J1948&amp;" "&amp;K1948&amp;" "&amp;L1948&amp;" "&amp;M1948&amp;" "&amp;N1948</f>
        <v>Ayane Y.    </v>
      </c>
      <c r="G1948" t="s">
        <f>TEXT(D1948,"mmm dd")</f>
        <v>1662</v>
      </c>
      <c r="I1948" t="inlineStr">
        <is>
          <t>Ayane</t>
        </is>
      </c>
      <c r="J1948" t="inlineStr">
        <is>
          <t>Y.</t>
        </is>
      </c>
    </row>
    <row r="1949" spans="1:23">
      <c r="A1949">
        <v>3</v>
      </c>
      <c r="B1949">
        <v>12</v>
      </c>
      <c r="C1949">
        <v>2013</v>
      </c>
      <c r="D1949" s="3" t="s">
        <f>B1949&amp;"/"&amp;A1949&amp;"/"&amp;C1949</f>
        <v>2269</v>
      </c>
      <c r="E1949">
        <v>0.95833333333333337</v>
      </c>
      <c r="F1949" t="str">
        <f>I1949&amp;" "&amp;J1949&amp;" "&amp;K1949&amp;" "&amp;L1949&amp;" "&amp;M1949&amp;" "&amp;N1949</f>
        <v>Katherine Salvador    </v>
      </c>
      <c r="G1949" t="s">
        <f>TEXT(D1949,"mmm dd")</f>
        <v>1662</v>
      </c>
      <c r="I1949" t="inlineStr">
        <is>
          <t>Katherine</t>
        </is>
      </c>
      <c r="J1949" t="inlineStr">
        <is>
          <t>Salvador</t>
        </is>
      </c>
    </row>
    <row r="1950" spans="1:23">
      <c r="A1950">
        <v>3</v>
      </c>
      <c r="B1950">
        <v>12</v>
      </c>
      <c r="C1950">
        <v>2013</v>
      </c>
      <c r="D1950" s="3" t="s">
        <f>B1950&amp;"/"&amp;A1950&amp;"/"&amp;C1950</f>
        <v>2269</v>
      </c>
      <c r="E1950">
        <v>0.95833333333333337</v>
      </c>
      <c r="F1950" t="str">
        <f>I1950&amp;" "&amp;J1950&amp;" "&amp;K1950&amp;" "&amp;L1950&amp;" "&amp;M1950&amp;" "&amp;N1950</f>
        <v>Ashley     </v>
      </c>
      <c r="G1950" t="s">
        <f>TEXT(D1950,"mmm dd")</f>
        <v>1662</v>
      </c>
      <c r="I1950" t="inlineStr">
        <is>
          <t>Ashley</t>
        </is>
      </c>
    </row>
    <row r="1951" spans="1:23">
      <c r="A1951">
        <v>3</v>
      </c>
      <c r="B1951">
        <v>12</v>
      </c>
      <c r="C1951">
        <v>2013</v>
      </c>
      <c r="D1951" s="3" t="s">
        <f>B1951&amp;"/"&amp;A1951&amp;"/"&amp;C1951</f>
        <v>2269</v>
      </c>
      <c r="E1951">
        <v>1.0625</v>
      </c>
      <c r="F1951" t="str">
        <f>I1951&amp;" "&amp;J1951&amp;" "&amp;K1951&amp;" "&amp;L1951&amp;" "&amp;M1951&amp;" "&amp;N1951</f>
        <v>Katly  Powell?   </v>
      </c>
      <c r="G1951" t="s">
        <f>TEXT(D1951,"mmm dd")</f>
        <v>1662</v>
      </c>
      <c r="I1951" t="inlineStr">
        <is>
          <t>Katly</t>
        </is>
      </c>
      <c r="K1951" t="inlineStr">
        <is>
          <t>Powell?</t>
        </is>
      </c>
    </row>
    <row r="1952" spans="1:23">
      <c r="A1952">
        <v>3</v>
      </c>
      <c r="B1952">
        <v>12</v>
      </c>
      <c r="C1952">
        <v>2013</v>
      </c>
      <c r="D1952" s="3" t="s">
        <f>B1952&amp;"/"&amp;A1952&amp;"/"&amp;C1952</f>
        <v>2269</v>
      </c>
      <c r="E1952">
        <v>1</v>
      </c>
      <c r="F1952" t="str">
        <f>I1952&amp;" "&amp;J1952&amp;" "&amp;K1952&amp;" "&amp;L1952&amp;" "&amp;M1952&amp;" "&amp;N1952</f>
        <v>Tamara Lauderdale    </v>
      </c>
      <c r="G1952" t="s">
        <f>TEXT(D1952,"mmm dd")</f>
        <v>1662</v>
      </c>
      <c r="I1952" t="inlineStr">
        <is>
          <t>Tamara</t>
        </is>
      </c>
      <c r="J1952" t="inlineStr">
        <is>
          <t>Lauderdale</t>
        </is>
      </c>
    </row>
    <row r="1953" spans="1:23">
      <c r="A1953">
        <v>4</v>
      </c>
      <c r="B1953">
        <v>12</v>
      </c>
      <c r="C1953">
        <v>2013</v>
      </c>
      <c r="D1953" s="3" t="str">
        <f>B1953&amp;"/"&amp;A1953&amp;"/"&amp;C1953</f>
        <v>12/4/2013</v>
      </c>
      <c r="E1953">
        <v>0.66666666666666663</v>
      </c>
      <c r="F1953" t="s">
        <f>I1953&amp;" "&amp;J1953&amp;" "&amp;K1953&amp;" "&amp;L1953&amp;" "&amp;M1953&amp;" "&amp;N1953</f>
        <v>1734</v>
      </c>
      <c r="G1953" t="s">
        <f>TEXT(D1953,"mmm dd")</f>
        <v>1057</v>
      </c>
      <c r="I1953" t="s">
        <v>188</v>
      </c>
      <c r="J1953" t="s">
        <v>189</v>
      </c>
    </row>
    <row r="1954" spans="1:23">
      <c r="A1954">
        <v>5</v>
      </c>
      <c r="B1954">
        <v>12</v>
      </c>
      <c r="C1954">
        <v>2013</v>
      </c>
      <c r="D1954" s="3" t="s">
        <f>B1954&amp;"/"&amp;A1954&amp;"/"&amp;C1954</f>
        <v>2270</v>
      </c>
      <c r="E1954">
        <v>1.1041666666666667</v>
      </c>
      <c r="F1954" t="s">
        <f>I1954&amp;" "&amp;J1954&amp;" "&amp;K1954&amp;" "&amp;L1954&amp;" "&amp;M1954&amp;" "&amp;N1954</f>
        <v>2033</v>
      </c>
      <c r="G1954" t="s">
        <f>TEXT(D1954,"mmm dd")</f>
        <v>1060</v>
      </c>
      <c r="I1954" t="s">
        <v>1892</v>
      </c>
    </row>
    <row r="1955" spans="1:23">
      <c r="A1955">
        <v>5</v>
      </c>
      <c r="B1955">
        <v>12</v>
      </c>
      <c r="C1955">
        <v>2013</v>
      </c>
      <c r="D1955" s="3" t="s">
        <f>B1955&amp;"/"&amp;A1955&amp;"/"&amp;C1955</f>
        <v>2270</v>
      </c>
      <c r="E1955">
        <v>1.0625</v>
      </c>
      <c r="F1955" t="str">
        <f>I1955&amp;" "&amp;J1955&amp;" "&amp;K1955&amp;" "&amp;L1955&amp;" "&amp;M1955&amp;" "&amp;N1955</f>
        <v>Pizza     </v>
      </c>
      <c r="G1955" t="s">
        <f>TEXT(D1955,"mmm dd")</f>
        <v>1060</v>
      </c>
      <c r="I1955" t="inlineStr">
        <is>
          <t>Pizza</t>
        </is>
      </c>
    </row>
    <row r="1956" spans="1:23">
      <c r="A1956">
        <v>9</v>
      </c>
      <c r="B1956">
        <v>12</v>
      </c>
      <c r="C1956">
        <v>2013</v>
      </c>
      <c r="D1956" s="3" t="str">
        <f>B1956&amp;"/"&amp;A1956&amp;"/"&amp;C1956</f>
        <v>12/9/2013</v>
      </c>
      <c r="E1956" t="s">
        <v>42</v>
      </c>
      <c r="F1956" t="str">
        <f>I1956&amp;" "&amp;J1956&amp;" "&amp;K1956&amp;" "&amp;L1956&amp;" "&amp;M1956&amp;" "&amp;N1956</f>
        <v>My bride    </v>
      </c>
      <c r="G1956" t="s">
        <f>TEXT(D1956,"mmm dd")</f>
        <v>1064</v>
      </c>
      <c r="I1956" t="inlineStr">
        <is>
          <t>My</t>
        </is>
      </c>
      <c r="J1956" t="inlineStr">
        <is>
          <t>bride</t>
        </is>
      </c>
    </row>
    <row r="1957" spans="1:23">
      <c r="A1957">
        <v>12</v>
      </c>
      <c r="B1957">
        <v>12</v>
      </c>
      <c r="C1957">
        <v>2013</v>
      </c>
      <c r="D1957" s="3" t="str">
        <f>B1957&amp;"/"&amp;A1957&amp;"/"&amp;C1957</f>
        <v>12/12/2013</v>
      </c>
      <c r="E1957">
        <v>1.0208333333333333</v>
      </c>
      <c r="F1957" t="str">
        <f>I1957&amp;" "&amp;J1957&amp;" "&amp;K1957&amp;" "&amp;L1957&amp;" "&amp;M1957&amp;" "&amp;N1957</f>
        <v>Lunch Greg J   </v>
      </c>
      <c r="G1957" t="s">
        <f>TEXT(D1957,"mmm dd")</f>
        <v>1067</v>
      </c>
      <c r="I1957" t="s">
        <v>813</v>
      </c>
      <c r="J1957" t="s">
        <v>1266</v>
      </c>
      <c r="K1957" t="s">
        <v>2056</v>
      </c>
    </row>
    <row r="1958" spans="1:23">
      <c r="A1958">
        <v>17</v>
      </c>
      <c r="B1958">
        <v>12</v>
      </c>
      <c r="C1958">
        <v>2013</v>
      </c>
      <c r="D1958" s="3" t="s">
        <f>B1958&amp;"/"&amp;A1958&amp;"/"&amp;C1958</f>
        <v>2271</v>
      </c>
      <c r="E1958">
        <v>1</v>
      </c>
      <c r="F1958" t="s">
        <f>I1958&amp;" "&amp;J1958&amp;" "&amp;K1958&amp;" "&amp;L1958&amp;" "&amp;M1958&amp;" "&amp;N1958</f>
        <v>2161</v>
      </c>
      <c r="G1958" t="s">
        <f>TEXT(D1958,"mmm dd")</f>
        <v>1097</v>
      </c>
      <c r="I1958" t="s">
        <v>2162</v>
      </c>
      <c r="J1958" t="s">
        <v>2006</v>
      </c>
    </row>
    <row r="1959" spans="1:23">
      <c r="A1959">
        <v>17</v>
      </c>
      <c r="B1959">
        <v>12</v>
      </c>
      <c r="C1959">
        <v>2013</v>
      </c>
      <c r="D1959" s="3" t="s">
        <f>B1959&amp;"/"&amp;A1959&amp;"/"&amp;C1959</f>
        <v>2271</v>
      </c>
      <c r="E1959">
        <v>0.3125</v>
      </c>
      <c r="F1959" t="str">
        <f>I1959&amp;" "&amp;J1959&amp;" "&amp;K1959&amp;" "&amp;L1959&amp;" "&amp;M1959&amp;" "&amp;N1959</f>
        <v>Graduation     </v>
      </c>
      <c r="G1959" t="s">
        <f>TEXT(D1959,"mmm dd")</f>
        <v>1097</v>
      </c>
      <c r="I1959" t="s">
        <v>1313</v>
      </c>
    </row>
    <row r="1960" spans="1:23">
      <c r="A1960">
        <v>18</v>
      </c>
      <c r="B1960">
        <v>12</v>
      </c>
      <c r="C1960">
        <v>2013</v>
      </c>
      <c r="D1960" s="3" t="str">
        <f>B1960&amp;"/"&amp;A1960&amp;"/"&amp;C1960</f>
        <v>12/18/2013</v>
      </c>
      <c r="E1960">
        <v>0.16666666666666666</v>
      </c>
      <c r="F1960" t="str">
        <f>I1960&amp;" "&amp;J1960&amp;" "&amp;K1960&amp;" "&amp;L1960&amp;" "&amp;M1960&amp;" "&amp;N1960</f>
        <v>Naughton     </v>
      </c>
      <c r="G1960" t="s">
        <f>TEXT(D1960,"mmm dd")</f>
        <v>1104</v>
      </c>
      <c r="I1960" t="s">
        <v>1540</v>
      </c>
    </row>
    <row r="1961" spans="1:23">
      <c r="A1961">
        <v>26</v>
      </c>
      <c r="B1961">
        <v>12</v>
      </c>
      <c r="C1961">
        <v>2013</v>
      </c>
      <c r="D1961" s="3" t="str">
        <f>B1961&amp;"/"&amp;A1961&amp;"/"&amp;C1961</f>
        <v>12/26/2013</v>
      </c>
      <c r="E1961">
        <v>0.89583333333333337</v>
      </c>
      <c r="F1961" t="str">
        <f>I1961&amp;" "&amp;J1961&amp;" "&amp;K1961&amp;" "&amp;L1961&amp;" "&amp;M1961&amp;" "&amp;N1961</f>
        <v>Dr Warwar    </v>
      </c>
      <c r="G1961" t="s">
        <f>TEXT(D1961,"mmm dd")</f>
        <v>2272</v>
      </c>
      <c r="I1961" t="s">
        <v>1791</v>
      </c>
      <c r="J1961" t="inlineStr">
        <is>
          <t>Warwar</t>
        </is>
      </c>
    </row>
    <row r="1962" spans="1:23">
      <c r="A1962">
        <v>7</v>
      </c>
      <c r="B1962">
        <v>1</v>
      </c>
      <c r="C1962">
        <v>2014</v>
      </c>
      <c r="D1962" s="3" t="str">
        <f>B1962&amp;"/"&amp;A1962&amp;"/"&amp;C1962</f>
        <v>1/7/2014</v>
      </c>
      <c r="E1962">
        <v>0.95833333333333337</v>
      </c>
      <c r="F1962" t="str">
        <f>I1962&amp;" "&amp;J1962&amp;" "&amp;K1962&amp;" "&amp;L1962&amp;" "&amp;M1962&amp;" "&amp;N1962</f>
        <v>Marc Anthony    </v>
      </c>
      <c r="G1962" t="s">
        <f>TEXT(D1962,"mmm dd")</f>
        <v>1682</v>
      </c>
      <c r="I1962" t="inlineStr">
        <is>
          <t>Marc</t>
        </is>
      </c>
      <c r="J1962" t="inlineStr">
        <is>
          <t>Anthony</t>
        </is>
      </c>
    </row>
    <row r="1963" spans="1:23">
      <c r="A1963">
        <v>9</v>
      </c>
      <c r="B1963">
        <v>1</v>
      </c>
      <c r="C1963">
        <v>2014</v>
      </c>
      <c r="D1963" s="3" t="str">
        <f>B1963&amp;"/"&amp;A1963&amp;"/"&amp;C1963</f>
        <v>1/9/2014</v>
      </c>
      <c r="E1963">
        <v>1.1041666666666667</v>
      </c>
      <c r="F1963" t="s">
        <f>I1963&amp;" "&amp;J1963&amp;" "&amp;K1963&amp;" "&amp;L1963&amp;" "&amp;M1963&amp;" "&amp;N1963</f>
        <v>2033</v>
      </c>
      <c r="G1963" t="s">
        <f>TEXT(D1963,"mmm dd")</f>
        <v>1476</v>
      </c>
      <c r="I1963" t="s">
        <v>1892</v>
      </c>
    </row>
    <row r="1964" spans="1:23">
      <c r="A1964">
        <v>10</v>
      </c>
      <c r="B1964">
        <v>1</v>
      </c>
      <c r="C1964">
        <v>2014</v>
      </c>
      <c r="D1964" s="3" t="str">
        <f>B1964&amp;"/"&amp;A1964&amp;"/"&amp;C1964</f>
        <v>1/10/2014</v>
      </c>
      <c r="E1964">
        <v>0.90625</v>
      </c>
      <c r="F1964" t="str">
        <f>I1964&amp;" "&amp;J1964&amp;" "&amp;K1964&amp;" "&amp;L1964&amp;" "&amp;M1964&amp;" "&amp;N1964</f>
        <v>Blane Chong    </v>
      </c>
      <c r="G1964" t="s">
        <f>TEXT(D1964,"mmm dd")</f>
        <v>1146</v>
      </c>
      <c r="I1964" t="s">
        <v>769</v>
      </c>
      <c r="J1964" t="s">
        <v>770</v>
      </c>
    </row>
    <row r="1965" spans="1:23">
      <c r="A1965">
        <v>13</v>
      </c>
      <c r="B1965">
        <v>1</v>
      </c>
      <c r="C1965">
        <v>2014</v>
      </c>
      <c r="D1965" s="3" t="str">
        <f>B1965&amp;"/"&amp;A1965&amp;"/"&amp;C1965</f>
        <v>1/13/2014</v>
      </c>
      <c r="E1965">
        <v>0.52083333333333337</v>
      </c>
      <c r="F1965" t="s">
        <f>I1965&amp;" "&amp;J1965&amp;" "&amp;K1965&amp;" "&amp;L1965&amp;" "&amp;M1965&amp;" "&amp;N1965</f>
        <v>2166</v>
      </c>
      <c r="G1965" t="s">
        <f>TEXT(D1965,"mmm dd")</f>
        <v>1164</v>
      </c>
      <c r="I1965" t="s">
        <v>1981</v>
      </c>
      <c r="J1965">
        <v>220</v>
      </c>
    </row>
    <row r="1966" spans="1:23">
      <c r="A1966">
        <v>14</v>
      </c>
      <c r="B1966">
        <v>1</v>
      </c>
      <c r="C1966">
        <v>2014</v>
      </c>
      <c r="D1966" s="3" t="s">
        <f>B1966&amp;"/"&amp;A1966&amp;"/"&amp;C1966</f>
        <v>2273</v>
      </c>
      <c r="E1966">
        <v>1.0208333333333333</v>
      </c>
      <c r="F1966" t="s">
        <f>I1966&amp;" "&amp;J1966&amp;" "&amp;K1966&amp;" "&amp;L1966&amp;" "&amp;M1966&amp;" "&amp;N1966</f>
        <v>2249</v>
      </c>
      <c r="G1966" t="s">
        <f>TEXT(D1966,"mmm dd")</f>
        <v>1166</v>
      </c>
      <c r="I1966" t="s">
        <v>2250</v>
      </c>
      <c r="J1966" t="s">
        <v>46</v>
      </c>
    </row>
    <row r="1967" spans="1:23">
      <c r="A1967">
        <v>14</v>
      </c>
      <c r="B1967">
        <v>1</v>
      </c>
      <c r="C1967">
        <v>2014</v>
      </c>
      <c r="D1967" s="3" t="s">
        <f>B1967&amp;"/"&amp;A1967&amp;"/"&amp;C1967</f>
        <v>2273</v>
      </c>
      <c r="E1967">
        <v>0.54166666666666663</v>
      </c>
      <c r="F1967" t="s">
        <f>I1967&amp;" "&amp;J1967&amp;" "&amp;K1967&amp;" "&amp;L1967&amp;" "&amp;M1967&amp;" "&amp;N1967</f>
        <v>2274</v>
      </c>
      <c r="G1967" t="s">
        <f>TEXT(D1967,"mmm dd")</f>
        <v>1166</v>
      </c>
      <c r="I1967" t="s">
        <v>1981</v>
      </c>
      <c r="J1967">
        <v>325</v>
      </c>
    </row>
    <row r="1968" spans="1:23">
      <c r="A1968">
        <v>14</v>
      </c>
      <c r="B1968">
        <v>1</v>
      </c>
      <c r="C1968">
        <v>2014</v>
      </c>
      <c r="D1968" s="3" t="s">
        <f>B1968&amp;"/"&amp;A1968&amp;"/"&amp;C1968</f>
        <v>2273</v>
      </c>
      <c r="E1968">
        <v>0.54166666666666663</v>
      </c>
      <c r="F1968" t="s">
        <f>I1968&amp;" "&amp;J1968&amp;" "&amp;K1968&amp;" "&amp;L1968&amp;" "&amp;M1968&amp;" "&amp;N1968</f>
        <v>2274</v>
      </c>
      <c r="G1968" t="s">
        <f>TEXT(D1968,"mmm dd")</f>
        <v>1166</v>
      </c>
      <c r="I1968" t="s">
        <v>1981</v>
      </c>
      <c r="J1968">
        <v>325</v>
      </c>
    </row>
    <row r="1969" spans="1:23">
      <c r="A1969">
        <v>15</v>
      </c>
      <c r="B1969">
        <v>1</v>
      </c>
      <c r="C1969">
        <v>2014</v>
      </c>
      <c r="D1969" s="3" t="str">
        <f>B1969&amp;"/"&amp;A1969&amp;"/"&amp;C1969</f>
        <v>1/15/2014</v>
      </c>
      <c r="E1969">
        <v>1.1041666666666667</v>
      </c>
      <c r="F1969" t="s">
        <f>I1969&amp;" "&amp;J1969&amp;" "&amp;K1969&amp;" "&amp;L1969&amp;" "&amp;M1969&amp;" "&amp;N1969</f>
        <v>2275</v>
      </c>
      <c r="G1969" t="s">
        <f>TEXT(D1969,"mmm dd")</f>
        <v>1686</v>
      </c>
      <c r="I1969" t="s">
        <v>1791</v>
      </c>
      <c r="J1969" t="s">
        <v>1858</v>
      </c>
    </row>
    <row r="1970" spans="1:23">
      <c r="A1970">
        <v>16</v>
      </c>
      <c r="B1970">
        <v>1</v>
      </c>
      <c r="C1970">
        <v>2014</v>
      </c>
      <c r="D1970" s="3" t="s">
        <f>B1970&amp;"/"&amp;A1970&amp;"/"&amp;C1970</f>
        <v>2276</v>
      </c>
      <c r="E1970" t="s">
        <v>42</v>
      </c>
      <c r="F1970" t="s">
        <f>I1970&amp;" "&amp;J1970&amp;" "&amp;K1970&amp;" "&amp;L1970&amp;" "&amp;M1970&amp;" "&amp;N1970</f>
        <v>2277</v>
      </c>
      <c r="G1970" t="s">
        <f>TEXT(D1970,"mmm dd")</f>
        <v>1170</v>
      </c>
      <c r="I1970" t="s">
        <v>1804</v>
      </c>
      <c r="J1970" t="s">
        <v>2278</v>
      </c>
      <c r="K1970" t="s">
        <v>319</v>
      </c>
    </row>
    <row r="1971" spans="1:23">
      <c r="A1971">
        <v>17</v>
      </c>
      <c r="B1971">
        <v>1</v>
      </c>
      <c r="C1971">
        <v>2014</v>
      </c>
      <c r="D1971" s="3" t="str">
        <f>B1971&amp;"/"&amp;A1971&amp;"/"&amp;C1971</f>
        <v>1/17/2014</v>
      </c>
      <c r="E1971">
        <v>0.14583333333333334</v>
      </c>
      <c r="F1971" t="str">
        <f>I1971&amp;" "&amp;J1971&amp;" "&amp;K1971&amp;" "&amp;L1971&amp;" "&amp;M1971&amp;" "&amp;N1971</f>
        <v>Pick up Louis   </v>
      </c>
      <c r="G1971" t="s">
        <f>TEXT(D1971,"mmm dd")</f>
        <v>1174</v>
      </c>
      <c r="I1971" t="s">
        <v>806</v>
      </c>
      <c r="J1971" t="s">
        <v>807</v>
      </c>
      <c r="K1971" t="inlineStr">
        <is>
          <t>Louis</t>
        </is>
      </c>
    </row>
    <row r="1972" spans="1:23">
      <c r="A1972">
        <v>18</v>
      </c>
      <c r="B1972">
        <v>1</v>
      </c>
      <c r="C1972">
        <v>2014</v>
      </c>
      <c r="D1972" s="3" t="str">
        <f>B1972&amp;"/"&amp;A1972&amp;"/"&amp;C1972</f>
        <v>1/18/2014</v>
      </c>
      <c r="E1972">
        <v>0.91666666666666663</v>
      </c>
      <c r="F1972" t="str">
        <f>I1972&amp;" "&amp;J1972&amp;" "&amp;K1972&amp;" "&amp;L1972&amp;" "&amp;M1972&amp;" "&amp;N1972</f>
        <v>Hem pants    </v>
      </c>
      <c r="G1972" t="s">
        <f>TEXT(D1972,"mmm dd")</f>
        <v>1687</v>
      </c>
      <c r="I1972" t="inlineStr">
        <is>
          <t>Hem</t>
        </is>
      </c>
      <c r="J1972" t="inlineStr">
        <is>
          <t>pants</t>
        </is>
      </c>
    </row>
    <row r="1973" spans="1:23">
      <c r="A1973">
        <v>22</v>
      </c>
      <c r="B1973">
        <v>1</v>
      </c>
      <c r="C1973">
        <v>2014</v>
      </c>
      <c r="D1973" s="3" t="str">
        <f>B1973&amp;"/"&amp;A1973&amp;"/"&amp;C1973</f>
        <v>1/22/2014</v>
      </c>
      <c r="E1973">
        <v>0.52083333333333337</v>
      </c>
      <c r="F1973" t="s">
        <f>I1973&amp;" "&amp;J1973&amp;" "&amp;K1973&amp;" "&amp;L1973&amp;" "&amp;M1973&amp;" "&amp;N1973</f>
        <v>2166</v>
      </c>
      <c r="G1973" t="s">
        <f>TEXT(D1973,"mmm dd")</f>
        <v>1692</v>
      </c>
      <c r="I1973" t="s">
        <v>1981</v>
      </c>
      <c r="J1973">
        <v>220</v>
      </c>
    </row>
    <row r="1974" spans="1:23">
      <c r="A1974">
        <v>24</v>
      </c>
      <c r="B1974">
        <v>1</v>
      </c>
      <c r="C1974">
        <v>2014</v>
      </c>
      <c r="D1974" s="3" t="s">
        <f>B1974&amp;"/"&amp;A1974&amp;"/"&amp;C1974</f>
        <v>2279</v>
      </c>
      <c r="E1974">
        <v>1.0208333333333333</v>
      </c>
      <c r="F1974" t="s">
        <f>I1974&amp;" "&amp;J1974&amp;" "&amp;K1974&amp;" "&amp;L1974&amp;" "&amp;M1974&amp;" "&amp;N1974</f>
        <v>2073</v>
      </c>
      <c r="G1974" t="s">
        <f>TEXT(D1974,"mmm dd")</f>
        <v>1829</v>
      </c>
      <c r="I1974" t="s">
        <v>2074</v>
      </c>
      <c r="J1974" t="s">
        <v>2075</v>
      </c>
      <c r="K1974" t="s">
        <v>2076</v>
      </c>
    </row>
    <row r="1975" spans="1:23">
      <c r="A1975">
        <v>24</v>
      </c>
      <c r="B1975">
        <v>1</v>
      </c>
      <c r="C1975">
        <v>2014</v>
      </c>
      <c r="D1975" s="3" t="s">
        <f>B1975&amp;"/"&amp;A1975&amp;"/"&amp;C1975</f>
        <v>2279</v>
      </c>
      <c r="E1975">
        <v>0.125</v>
      </c>
      <c r="F1975" t="s">
        <f>I1975&amp;" "&amp;J1975&amp;" "&amp;K1975&amp;" "&amp;L1975&amp;" "&amp;M1975&amp;" "&amp;N1975</f>
        <v>2132</v>
      </c>
      <c r="G1975" t="s">
        <f>TEXT(D1975,"mmm dd")</f>
        <v>1829</v>
      </c>
      <c r="I1975" t="s">
        <v>1902</v>
      </c>
      <c r="J1975" t="s">
        <v>2133</v>
      </c>
    </row>
    <row r="1976" spans="1:23">
      <c r="A1976">
        <v>27</v>
      </c>
      <c r="B1976">
        <v>1</v>
      </c>
      <c r="C1976">
        <v>2014</v>
      </c>
      <c r="D1976" s="3" t="str">
        <f>B1976&amp;"/"&amp;A1976&amp;"/"&amp;C1976</f>
        <v>1/27/2014</v>
      </c>
      <c r="E1976">
        <v>0.91666666666666663</v>
      </c>
      <c r="F1976" t="str">
        <f>I1976&amp;" "&amp;J1976&amp;" "&amp;K1976&amp;" "&amp;L1976&amp;" "&amp;M1976&amp;" "&amp;N1976</f>
        <v>Elevator down    </v>
      </c>
      <c r="G1976" t="s">
        <f>TEXT(D1976,"mmm dd")</f>
        <v>1696</v>
      </c>
      <c r="I1976" t="inlineStr">
        <is>
          <t>Elevator</t>
        </is>
      </c>
      <c r="J1976" t="inlineStr">
        <is>
          <t>down</t>
        </is>
      </c>
    </row>
    <row r="1977" spans="1:23">
      <c r="A1977">
        <v>28</v>
      </c>
      <c r="B1977">
        <v>1</v>
      </c>
      <c r="C1977">
        <v>2014</v>
      </c>
      <c r="D1977" s="3" t="str">
        <f>B1977&amp;"/"&amp;A1977&amp;"/"&amp;C1977</f>
        <v>1/28/2014</v>
      </c>
      <c r="E1977">
        <v>0.84375</v>
      </c>
      <c r="F1977" t="s">
        <f>I1977&amp;" "&amp;J1977&amp;" "&amp;K1977&amp;" "&amp;L1977&amp;" "&amp;M1977&amp;" "&amp;N1977</f>
        <v>1840</v>
      </c>
      <c r="G1977" t="s">
        <f>TEXT(D1977,"mmm dd")</f>
        <v>1492</v>
      </c>
      <c r="I1977" t="s">
        <v>1273</v>
      </c>
    </row>
    <row r="1978" spans="1:23">
      <c r="A1978">
        <v>29</v>
      </c>
      <c r="B1978">
        <v>1</v>
      </c>
      <c r="C1978">
        <v>2014</v>
      </c>
      <c r="D1978" s="3" t="str">
        <f>B1978&amp;"/"&amp;A1978&amp;"/"&amp;C1978</f>
        <v>1/29/2014</v>
      </c>
      <c r="E1978">
        <v>1.1041666666666667</v>
      </c>
      <c r="F1978" t="s">
        <f>I1978&amp;" "&amp;J1978&amp;" "&amp;K1978&amp;" "&amp;L1978&amp;" "&amp;M1978&amp;" "&amp;N1978</f>
        <v>2275</v>
      </c>
      <c r="G1978" t="s">
        <f>TEXT(D1978,"mmm dd")</f>
        <v>1497</v>
      </c>
      <c r="I1978" t="s">
        <v>1791</v>
      </c>
      <c r="J1978" t="s">
        <v>1858</v>
      </c>
    </row>
    <row r="1979" spans="1:23">
      <c r="A1979">
        <v>30</v>
      </c>
      <c r="B1979">
        <v>1</v>
      </c>
      <c r="C1979">
        <v>2014</v>
      </c>
      <c r="D1979" s="3" t="s">
        <f>B1979&amp;"/"&amp;A1979&amp;"/"&amp;C1979</f>
        <v>2280</v>
      </c>
      <c r="E1979">
        <v>1.1041666666666667</v>
      </c>
      <c r="F1979" t="s">
        <f>I1979&amp;" "&amp;J1979&amp;" "&amp;K1979&amp;" "&amp;L1979&amp;" "&amp;M1979&amp;" "&amp;N1979</f>
        <v>2033</v>
      </c>
      <c r="G1979" t="s">
        <f>TEXT(D1979,"mmm dd")</f>
        <v>1499</v>
      </c>
      <c r="I1979" t="s">
        <v>1892</v>
      </c>
    </row>
    <row r="1980" spans="1:23">
      <c r="A1980">
        <v>30</v>
      </c>
      <c r="B1980">
        <v>1</v>
      </c>
      <c r="C1980">
        <v>2014</v>
      </c>
      <c r="D1980" s="3" t="s">
        <f>B1980&amp;"/"&amp;A1980&amp;"/"&amp;C1980</f>
        <v>2280</v>
      </c>
      <c r="E1980">
        <v>0.84375</v>
      </c>
      <c r="F1980" t="s">
        <f>I1980&amp;" "&amp;J1980&amp;" "&amp;K1980&amp;" "&amp;L1980&amp;" "&amp;M1980&amp;" "&amp;N1980</f>
        <v>1840</v>
      </c>
      <c r="G1980" t="s">
        <f>TEXT(D1980,"mmm dd")</f>
        <v>1499</v>
      </c>
      <c r="I1980" t="s">
        <v>1273</v>
      </c>
    </row>
    <row r="1981" spans="1:23">
      <c r="A1981">
        <v>31</v>
      </c>
      <c r="B1981">
        <v>1</v>
      </c>
      <c r="C1981">
        <v>2014</v>
      </c>
      <c r="D1981" s="3" t="str">
        <f>B1981&amp;"/"&amp;A1981&amp;"/"&amp;C1981</f>
        <v>1/31/2014</v>
      </c>
      <c r="E1981">
        <v>1</v>
      </c>
      <c r="F1981" t="str">
        <f>I1981&amp;" "&amp;J1981&amp;" "&amp;K1981&amp;" "&amp;L1981&amp;" "&amp;M1981&amp;" "&amp;N1981</f>
        <v>Call re jury duty  </v>
      </c>
      <c r="G1981" t="s">
        <f>TEXT(D1981,"mmm dd")</f>
        <v>1500</v>
      </c>
      <c r="I1981" t="s">
        <v>1028</v>
      </c>
      <c r="J1981" t="s">
        <v>594</v>
      </c>
      <c r="K1981" t="s">
        <v>2281</v>
      </c>
      <c r="L1981" t="s">
        <v>2282</v>
      </c>
    </row>
    <row r="1982" spans="1:23">
      <c r="A1982">
        <v>3</v>
      </c>
      <c r="B1982">
        <v>2</v>
      </c>
      <c r="C1982">
        <v>2014</v>
      </c>
      <c r="D1982" s="3" t="s">
        <f>B1982&amp;"/"&amp;A1982&amp;"/"&amp;C1982</f>
        <v>2283</v>
      </c>
      <c r="E1982">
        <v>0.52083333333333337</v>
      </c>
      <c r="F1982" t="s">
        <f>I1982&amp;" "&amp;J1982&amp;" "&amp;K1982&amp;" "&amp;L1982&amp;" "&amp;M1982&amp;" "&amp;N1982</f>
        <v>2166</v>
      </c>
      <c r="G1982" t="s">
        <f>TEXT(D1982,"mmm dd")</f>
        <v>1501</v>
      </c>
      <c r="I1982" t="s">
        <v>1981</v>
      </c>
      <c r="J1982">
        <v>220</v>
      </c>
    </row>
    <row r="1983" spans="1:23">
      <c r="A1983">
        <v>3</v>
      </c>
      <c r="B1983">
        <v>2</v>
      </c>
      <c r="C1983">
        <v>2014</v>
      </c>
      <c r="D1983" s="3" t="s">
        <f>B1983&amp;"/"&amp;A1983&amp;"/"&amp;C1983</f>
        <v>2283</v>
      </c>
      <c r="E1983">
        <v>1.0416666666666667</v>
      </c>
      <c r="F1983" t="str">
        <f>I1983&amp;" "&amp;J1983&amp;" "&amp;K1983&amp;" "&amp;L1983&amp;" "&amp;M1983&amp;" "&amp;N1983</f>
        <v>Buy Jan a lei  </v>
      </c>
      <c r="G1983" t="s">
        <f>TEXT(D1983,"mmm dd")</f>
        <v>1501</v>
      </c>
      <c r="I1983" t="s">
        <v>1384</v>
      </c>
      <c r="J1983" t="s">
        <v>1819</v>
      </c>
      <c r="K1983" t="s">
        <v>686</v>
      </c>
      <c r="L1983" t="inlineStr">
        <is>
          <t>lei</t>
        </is>
      </c>
    </row>
    <row r="1984" spans="1:23">
      <c r="A1984">
        <v>3</v>
      </c>
      <c r="B1984">
        <v>2</v>
      </c>
      <c r="C1984">
        <v>2014</v>
      </c>
      <c r="D1984" s="3" t="s">
        <f>B1984&amp;"/"&amp;A1984&amp;"/"&amp;C1984</f>
        <v>2283</v>
      </c>
      <c r="E1984">
        <v>0.88541666666666663</v>
      </c>
      <c r="F1984" t="str">
        <f>I1984&amp;" "&amp;J1984&amp;" "&amp;K1984&amp;" "&amp;L1984&amp;" "&amp;M1984&amp;" "&amp;N1984</f>
        <v>Take ratatouille for Sherry -2 </v>
      </c>
      <c r="G1984" t="s">
        <f>TEXT(D1984,"mmm dd")</f>
        <v>1501</v>
      </c>
      <c r="I1984" t="s">
        <v>821</v>
      </c>
      <c r="J1984" t="inlineStr">
        <is>
          <t>ratatouille</t>
        </is>
      </c>
      <c r="K1984" t="s">
        <v>439</v>
      </c>
      <c r="L1984" t="inlineStr">
        <is>
          <t>Sherry</t>
        </is>
      </c>
      <c r="M1984">
        <v>-2</v>
      </c>
    </row>
    <row r="1985" spans="1:23">
      <c r="A1985">
        <v>4</v>
      </c>
      <c r="B1985">
        <v>2</v>
      </c>
      <c r="C1985">
        <v>2014</v>
      </c>
      <c r="D1985" s="3" t="str">
        <f>B1985&amp;"/"&amp;A1985&amp;"/"&amp;C1985</f>
        <v>2/4/2014</v>
      </c>
      <c r="E1985">
        <v>0.84375</v>
      </c>
      <c r="F1985" t="s">
        <f>I1985&amp;" "&amp;J1985&amp;" "&amp;K1985&amp;" "&amp;L1985&amp;" "&amp;M1985&amp;" "&amp;N1985</f>
        <v>1840</v>
      </c>
      <c r="G1985" t="s">
        <f>TEXT(D1985,"mmm dd")</f>
        <v>2284</v>
      </c>
      <c r="I1985" t="s">
        <v>1273</v>
      </c>
    </row>
    <row r="1986" spans="1:23">
      <c r="A1986">
        <v>5</v>
      </c>
      <c r="B1986">
        <v>2</v>
      </c>
      <c r="C1986">
        <v>2014</v>
      </c>
      <c r="D1986" s="3" t="s">
        <f>B1986&amp;"/"&amp;A1986&amp;"/"&amp;C1986</f>
        <v>2285</v>
      </c>
      <c r="E1986">
        <v>0.35416666666666669</v>
      </c>
      <c r="F1986" t="str">
        <f>I1986&amp;" "&amp;J1986&amp;" "&amp;K1986&amp;" "&amp;L1986&amp;" "&amp;M1986&amp;" "&amp;N1986</f>
        <v>Tom pick up for airport </v>
      </c>
      <c r="G1986" t="s">
        <f>TEXT(D1986,"mmm dd")</f>
        <v>1182</v>
      </c>
      <c r="I1986" t="s">
        <v>873</v>
      </c>
      <c r="J1986" t="s">
        <v>1851</v>
      </c>
      <c r="K1986" t="s">
        <v>807</v>
      </c>
      <c r="L1986" t="s">
        <v>439</v>
      </c>
      <c r="M1986" t="s">
        <v>1477</v>
      </c>
    </row>
    <row r="1987" spans="1:23">
      <c r="A1987">
        <v>5</v>
      </c>
      <c r="B1987">
        <v>2</v>
      </c>
      <c r="C1987">
        <v>2014</v>
      </c>
      <c r="D1987" s="3" t="s">
        <f>B1987&amp;"/"&amp;A1987&amp;"/"&amp;C1987</f>
        <v>2285</v>
      </c>
      <c r="E1987">
        <v>0.70833333333333337</v>
      </c>
      <c r="F1987" t="str">
        <f>I1987&amp;" "&amp;J1987&amp;" "&amp;K1987&amp;" "&amp;L1987&amp;" "&amp;M1987&amp;" "&amp;N1987</f>
        <v>arr LAX    </v>
      </c>
      <c r="G1987" t="s">
        <f>TEXT(D1987,"mmm dd")</f>
        <v>1182</v>
      </c>
      <c r="I1987" t="s">
        <v>2286</v>
      </c>
      <c r="J1987" t="inlineStr">
        <is>
          <t>LAX</t>
        </is>
      </c>
    </row>
    <row r="1988" spans="1:23">
      <c r="A1988">
        <v>5</v>
      </c>
      <c r="B1988">
        <v>2</v>
      </c>
      <c r="C1988">
        <v>2014</v>
      </c>
      <c r="D1988" s="3" t="s">
        <f>B1988&amp;"/"&amp;A1988&amp;"/"&amp;C1988</f>
        <v>2285</v>
      </c>
      <c r="E1988">
        <v>0.66666666666666663</v>
      </c>
      <c r="F1988" t="s">
        <f>I1988&amp;" "&amp;J1988&amp;" "&amp;K1988&amp;" "&amp;L1988&amp;" "&amp;M1988&amp;" "&amp;N1988</f>
        <v>1734</v>
      </c>
      <c r="G1988" t="s">
        <f>TEXT(D1988,"mmm dd")</f>
        <v>1182</v>
      </c>
      <c r="I1988" t="s">
        <v>188</v>
      </c>
      <c r="J1988" t="s">
        <v>189</v>
      </c>
    </row>
    <row r="1989" spans="1:23">
      <c r="A1989">
        <v>5</v>
      </c>
      <c r="B1989">
        <v>2</v>
      </c>
      <c r="C1989">
        <v>2014</v>
      </c>
      <c r="D1989" s="3" t="s">
        <f>B1989&amp;"/"&amp;A1989&amp;"/"&amp;C1989</f>
        <v>2285</v>
      </c>
      <c r="E1989">
        <v>0.4513888888888889</v>
      </c>
      <c r="F1989" t="str">
        <f>I1989&amp;" "&amp;J1989&amp;" "&amp;K1989&amp;" "&amp;L1989&amp;" "&amp;M1989&amp;" "&amp;N1989</f>
        <v>Plane leaves    </v>
      </c>
      <c r="G1989" t="s">
        <f>TEXT(D1989,"mmm dd")</f>
        <v>1182</v>
      </c>
      <c r="I1989" t="inlineStr">
        <is>
          <t>Plane</t>
        </is>
      </c>
      <c r="J1989" t="s">
        <v>1322</v>
      </c>
    </row>
    <row r="1990" spans="1:23">
      <c r="A1990">
        <v>12</v>
      </c>
      <c r="B1990">
        <v>2</v>
      </c>
      <c r="C1990">
        <v>2014</v>
      </c>
      <c r="D1990" s="3" t="s">
        <f>B1990&amp;"/"&amp;A1990&amp;"/"&amp;C1990</f>
        <v>2287</v>
      </c>
      <c r="E1990">
        <v>0.35416666666666669</v>
      </c>
      <c r="F1990" t="str">
        <f>I1990&amp;" "&amp;J1990&amp;" "&amp;K1990&amp;" "&amp;L1990&amp;" "&amp;M1990&amp;" "&amp;N1990</f>
        <v>Tom to pick up  </v>
      </c>
      <c r="G1990" t="s">
        <f>TEXT(D1990,"mmm dd")</f>
        <v>1194</v>
      </c>
      <c r="I1990" t="s">
        <v>873</v>
      </c>
      <c r="J1990" t="s">
        <v>449</v>
      </c>
      <c r="K1990" t="s">
        <v>1851</v>
      </c>
      <c r="L1990" t="s">
        <v>807</v>
      </c>
    </row>
    <row r="1991" spans="1:23">
      <c r="A1991">
        <v>12</v>
      </c>
      <c r="B1991">
        <v>2</v>
      </c>
      <c r="C1991">
        <v>2014</v>
      </c>
      <c r="D1991" s="3" t="s">
        <f>B1991&amp;"/"&amp;A1991&amp;"/"&amp;C1991</f>
        <v>2287</v>
      </c>
      <c r="E1991">
        <v>0.75</v>
      </c>
      <c r="F1991" t="s">
        <f>I1991&amp;" "&amp;J1991&amp;" "&amp;K1991&amp;" "&amp;L1991&amp;" "&amp;M1991&amp;" "&amp;N1991</f>
        <v>2288</v>
      </c>
      <c r="G1991" t="s">
        <f>TEXT(D1991,"mmm dd")</f>
        <v>1194</v>
      </c>
      <c r="I1991" t="s">
        <v>1970</v>
      </c>
      <c r="J1991" t="s">
        <v>842</v>
      </c>
    </row>
    <row r="1992" spans="1:23">
      <c r="A1992">
        <v>13</v>
      </c>
      <c r="B1992">
        <v>2</v>
      </c>
      <c r="C1992">
        <v>2014</v>
      </c>
      <c r="D1992" s="3" t="str">
        <f>B1992&amp;"/"&amp;A1992&amp;"/"&amp;C1992</f>
        <v>2/13/2014</v>
      </c>
      <c r="E1992">
        <v>0.54166666666666663</v>
      </c>
      <c r="F1992" t="s">
        <f>I1992&amp;" "&amp;J1992&amp;" "&amp;K1992&amp;" "&amp;L1992&amp;" "&amp;M1992&amp;" "&amp;N1992</f>
        <v>2274</v>
      </c>
      <c r="G1992" t="s">
        <f>TEXT(D1992,"mmm dd")</f>
        <v>1198</v>
      </c>
      <c r="I1992" t="s">
        <v>1981</v>
      </c>
      <c r="J1992">
        <v>325</v>
      </c>
    </row>
    <row r="1993" spans="1:23">
      <c r="A1993">
        <v>17</v>
      </c>
      <c r="B1993">
        <v>2</v>
      </c>
      <c r="C1993">
        <v>2014</v>
      </c>
      <c r="D1993" s="3" t="str">
        <f>B1993&amp;"/"&amp;A1993&amp;"/"&amp;C1993</f>
        <v>2/17/2014</v>
      </c>
      <c r="E1993" t="inlineStr">
        <is>
          <t>12:All day00 AM</t>
        </is>
      </c>
      <c r="F1993" t="str">
        <f>I1993&amp;" "&amp;J1993&amp;" "&amp;K1993&amp;" "&amp;L1993&amp;" "&amp;M1993&amp;" "&amp;N1993</f>
        <v>Arrive home    </v>
      </c>
      <c r="G1993" t="s">
        <f>TEXT(D1993,"mmm dd")</f>
        <v>1521</v>
      </c>
      <c r="I1993" t="s">
        <v>1450</v>
      </c>
      <c r="J1993" t="s">
        <v>549</v>
      </c>
    </row>
    <row r="1994" spans="1:23">
      <c r="A1994">
        <v>19</v>
      </c>
      <c r="B1994">
        <v>2</v>
      </c>
      <c r="C1994">
        <v>2014</v>
      </c>
      <c r="D1994" s="3" t="s">
        <f>B1994&amp;"/"&amp;A1994&amp;"/"&amp;C1994</f>
        <v>2289</v>
      </c>
      <c r="E1994">
        <v>1</v>
      </c>
      <c r="F1994" t="s">
        <f>I1994&amp;" "&amp;J1994&amp;" "&amp;K1994&amp;" "&amp;L1994&amp;" "&amp;M1994&amp;" "&amp;N1994</f>
        <v>2132</v>
      </c>
      <c r="G1994" t="s">
        <f>TEXT(D1994,"mmm dd")</f>
        <v>1209</v>
      </c>
      <c r="I1994" t="s">
        <v>1902</v>
      </c>
      <c r="J1994" t="s">
        <v>2133</v>
      </c>
    </row>
    <row r="1995" spans="1:23">
      <c r="A1995">
        <v>19</v>
      </c>
      <c r="B1995">
        <v>2</v>
      </c>
      <c r="C1995">
        <v>2014</v>
      </c>
      <c r="D1995" s="3" t="s">
        <f>B1995&amp;"/"&amp;A1995&amp;"/"&amp;C1995</f>
        <v>2289</v>
      </c>
      <c r="E1995">
        <v>1.1041666666666667</v>
      </c>
      <c r="F1995" t="str">
        <f>I1995&amp;" "&amp;J1995&amp;" "&amp;K1995&amp;" "&amp;L1995&amp;" "&amp;M1995&amp;" "&amp;N1995</f>
        <v>Kristi Murakami exam   </v>
      </c>
      <c r="G1995" t="s">
        <f>TEXT(D1995,"mmm dd")</f>
        <v>1209</v>
      </c>
      <c r="I1995" t="inlineStr">
        <is>
          <t>Kristi</t>
        </is>
      </c>
      <c r="J1995" t="inlineStr">
        <is>
          <t>Murakami</t>
        </is>
      </c>
      <c r="K1995" t="s">
        <v>2290</v>
      </c>
    </row>
    <row r="1996" spans="1:23">
      <c r="A1996">
        <v>19</v>
      </c>
      <c r="B1996">
        <v>2</v>
      </c>
      <c r="C1996">
        <v>2014</v>
      </c>
      <c r="D1996" s="3" t="s">
        <f>B1996&amp;"/"&amp;A1996&amp;"/"&amp;C1996</f>
        <v>2289</v>
      </c>
      <c r="E1996">
        <v>0.52083333333333337</v>
      </c>
      <c r="F1996" t="s">
        <f>I1996&amp;" "&amp;J1996&amp;" "&amp;K1996&amp;" "&amp;L1996&amp;" "&amp;M1996&amp;" "&amp;N1996</f>
        <v>2166</v>
      </c>
      <c r="G1996" t="s">
        <f>TEXT(D1996,"mmm dd")</f>
        <v>1209</v>
      </c>
      <c r="I1996" t="s">
        <v>1981</v>
      </c>
      <c r="J1996">
        <v>220</v>
      </c>
    </row>
    <row r="1997" spans="1:23">
      <c r="A1997">
        <v>19</v>
      </c>
      <c r="B1997">
        <v>2</v>
      </c>
      <c r="C1997">
        <v>2014</v>
      </c>
      <c r="D1997" s="3" t="s">
        <f>B1997&amp;"/"&amp;A1997&amp;"/"&amp;C1997</f>
        <v>2289</v>
      </c>
      <c r="E1997">
        <v>0.14583333333333334</v>
      </c>
      <c r="F1997" t="s">
        <f>I1997&amp;" "&amp;J1997&amp;" "&amp;K1997&amp;" "&amp;L1997&amp;" "&amp;M1997&amp;" "&amp;N1997</f>
        <v>2291</v>
      </c>
      <c r="G1997" t="s">
        <f>TEXT(D1997,"mmm dd")</f>
        <v>1209</v>
      </c>
      <c r="I1997" t="s">
        <v>1858</v>
      </c>
    </row>
    <row r="1998" spans="1:23">
      <c r="A1998">
        <v>20</v>
      </c>
      <c r="B1998">
        <v>2</v>
      </c>
      <c r="C1998">
        <v>2014</v>
      </c>
      <c r="D1998" s="3" t="s">
        <f>B1998&amp;"/"&amp;A1998&amp;"/"&amp;C1998</f>
        <v>2292</v>
      </c>
      <c r="E1998">
        <v>1.0833333333333333</v>
      </c>
      <c r="F1998" t="str">
        <f>I1998&amp;" "&amp;J1998&amp;" "&amp;K1998&amp;" "&amp;L1998&amp;" "&amp;M1998&amp;" "&amp;N1998</f>
        <v>Show Flatland to 205  </v>
      </c>
      <c r="G1998" t="s">
        <f>TEXT(D1998,"mmm dd")</f>
        <v>1525</v>
      </c>
      <c r="I1998" t="s">
        <v>1547</v>
      </c>
      <c r="J1998" t="inlineStr">
        <is>
          <t>Flatland</t>
        </is>
      </c>
      <c r="K1998" t="s">
        <v>449</v>
      </c>
      <c r="L1998">
        <v>205</v>
      </c>
    </row>
    <row r="1999" spans="1:23">
      <c r="A1999">
        <v>20</v>
      </c>
      <c r="B1999">
        <v>2</v>
      </c>
      <c r="C1999">
        <v>2014</v>
      </c>
      <c r="D1999" s="3" t="s">
        <f>B1999&amp;"/"&amp;A1999&amp;"/"&amp;C1999</f>
        <v>2292</v>
      </c>
      <c r="E1999">
        <v>1.0208333333333333</v>
      </c>
      <c r="F1999" t="s">
        <f>I1999&amp;" "&amp;J1999&amp;" "&amp;K1999&amp;" "&amp;L1999&amp;" "&amp;M1999&amp;" "&amp;N1999</f>
        <v>2033</v>
      </c>
      <c r="G1999" t="s">
        <f>TEXT(D1999,"mmm dd")</f>
        <v>1525</v>
      </c>
      <c r="I1999" t="s">
        <v>1892</v>
      </c>
    </row>
    <row r="2000" spans="1:23">
      <c r="A2000">
        <v>20</v>
      </c>
      <c r="B2000">
        <v>2</v>
      </c>
      <c r="C2000">
        <v>2014</v>
      </c>
      <c r="D2000" s="3" t="s">
        <f>B2000&amp;"/"&amp;A2000&amp;"/"&amp;C2000</f>
        <v>2292</v>
      </c>
      <c r="E2000">
        <v>0.89583333333333337</v>
      </c>
      <c r="F2000" t="s">
        <f>I2000&amp;" "&amp;J2000&amp;" "&amp;K2000&amp;" "&amp;L2000&amp;" "&amp;M2000&amp;" "&amp;N2000</f>
        <v>2258</v>
      </c>
      <c r="G2000" t="s">
        <f>TEXT(D2000,"mmm dd")</f>
        <v>1525</v>
      </c>
      <c r="I2000" t="s">
        <v>2259</v>
      </c>
    </row>
    <row r="2001" spans="1:23">
      <c r="A2001">
        <v>20</v>
      </c>
      <c r="B2001">
        <v>2</v>
      </c>
      <c r="C2001">
        <v>2014</v>
      </c>
      <c r="D2001" s="3" t="s">
        <f>B2001&amp;"/"&amp;A2001&amp;"/"&amp;C2001</f>
        <v>2292</v>
      </c>
      <c r="E2001">
        <v>0.54166666666666663</v>
      </c>
      <c r="F2001" t="s">
        <f>I2001&amp;" "&amp;J2001&amp;" "&amp;K2001&amp;" "&amp;L2001&amp;" "&amp;M2001&amp;" "&amp;N2001</f>
        <v>2274</v>
      </c>
      <c r="G2001" t="s">
        <f>TEXT(D2001,"mmm dd")</f>
        <v>1525</v>
      </c>
      <c r="I2001" t="s">
        <v>1981</v>
      </c>
      <c r="J2001">
        <v>325</v>
      </c>
    </row>
    <row r="2002" spans="1:23">
      <c r="A2002">
        <v>21</v>
      </c>
      <c r="B2002">
        <v>2</v>
      </c>
      <c r="C2002">
        <v>2014</v>
      </c>
      <c r="D2002" s="3" t="str">
        <f>B2002&amp;"/"&amp;A2002&amp;"/"&amp;C2002</f>
        <v>2/21/2014</v>
      </c>
      <c r="E2002">
        <v>0.52083333333333337</v>
      </c>
      <c r="F2002" t="s">
        <f>I2002&amp;" "&amp;J2002&amp;" "&amp;K2002&amp;" "&amp;L2002&amp;" "&amp;M2002&amp;" "&amp;N2002</f>
        <v>2166</v>
      </c>
      <c r="G2002" t="s">
        <f>TEXT(D2002,"mmm dd")</f>
        <v>1530</v>
      </c>
      <c r="I2002" t="s">
        <v>1981</v>
      </c>
      <c r="J2002">
        <v>220</v>
      </c>
    </row>
    <row r="2003" spans="1:23">
      <c r="A2003">
        <v>25</v>
      </c>
      <c r="B2003">
        <v>2</v>
      </c>
      <c r="C2003">
        <v>2014</v>
      </c>
      <c r="D2003" s="3" t="str">
        <f>B2003&amp;"/"&amp;A2003&amp;"/"&amp;C2003</f>
        <v>2/25/2014</v>
      </c>
      <c r="E2003">
        <v>1.0208333333333333</v>
      </c>
      <c r="F2003" t="s">
        <f>I2003&amp;" "&amp;J2003&amp;" "&amp;K2003&amp;" "&amp;L2003&amp;" "&amp;M2003&amp;" "&amp;N2003</f>
        <v>2153</v>
      </c>
      <c r="G2003" t="s">
        <f>TEXT(D2003,"mmm dd")</f>
        <v>1216</v>
      </c>
      <c r="I2003" t="s">
        <v>813</v>
      </c>
      <c r="J2003" t="s">
        <v>755</v>
      </c>
      <c r="K2003" t="s">
        <v>1266</v>
      </c>
    </row>
    <row r="2004" spans="1:23">
      <c r="A2004">
        <v>26</v>
      </c>
      <c r="B2004">
        <v>2</v>
      </c>
      <c r="C2004">
        <v>2014</v>
      </c>
      <c r="D2004" s="3" t="s">
        <f>B2004&amp;"/"&amp;A2004&amp;"/"&amp;C2004</f>
        <v>2293</v>
      </c>
      <c r="E2004">
        <v>0.75</v>
      </c>
      <c r="F2004" t="s">
        <f>I2004&amp;" "&amp;J2004&amp;" "&amp;K2004&amp;" "&amp;L2004&amp;" "&amp;M2004&amp;" "&amp;N2004</f>
        <v>2288</v>
      </c>
      <c r="G2004" t="s">
        <f>TEXT(D2004,"mmm dd")</f>
        <v>1219</v>
      </c>
      <c r="I2004" t="s">
        <v>1970</v>
      </c>
      <c r="J2004" t="s">
        <v>842</v>
      </c>
    </row>
    <row r="2005" spans="1:23">
      <c r="A2005">
        <v>26</v>
      </c>
      <c r="B2005">
        <v>2</v>
      </c>
      <c r="C2005">
        <v>2014</v>
      </c>
      <c r="D2005" s="3" t="s">
        <f>B2005&amp;"/"&amp;A2005&amp;"/"&amp;C2005</f>
        <v>2293</v>
      </c>
      <c r="E2005">
        <v>0.75</v>
      </c>
      <c r="F2005" t="s">
        <f>I2005&amp;" "&amp;J2005&amp;" "&amp;K2005&amp;" "&amp;L2005&amp;" "&amp;M2005&amp;" "&amp;N2005</f>
        <v>2288</v>
      </c>
      <c r="G2005" t="s">
        <f>TEXT(D2005,"mmm dd")</f>
        <v>1219</v>
      </c>
      <c r="I2005" t="s">
        <v>1970</v>
      </c>
      <c r="J2005" t="s">
        <v>842</v>
      </c>
    </row>
    <row r="2006" spans="1:23">
      <c r="A2006">
        <v>27</v>
      </c>
      <c r="B2006">
        <v>2</v>
      </c>
      <c r="C2006">
        <v>2014</v>
      </c>
      <c r="D2006" s="3" t="str">
        <f>B2006&amp;"/"&amp;A2006&amp;"/"&amp;C2006</f>
        <v>2/27/2014</v>
      </c>
      <c r="E2006">
        <v>0.125</v>
      </c>
      <c r="F2006" t="str">
        <f>I2006&amp;" "&amp;J2006&amp;" "&amp;K2006&amp;" "&amp;L2006&amp;" "&amp;M2006&amp;" "&amp;N2006</f>
        <v>Meet Provost    </v>
      </c>
      <c r="G2006" t="s">
        <f>TEXT(D2006,"mmm dd")</f>
        <v>1223</v>
      </c>
      <c r="I2006" t="s">
        <v>300</v>
      </c>
      <c r="J2006" t="s">
        <v>2189</v>
      </c>
    </row>
    <row r="2007" spans="1:23">
      <c r="A2007">
        <v>28</v>
      </c>
      <c r="B2007">
        <v>2</v>
      </c>
      <c r="C2007">
        <v>2014</v>
      </c>
      <c r="D2007" s="3" t="s">
        <f>B2007&amp;"/"&amp;A2007&amp;"/"&amp;C2007</f>
        <v>2294</v>
      </c>
      <c r="E2007">
        <v>0.84722222222222221</v>
      </c>
      <c r="F2007" t="s">
        <f>I2007&amp;" "&amp;J2007&amp;" "&amp;K2007&amp;" "&amp;L2007&amp;" "&amp;M2007&amp;" "&amp;N2007</f>
        <v>1840</v>
      </c>
      <c r="G2007" t="s">
        <f>TEXT(D2007,"mmm dd")</f>
        <v>1227</v>
      </c>
      <c r="I2007" t="s">
        <v>1273</v>
      </c>
    </row>
    <row r="2008" spans="1:23">
      <c r="A2008">
        <v>28</v>
      </c>
      <c r="B2008">
        <v>2</v>
      </c>
      <c r="C2008">
        <v>2014</v>
      </c>
      <c r="D2008" s="3" t="s">
        <f>B2008&amp;"/"&amp;A2008&amp;"/"&amp;C2008</f>
        <v>2294</v>
      </c>
      <c r="E2008">
        <v>1</v>
      </c>
      <c r="F2008" t="str">
        <f>I2008&amp;" "&amp;J2008&amp;" "&amp;K2008&amp;" "&amp;L2008&amp;" "&amp;M2008&amp;" "&amp;N2008</f>
        <v>Meet Mary\  Margaret\  Mary</v>
      </c>
      <c r="G2008" t="s">
        <f>TEXT(D2008,"mmm dd")</f>
        <v>1227</v>
      </c>
      <c r="I2008" t="s">
        <v>300</v>
      </c>
      <c r="J2008" t="inlineStr">
        <is>
          <t>Mary\</t>
        </is>
      </c>
      <c r="L2008" t="inlineStr">
        <is>
          <t>Margaret\</t>
        </is>
      </c>
      <c r="N2008" t="s">
        <v>410</v>
      </c>
    </row>
    <row r="2009" spans="1:23">
      <c r="A2009">
        <v>2</v>
      </c>
      <c r="B2009">
        <v>3</v>
      </c>
      <c r="C2009">
        <v>2014</v>
      </c>
      <c r="D2009" s="3" t="str">
        <f>B2009&amp;"/"&amp;A2009&amp;"/"&amp;C2009</f>
        <v>3/2/2014</v>
      </c>
      <c r="E2009">
        <v>0.27083333333333331</v>
      </c>
      <c r="F2009" t="s">
        <f>I2009&amp;" "&amp;J2009&amp;" "&amp;K2009&amp;" "&amp;L2009&amp;" "&amp;M2009&amp;" "&amp;N2009</f>
        <v>1840</v>
      </c>
      <c r="G2009" t="s">
        <f>TEXT(D2009,"mmm dd")</f>
        <v>1535</v>
      </c>
      <c r="I2009" t="s">
        <v>1273</v>
      </c>
    </row>
    <row r="2010" spans="1:23">
      <c r="A2010">
        <v>4</v>
      </c>
      <c r="B2010">
        <v>3</v>
      </c>
      <c r="C2010">
        <v>2014</v>
      </c>
      <c r="D2010" s="3" t="s">
        <f>B2010&amp;"/"&amp;A2010&amp;"/"&amp;C2010</f>
        <v>2295</v>
      </c>
      <c r="E2010">
        <v>0.875</v>
      </c>
      <c r="F2010" t="str">
        <f>I2010&amp;" "&amp;J2010&amp;" "&amp;K2010&amp;" "&amp;L2010&amp;" "&amp;M2010&amp;" "&amp;N2010</f>
        <v>Court jury duty   </v>
      </c>
      <c r="G2010" t="s">
        <f>TEXT(D2010,"mmm dd")</f>
        <v>1538</v>
      </c>
      <c r="I2010" t="s">
        <v>1996</v>
      </c>
      <c r="J2010" t="s">
        <v>2281</v>
      </c>
      <c r="K2010" t="s">
        <v>2282</v>
      </c>
    </row>
    <row r="2011" spans="1:23">
      <c r="A2011">
        <v>4</v>
      </c>
      <c r="B2011">
        <v>3</v>
      </c>
      <c r="C2011">
        <v>2014</v>
      </c>
      <c r="D2011" s="3" t="s">
        <f>B2011&amp;"/"&amp;A2011&amp;"/"&amp;C2011</f>
        <v>2295</v>
      </c>
      <c r="E2011">
        <v>0.26041666666666669</v>
      </c>
      <c r="F2011" t="str">
        <f>I2011&amp;" "&amp;J2011&amp;" "&amp;K2011&amp;" "&amp;L2011&amp;" "&amp;M2011&amp;" "&amp;N2011</f>
        <v>Report for jury duty CALL </v>
      </c>
      <c r="G2011" t="s">
        <f>TEXT(D2011,"mmm dd")</f>
        <v>1538</v>
      </c>
      <c r="I2011" t="inlineStr">
        <is>
          <t>Report</t>
        </is>
      </c>
      <c r="J2011" t="s">
        <v>439</v>
      </c>
      <c r="K2011" t="s">
        <v>2281</v>
      </c>
      <c r="L2011" t="s">
        <v>2282</v>
      </c>
      <c r="M2011" t="inlineStr">
        <is>
          <t>CALL</t>
        </is>
      </c>
    </row>
    <row r="2012" spans="1:23">
      <c r="A2012">
        <v>4</v>
      </c>
      <c r="B2012">
        <v>3</v>
      </c>
      <c r="C2012">
        <v>2014</v>
      </c>
      <c r="D2012" s="3" t="s">
        <f>B2012&amp;"/"&amp;A2012&amp;"/"&amp;C2012</f>
        <v>2295</v>
      </c>
      <c r="E2012">
        <v>0.54166666666666663</v>
      </c>
      <c r="F2012" t="str">
        <f>I2012&amp;" "&amp;J2012&amp;" "&amp;K2012&amp;" "&amp;L2012&amp;" "&amp;M2012&amp;" "&amp;N2012</f>
        <v>ED 325   MP </v>
      </c>
      <c r="G2012" t="s">
        <f>TEXT(D2012,"mmm dd")</f>
        <v>1538</v>
      </c>
      <c r="I2012" t="s">
        <v>1981</v>
      </c>
      <c r="J2012">
        <v>325</v>
      </c>
      <c r="M2012" t="s">
        <v>1664</v>
      </c>
    </row>
    <row r="2013" spans="1:23">
      <c r="A2013">
        <v>5</v>
      </c>
      <c r="B2013">
        <v>3</v>
      </c>
      <c r="C2013">
        <v>2014</v>
      </c>
      <c r="D2013" s="3" t="s">
        <f>B2013&amp;"/"&amp;A2013&amp;"/"&amp;C2013</f>
        <v>2296</v>
      </c>
      <c r="E2013">
        <v>0.22916666666666666</v>
      </c>
      <c r="F2013" t="s">
        <f>I2013&amp;" "&amp;J2013&amp;" "&amp;K2013&amp;" "&amp;L2013&amp;" "&amp;M2013&amp;" "&amp;N2013</f>
        <v>1721</v>
      </c>
      <c r="G2013" t="s">
        <f>TEXT(D2013,"mmm dd")</f>
        <v>1235</v>
      </c>
      <c r="I2013" t="s">
        <v>1722</v>
      </c>
      <c r="J2013" t="s">
        <v>1723</v>
      </c>
    </row>
    <row r="2014" spans="1:23">
      <c r="A2014">
        <v>5</v>
      </c>
      <c r="B2014">
        <v>3</v>
      </c>
      <c r="C2014">
        <v>2014</v>
      </c>
      <c r="D2014" s="3" t="s">
        <f>B2014&amp;"/"&amp;A2014&amp;"/"&amp;C2014</f>
        <v>2296</v>
      </c>
      <c r="E2014" t="s">
        <v>42</v>
      </c>
      <c r="F2014" t="s">
        <f>I2014&amp;" "&amp;J2014&amp;" "&amp;K2014&amp;" "&amp;L2014&amp;" "&amp;M2014&amp;" "&amp;N2014</f>
        <v>1215</v>
      </c>
      <c r="G2014" t="s">
        <f>TEXT(D2014,"mmm dd")</f>
        <v>1235</v>
      </c>
      <c r="I2014" t="s">
        <v>1217</v>
      </c>
      <c r="J2014" t="s">
        <v>1218</v>
      </c>
    </row>
    <row r="2015" spans="1:23">
      <c r="A2015">
        <v>5</v>
      </c>
      <c r="B2015">
        <v>3</v>
      </c>
      <c r="C2015">
        <v>2014</v>
      </c>
      <c r="D2015" s="3" t="s">
        <f>B2015&amp;"/"&amp;A2015&amp;"/"&amp;C2015</f>
        <v>2296</v>
      </c>
      <c r="E2015">
        <v>0.91666666666666663</v>
      </c>
      <c r="F2015" t="s">
        <f>I2015&amp;" "&amp;J2015&amp;" "&amp;K2015&amp;" "&amp;L2015&amp;" "&amp;M2015&amp;" "&amp;N2015</f>
        <v>2060</v>
      </c>
      <c r="G2015" t="s">
        <f>TEXT(D2015,"mmm dd")</f>
        <v>1235</v>
      </c>
      <c r="I2015" t="s">
        <v>1996</v>
      </c>
    </row>
    <row r="2016" spans="1:23">
      <c r="A2016">
        <v>5</v>
      </c>
      <c r="B2016">
        <v>3</v>
      </c>
      <c r="C2016">
        <v>2014</v>
      </c>
      <c r="D2016" s="3" t="s">
        <f>B2016&amp;"/"&amp;A2016&amp;"/"&amp;C2016</f>
        <v>2296</v>
      </c>
      <c r="E2016">
        <v>0.66666666666666663</v>
      </c>
      <c r="F2016" t="s">
        <f>I2016&amp;" "&amp;J2016&amp;" "&amp;K2016&amp;" "&amp;L2016&amp;" "&amp;M2016&amp;" "&amp;N2016</f>
        <v>1734</v>
      </c>
      <c r="G2016" t="s">
        <f>TEXT(D2016,"mmm dd")</f>
        <v>1235</v>
      </c>
      <c r="I2016" t="s">
        <v>188</v>
      </c>
      <c r="J2016" t="s">
        <v>189</v>
      </c>
    </row>
    <row r="2017" spans="1:23">
      <c r="A2017">
        <v>6</v>
      </c>
      <c r="B2017">
        <v>3</v>
      </c>
      <c r="C2017">
        <v>2014</v>
      </c>
      <c r="D2017" s="3" t="s">
        <f>B2017&amp;"/"&amp;A2017&amp;"/"&amp;C2017</f>
        <v>2297</v>
      </c>
      <c r="E2017">
        <v>0.95833333333333337</v>
      </c>
      <c r="F2017" t="str">
        <f>I2017&amp;" "&amp;J2017&amp;" "&amp;K2017&amp;" "&amp;L2017&amp;" "&amp;M2017&amp;" "&amp;N2017</f>
        <v>325 to 102   </v>
      </c>
      <c r="G2017" t="s">
        <f>TEXT(D2017,"mmm dd")</f>
        <v>1237</v>
      </c>
      <c r="I2017">
        <v>325</v>
      </c>
      <c r="J2017" t="s">
        <v>449</v>
      </c>
      <c r="K2017">
        <v>102</v>
      </c>
    </row>
    <row r="2018" spans="1:23">
      <c r="A2018">
        <v>6</v>
      </c>
      <c r="B2018">
        <v>3</v>
      </c>
      <c r="C2018">
        <v>2014</v>
      </c>
      <c r="D2018" s="3" t="s">
        <f>B2018&amp;"/"&amp;A2018&amp;"/"&amp;C2018</f>
        <v>2297</v>
      </c>
      <c r="E2018">
        <v>1.0625</v>
      </c>
      <c r="F2018" t="s">
        <f>I2018&amp;" "&amp;J2018&amp;" "&amp;K2018&amp;" "&amp;L2018&amp;" "&amp;M2018&amp;" "&amp;N2018</f>
        <v>2033</v>
      </c>
      <c r="G2018" t="s">
        <f>TEXT(D2018,"mmm dd")</f>
        <v>1237</v>
      </c>
      <c r="I2018" t="s">
        <v>1892</v>
      </c>
    </row>
    <row r="2019" spans="1:23">
      <c r="A2019">
        <v>6</v>
      </c>
      <c r="B2019">
        <v>3</v>
      </c>
      <c r="C2019">
        <v>2014</v>
      </c>
      <c r="D2019" s="3" t="s">
        <f>B2019&amp;"/"&amp;A2019&amp;"/"&amp;C2019</f>
        <v>2297</v>
      </c>
      <c r="E2019">
        <v>0.84375</v>
      </c>
      <c r="F2019" t="s">
        <f>I2019&amp;" "&amp;J2019&amp;" "&amp;K2019&amp;" "&amp;L2019&amp;" "&amp;M2019&amp;" "&amp;N2019</f>
        <v>1840</v>
      </c>
      <c r="G2019" t="s">
        <f>TEXT(D2019,"mmm dd")</f>
        <v>1237</v>
      </c>
      <c r="I2019" t="s">
        <v>1273</v>
      </c>
    </row>
    <row r="2020" spans="1:23">
      <c r="A2020">
        <v>8</v>
      </c>
      <c r="B2020">
        <v>3</v>
      </c>
      <c r="C2020">
        <v>2014</v>
      </c>
      <c r="D2020" s="3" t="str">
        <f>B2020&amp;"/"&amp;A2020&amp;"/"&amp;C2020</f>
        <v>3/8/2014</v>
      </c>
      <c r="E2020">
        <v>1.0208333333333333</v>
      </c>
      <c r="F2020" t="str">
        <f>I2020&amp;" "&amp;J2020&amp;" "&amp;K2020&amp;" "&amp;L2020&amp;" "&amp;M2020&amp;" "&amp;N2020</f>
        <v>Marion Chang funeral   </v>
      </c>
      <c r="G2020" t="s">
        <f>TEXT(D2020,"mmm dd")</f>
        <v>1542</v>
      </c>
      <c r="I2020" t="inlineStr">
        <is>
          <t>Marion</t>
        </is>
      </c>
      <c r="J2020" t="s">
        <v>891</v>
      </c>
      <c r="K2020" t="s">
        <v>1116</v>
      </c>
    </row>
    <row r="2021" spans="1:23">
      <c r="A2021">
        <v>11</v>
      </c>
      <c r="B2021">
        <v>3</v>
      </c>
      <c r="C2021">
        <v>2014</v>
      </c>
      <c r="D2021" s="3" t="s">
        <f>B2021&amp;"/"&amp;A2021&amp;"/"&amp;C2021</f>
        <v>2298</v>
      </c>
      <c r="E2021">
        <v>0.83333333333333337</v>
      </c>
      <c r="F2021" t="s">
        <f>I2021&amp;" "&amp;J2021&amp;" "&amp;K2021&amp;" "&amp;L2021&amp;" "&amp;M2021&amp;" "&amp;N2021</f>
        <v>2299</v>
      </c>
      <c r="G2021" t="s">
        <f>TEXT(D2021,"mmm dd")</f>
        <v>1550</v>
      </c>
      <c r="I2021" t="s">
        <v>1273</v>
      </c>
      <c r="J2021" t="s">
        <v>53</v>
      </c>
      <c r="K2021" t="s">
        <v>218</v>
      </c>
      <c r="L2021" t="s">
        <v>314</v>
      </c>
    </row>
    <row r="2022" spans="1:23">
      <c r="A2022">
        <v>11</v>
      </c>
      <c r="B2022">
        <v>3</v>
      </c>
      <c r="C2022">
        <v>2014</v>
      </c>
      <c r="D2022" s="3" t="s">
        <f>B2022&amp;"/"&amp;A2022&amp;"/"&amp;C2022</f>
        <v>2298</v>
      </c>
      <c r="E2022">
        <v>0.60416666666666663</v>
      </c>
      <c r="F2022" t="str">
        <f>I2022&amp;" "&amp;J2022&amp;" "&amp;K2022&amp;" "&amp;L2022&amp;" "&amp;M2022&amp;" "&amp;N2022</f>
        <v>Retired Clergy lunch   </v>
      </c>
      <c r="G2022" t="s">
        <f>TEXT(D2022,"mmm dd")</f>
        <v>1550</v>
      </c>
      <c r="I2022" t="s">
        <v>2250</v>
      </c>
      <c r="J2022" t="s">
        <v>46</v>
      </c>
      <c r="K2022" t="s">
        <v>440</v>
      </c>
    </row>
    <row r="2023" spans="1:23">
      <c r="A2023">
        <v>11</v>
      </c>
      <c r="B2023">
        <v>3</v>
      </c>
      <c r="C2023">
        <v>2014</v>
      </c>
      <c r="D2023" s="3" t="s">
        <f>B2023&amp;"/"&amp;A2023&amp;"/"&amp;C2023</f>
        <v>2298</v>
      </c>
      <c r="E2023">
        <v>1</v>
      </c>
      <c r="F2023" t="str">
        <f>I2023&amp;" "&amp;J2023&amp;" "&amp;K2023&amp;" "&amp;L2023&amp;" "&amp;M2023&amp;" "&amp;N2023</f>
        <v>Meet re signature assignment?  </v>
      </c>
      <c r="G2023" t="s">
        <f>TEXT(D2023,"mmm dd")</f>
        <v>1550</v>
      </c>
      <c r="I2023" t="s">
        <v>300</v>
      </c>
      <c r="J2023" t="s">
        <v>594</v>
      </c>
      <c r="K2023" t="s">
        <v>2159</v>
      </c>
      <c r="L2023" t="inlineStr">
        <is>
          <t>assignment?</t>
        </is>
      </c>
    </row>
    <row r="2024" spans="1:23">
      <c r="A2024">
        <v>13</v>
      </c>
      <c r="B2024">
        <v>3</v>
      </c>
      <c r="C2024">
        <v>2014</v>
      </c>
      <c r="D2024" s="3" t="str">
        <f>B2024&amp;"/"&amp;A2024&amp;"/"&amp;C2024</f>
        <v>3/13/2014</v>
      </c>
      <c r="E2024">
        <v>0.14583333333333334</v>
      </c>
      <c r="F2024" t="str">
        <f>I2024&amp;" "&amp;J2024&amp;" "&amp;K2024&amp;" "&amp;L2024&amp;" "&amp;M2024&amp;" "&amp;N2024</f>
        <v>Fr. Francis Herzel   </v>
      </c>
      <c r="G2024" t="s">
        <f>TEXT(D2024,"mmm dd")</f>
        <v>1553</v>
      </c>
      <c r="I2024" t="s">
        <v>2300</v>
      </c>
      <c r="J2024" t="inlineStr">
        <is>
          <t>Francis</t>
        </is>
      </c>
      <c r="K2024" t="inlineStr">
        <is>
          <t>Herzel</t>
        </is>
      </c>
    </row>
    <row r="2025" spans="1:23">
      <c r="A2025">
        <v>19</v>
      </c>
      <c r="B2025">
        <v>3</v>
      </c>
      <c r="C2025">
        <v>2014</v>
      </c>
      <c r="D2025" s="3" t="str">
        <f>B2025&amp;"/"&amp;A2025&amp;"/"&amp;C2025</f>
        <v>3/19/2014</v>
      </c>
      <c r="E2025">
        <v>0.97222222222222221</v>
      </c>
      <c r="F2025" t="s">
        <f>I2025&amp;" "&amp;J2025&amp;" "&amp;K2025&amp;" "&amp;L2025&amp;" "&amp;M2025&amp;" "&amp;N2025</f>
        <v>2132</v>
      </c>
      <c r="G2025" t="s">
        <f>TEXT(D2025,"mmm dd")</f>
        <v>1254</v>
      </c>
      <c r="I2025" t="s">
        <v>1902</v>
      </c>
      <c r="J2025" t="s">
        <v>2133</v>
      </c>
    </row>
    <row r="2026" spans="1:23">
      <c r="A2026">
        <v>20</v>
      </c>
      <c r="B2026">
        <v>3</v>
      </c>
      <c r="C2026">
        <v>2014</v>
      </c>
      <c r="D2026" s="3" t="str">
        <f>B2026&amp;"/"&amp;A2026&amp;"/"&amp;C2026</f>
        <v>3/20/2014</v>
      </c>
      <c r="E2026">
        <v>0.83333333333333337</v>
      </c>
      <c r="F2026" t="s">
        <f>I2026&amp;" "&amp;J2026&amp;" "&amp;K2026&amp;" "&amp;L2026&amp;" "&amp;M2026&amp;" "&amp;N2026</f>
        <v>2299</v>
      </c>
      <c r="G2026" t="s">
        <f>TEXT(D2026,"mmm dd")</f>
        <v>1257</v>
      </c>
      <c r="I2026" t="s">
        <v>1273</v>
      </c>
      <c r="J2026" t="s">
        <v>53</v>
      </c>
      <c r="K2026" t="s">
        <v>218</v>
      </c>
      <c r="L2026" t="s">
        <v>314</v>
      </c>
    </row>
    <row r="2027" spans="1:23">
      <c r="A2027">
        <v>24</v>
      </c>
      <c r="B2027">
        <v>3</v>
      </c>
      <c r="C2027">
        <v>2014</v>
      </c>
      <c r="D2027" s="3" t="str">
        <f>B2027&amp;"/"&amp;A2027&amp;"/"&amp;C2027</f>
        <v>3/24/2014</v>
      </c>
      <c r="E2027" t="s">
        <v>42</v>
      </c>
      <c r="F2027" t="str">
        <f>I2027&amp;" "&amp;J2027&amp;" "&amp;K2027&amp;" "&amp;L2027&amp;" "&amp;M2027&amp;" "&amp;N2027</f>
        <v>Spring break    </v>
      </c>
      <c r="G2027" t="s">
        <f>TEXT(D2027,"mmm dd")</f>
        <v>1265</v>
      </c>
      <c r="I2027" t="s">
        <v>119</v>
      </c>
      <c r="J2027" t="s">
        <v>2301</v>
      </c>
    </row>
    <row r="2028" spans="1:23">
      <c r="A2028">
        <v>1</v>
      </c>
      <c r="B2028">
        <v>4</v>
      </c>
      <c r="C2028">
        <v>2014</v>
      </c>
      <c r="D2028" s="3" t="str">
        <f>B2028&amp;"/"&amp;A2028&amp;"/"&amp;C2028</f>
        <v>4/1/2014</v>
      </c>
      <c r="E2028">
        <v>0.83333333333333337</v>
      </c>
      <c r="F2028" t="s">
        <f>I2028&amp;" "&amp;J2028&amp;" "&amp;K2028&amp;" "&amp;L2028&amp;" "&amp;M2028&amp;" "&amp;N2028</f>
        <v>2299</v>
      </c>
      <c r="G2028" t="s">
        <f>TEXT(D2028,"mmm dd")</f>
        <v>43</v>
      </c>
      <c r="I2028" t="s">
        <v>1273</v>
      </c>
      <c r="J2028" t="s">
        <v>53</v>
      </c>
      <c r="K2028" t="s">
        <v>218</v>
      </c>
      <c r="L2028" t="s">
        <v>314</v>
      </c>
    </row>
    <row r="2029" spans="1:23">
      <c r="A2029">
        <v>2</v>
      </c>
      <c r="B2029">
        <v>4</v>
      </c>
      <c r="C2029">
        <v>2014</v>
      </c>
      <c r="D2029" s="3" t="s">
        <f>B2029&amp;"/"&amp;A2029&amp;"/"&amp;C2029</f>
        <v>2302</v>
      </c>
      <c r="E2029">
        <v>0.1875</v>
      </c>
      <c r="F2029" t="s">
        <f>I2029&amp;" "&amp;J2029&amp;" "&amp;K2029&amp;" "&amp;L2029&amp;" "&amp;M2029&amp;" "&amp;N2029</f>
        <v>2291</v>
      </c>
      <c r="G2029" t="s">
        <f>TEXT(D2029,"mmm dd")</f>
        <v>65</v>
      </c>
      <c r="I2029" t="s">
        <v>1858</v>
      </c>
    </row>
    <row r="2030" spans="1:23">
      <c r="A2030">
        <v>2</v>
      </c>
      <c r="B2030">
        <v>4</v>
      </c>
      <c r="C2030">
        <v>2014</v>
      </c>
      <c r="D2030" s="3" t="s">
        <f>B2030&amp;"/"&amp;A2030&amp;"/"&amp;C2030</f>
        <v>2302</v>
      </c>
      <c r="E2030">
        <v>0.97916666666666663</v>
      </c>
      <c r="F2030" t="str">
        <f>I2030&amp;" "&amp;J2030&amp;" "&amp;K2030&amp;" "&amp;L2030&amp;" "&amp;M2030&amp;" "&amp;N2030</f>
        <v>Danny     </v>
      </c>
      <c r="G2030" t="s">
        <f>TEXT(D2030,"mmm dd")</f>
        <v>65</v>
      </c>
      <c r="I2030" t="s">
        <v>2026</v>
      </c>
    </row>
    <row r="2031" spans="1:23">
      <c r="A2031">
        <v>3</v>
      </c>
      <c r="B2031">
        <v>4</v>
      </c>
      <c r="C2031">
        <v>2014</v>
      </c>
      <c r="D2031" s="3" t="s">
        <f>B2031&amp;"/"&amp;A2031&amp;"/"&amp;C2031</f>
        <v>2303</v>
      </c>
      <c r="E2031">
        <v>1.0625</v>
      </c>
      <c r="F2031" t="s">
        <f>I2031&amp;" "&amp;J2031&amp;" "&amp;K2031&amp;" "&amp;L2031&amp;" "&amp;M2031&amp;" "&amp;N2031</f>
        <v>2033</v>
      </c>
      <c r="G2031" t="s">
        <f>TEXT(D2031,"mmm dd")</f>
        <v>83</v>
      </c>
      <c r="I2031" t="s">
        <v>1892</v>
      </c>
    </row>
    <row r="2032" spans="1:23">
      <c r="A2032">
        <v>3</v>
      </c>
      <c r="B2032">
        <v>4</v>
      </c>
      <c r="C2032">
        <v>2014</v>
      </c>
      <c r="D2032" s="3" t="s">
        <f>B2032&amp;"/"&amp;A2032&amp;"/"&amp;C2032</f>
        <v>2303</v>
      </c>
      <c r="E2032">
        <v>0.83333333333333337</v>
      </c>
      <c r="F2032" t="s">
        <f>I2032&amp;" "&amp;J2032&amp;" "&amp;K2032&amp;" "&amp;L2032&amp;" "&amp;M2032&amp;" "&amp;N2032</f>
        <v>2299</v>
      </c>
      <c r="G2032" t="s">
        <f>TEXT(D2032,"mmm dd")</f>
        <v>83</v>
      </c>
      <c r="I2032" t="s">
        <v>1273</v>
      </c>
      <c r="J2032" t="s">
        <v>53</v>
      </c>
      <c r="K2032" t="s">
        <v>218</v>
      </c>
      <c r="L2032" t="s">
        <v>314</v>
      </c>
    </row>
    <row r="2033" spans="1:23">
      <c r="A2033">
        <v>3</v>
      </c>
      <c r="B2033">
        <v>4</v>
      </c>
      <c r="C2033">
        <v>2014</v>
      </c>
      <c r="D2033" s="3" t="s">
        <f>B2033&amp;"/"&amp;A2033&amp;"/"&amp;C2033</f>
        <v>2303</v>
      </c>
      <c r="E2033">
        <v>0.79166666666666663</v>
      </c>
      <c r="F2033" t="s">
        <f>I2033&amp;" "&amp;J2033&amp;" "&amp;K2033&amp;" "&amp;L2033&amp;" "&amp;M2033&amp;" "&amp;N2033</f>
        <v>2274</v>
      </c>
      <c r="G2033" t="s">
        <f>TEXT(D2033,"mmm dd")</f>
        <v>83</v>
      </c>
      <c r="I2033" t="s">
        <v>1981</v>
      </c>
      <c r="J2033">
        <v>325</v>
      </c>
    </row>
    <row r="2034" spans="1:23">
      <c r="A2034">
        <v>5</v>
      </c>
      <c r="B2034">
        <v>4</v>
      </c>
      <c r="C2034">
        <v>2014</v>
      </c>
      <c r="D2034" s="3" t="s">
        <f>B2034&amp;"/"&amp;A2034&amp;"/"&amp;C2034</f>
        <v>2304</v>
      </c>
      <c r="E2034">
        <v>0.91666666666666663</v>
      </c>
      <c r="F2034" t="s">
        <f>I2034&amp;" "&amp;J2034&amp;" "&amp;K2034&amp;" "&amp;L2034&amp;" "&amp;M2034&amp;" "&amp;N2034</f>
        <v>1271</v>
      </c>
      <c r="G2034" t="s">
        <f>TEXT(D2034,"mmm dd")</f>
        <v>108</v>
      </c>
      <c r="I2034" t="s">
        <v>1272</v>
      </c>
      <c r="J2034" t="s">
        <v>1273</v>
      </c>
    </row>
    <row r="2035" spans="1:23">
      <c r="A2035">
        <v>5</v>
      </c>
      <c r="B2035">
        <v>4</v>
      </c>
      <c r="C2035">
        <v>2014</v>
      </c>
      <c r="D2035" s="3" t="s">
        <f>B2035&amp;"/"&amp;A2035&amp;"/"&amp;C2035</f>
        <v>2304</v>
      </c>
      <c r="E2035">
        <v>0.97916666666666663</v>
      </c>
      <c r="F2035" t="str">
        <f>I2035&amp;" "&amp;J2035&amp;" "&amp;K2035&amp;" "&amp;L2035&amp;" "&amp;M2035&amp;" "&amp;N2035</f>
        <v>Clergy Education    </v>
      </c>
      <c r="G2035" t="s">
        <f>TEXT(D2035,"mmm dd")</f>
        <v>108</v>
      </c>
      <c r="I2035" t="s">
        <v>46</v>
      </c>
      <c r="J2035" t="s">
        <v>2305</v>
      </c>
    </row>
    <row r="2036" spans="1:23">
      <c r="A2036">
        <v>5</v>
      </c>
      <c r="B2036">
        <v>4</v>
      </c>
      <c r="C2036">
        <v>2014</v>
      </c>
      <c r="D2036" s="3" t="s">
        <f>B2036&amp;"/"&amp;A2036&amp;"/"&amp;C2036</f>
        <v>2304</v>
      </c>
      <c r="E2036">
        <v>0.91666666666666663</v>
      </c>
      <c r="F2036" t="str">
        <f>I2036&amp;" "&amp;J2036&amp;" "&amp;K2036&amp;" "&amp;L2036&amp;" "&amp;M2036&amp;" "&amp;N2036</f>
        <v>Dorothy Day Workshop   </v>
      </c>
      <c r="G2036" t="s">
        <f>TEXT(D2036,"mmm dd")</f>
        <v>108</v>
      </c>
      <c r="I2036" t="s">
        <v>1473</v>
      </c>
      <c r="J2036" t="s">
        <v>10</v>
      </c>
      <c r="K2036" t="s">
        <v>1147</v>
      </c>
    </row>
    <row r="2037" spans="1:23">
      <c r="A2037">
        <v>7</v>
      </c>
      <c r="B2037">
        <v>4</v>
      </c>
      <c r="C2037">
        <v>2014</v>
      </c>
      <c r="D2037" s="3" t="str">
        <f>B2037&amp;"/"&amp;A2037&amp;"/"&amp;C2037</f>
        <v>4/7/2014</v>
      </c>
      <c r="E2037">
        <v>0.27083333333333331</v>
      </c>
      <c r="F2037" t="str">
        <f>I2037&amp;" "&amp;J2037&amp;" "&amp;K2037&amp;" "&amp;L2037&amp;" "&amp;M2037&amp;" "&amp;N2037</f>
        <v>Evensong officiate    </v>
      </c>
      <c r="G2037" t="s">
        <f>TEXT(D2037,"mmm dd")</f>
        <v>125</v>
      </c>
      <c r="I2037" t="s">
        <v>1543</v>
      </c>
      <c r="J2037" t="inlineStr">
        <is>
          <t>officiate</t>
        </is>
      </c>
    </row>
    <row r="2038" spans="1:23">
      <c r="A2038">
        <v>16</v>
      </c>
      <c r="B2038">
        <v>4</v>
      </c>
      <c r="C2038">
        <v>2014</v>
      </c>
      <c r="D2038" s="3" t="s">
        <f>B2038&amp;"/"&amp;A2038&amp;"/"&amp;C2038</f>
        <v>2306</v>
      </c>
      <c r="E2038">
        <v>0.75</v>
      </c>
      <c r="F2038" t="s">
        <f>I2038&amp;" "&amp;J2038&amp;" "&amp;K2038&amp;" "&amp;L2038&amp;" "&amp;M2038&amp;" "&amp;N2038</f>
        <v>2288</v>
      </c>
      <c r="G2038" t="s">
        <f>TEXT(D2038,"mmm dd")</f>
        <v>184</v>
      </c>
      <c r="I2038" t="s">
        <v>1970</v>
      </c>
      <c r="J2038" t="s">
        <v>842</v>
      </c>
    </row>
    <row r="2039" spans="1:23">
      <c r="A2039">
        <v>16</v>
      </c>
      <c r="B2039">
        <v>4</v>
      </c>
      <c r="C2039">
        <v>2014</v>
      </c>
      <c r="D2039" s="3" t="s">
        <f>B2039&amp;"/"&amp;A2039&amp;"/"&amp;C2039</f>
        <v>2306</v>
      </c>
      <c r="E2039">
        <v>1</v>
      </c>
      <c r="F2039" t="s">
        <f>I2039&amp;" "&amp;J2039&amp;" "&amp;K2039&amp;" "&amp;L2039&amp;" "&amp;M2039&amp;" "&amp;N2039</f>
        <v>2132</v>
      </c>
      <c r="G2039" t="s">
        <f>TEXT(D2039,"mmm dd")</f>
        <v>184</v>
      </c>
      <c r="I2039" t="s">
        <v>1902</v>
      </c>
      <c r="J2039" t="s">
        <v>2133</v>
      </c>
    </row>
    <row r="2040" spans="1:23">
      <c r="A2040">
        <v>16</v>
      </c>
      <c r="B2040">
        <v>4</v>
      </c>
      <c r="C2040">
        <v>2014</v>
      </c>
      <c r="D2040" s="3" t="s">
        <f>B2040&amp;"/"&amp;A2040&amp;"/"&amp;C2040</f>
        <v>2306</v>
      </c>
      <c r="E2040">
        <v>0.75</v>
      </c>
      <c r="F2040" t="s">
        <f>I2040&amp;" "&amp;J2040&amp;" "&amp;K2040&amp;" "&amp;L2040&amp;" "&amp;M2040&amp;" "&amp;N2040</f>
        <v>2288</v>
      </c>
      <c r="G2040" t="s">
        <f>TEXT(D2040,"mmm dd")</f>
        <v>184</v>
      </c>
      <c r="I2040" t="s">
        <v>1970</v>
      </c>
      <c r="J2040" t="s">
        <v>842</v>
      </c>
    </row>
    <row r="2041" spans="1:23">
      <c r="A2041">
        <v>17</v>
      </c>
      <c r="B2041">
        <v>4</v>
      </c>
      <c r="C2041">
        <v>2014</v>
      </c>
      <c r="D2041" s="3" t="s">
        <f>B2041&amp;"/"&amp;A2041&amp;"/"&amp;C2041</f>
        <v>2307</v>
      </c>
      <c r="E2041">
        <v>1.0625</v>
      </c>
      <c r="F2041" t="s">
        <f>I2041&amp;" "&amp;J2041&amp;" "&amp;K2041&amp;" "&amp;L2041&amp;" "&amp;M2041&amp;" "&amp;N2041</f>
        <v>2033</v>
      </c>
      <c r="G2041" t="s">
        <f>TEXT(D2041,"mmm dd")</f>
        <v>187</v>
      </c>
      <c r="I2041" t="s">
        <v>1892</v>
      </c>
    </row>
    <row r="2042" spans="1:23">
      <c r="A2042">
        <v>17</v>
      </c>
      <c r="B2042">
        <v>4</v>
      </c>
      <c r="C2042">
        <v>2014</v>
      </c>
      <c r="D2042" s="3" t="s">
        <f>B2042&amp;"/"&amp;A2042&amp;"/"&amp;C2042</f>
        <v>2307</v>
      </c>
      <c r="E2042" t="s">
        <v>42</v>
      </c>
      <c r="F2042" t="s">
        <f>I2042&amp;" "&amp;J2042&amp;" "&amp;K2042&amp;" "&amp;L2042&amp;" "&amp;M2042&amp;" "&amp;N2042</f>
        <v>1907</v>
      </c>
      <c r="G2042" t="s">
        <f>TEXT(D2042,"mmm dd")</f>
        <v>187</v>
      </c>
      <c r="I2042" t="s">
        <v>1564</v>
      </c>
      <c r="J2042" t="s">
        <v>1908</v>
      </c>
    </row>
    <row r="2043" spans="1:23">
      <c r="A2043">
        <v>18</v>
      </c>
      <c r="B2043">
        <v>4</v>
      </c>
      <c r="C2043">
        <v>2014</v>
      </c>
      <c r="D2043" s="3" t="s">
        <f>B2043&amp;"/"&amp;A2043&amp;"/"&amp;C2043</f>
        <v>2308</v>
      </c>
      <c r="E2043" t="s">
        <v>42</v>
      </c>
      <c r="F2043" t="s">
        <f>I2043&amp;" "&amp;J2043&amp;" "&amp;K2043&amp;" "&amp;L2043&amp;" "&amp;M2043&amp;" "&amp;N2043</f>
        <v>1909</v>
      </c>
      <c r="G2043" t="s">
        <f>TEXT(D2043,"mmm dd")</f>
        <v>193</v>
      </c>
      <c r="I2043" t="s">
        <v>1268</v>
      </c>
      <c r="J2043" t="s">
        <v>512</v>
      </c>
    </row>
    <row r="2044" spans="1:23">
      <c r="A2044">
        <v>18</v>
      </c>
      <c r="B2044">
        <v>4</v>
      </c>
      <c r="C2044">
        <v>2014</v>
      </c>
      <c r="D2044" s="3" t="s">
        <f>B2044&amp;"/"&amp;A2044&amp;"/"&amp;C2044</f>
        <v>2308</v>
      </c>
      <c r="E2044">
        <v>0.17708333333333334</v>
      </c>
      <c r="F2044" t="str">
        <f>I2044&amp;" "&amp;J2044&amp;" "&amp;K2044&amp;" "&amp;L2044&amp;" "&amp;M2044&amp;" "&amp;N2044</f>
        <v>Inouye for glasses   </v>
      </c>
      <c r="G2044" t="s">
        <f>TEXT(D2044,"mmm dd")</f>
        <v>193</v>
      </c>
      <c r="I2044" t="s">
        <v>1858</v>
      </c>
      <c r="J2044" t="s">
        <v>439</v>
      </c>
      <c r="K2044" t="s">
        <v>2309</v>
      </c>
    </row>
    <row r="2045" spans="1:23">
      <c r="A2045">
        <v>19</v>
      </c>
      <c r="B2045">
        <v>4</v>
      </c>
      <c r="C2045">
        <v>2014</v>
      </c>
      <c r="D2045" s="3" t="str">
        <f>B2045&amp;"/"&amp;A2045&amp;"/"&amp;C2045</f>
        <v>4/19/2014</v>
      </c>
      <c r="E2045" t="s">
        <v>42</v>
      </c>
      <c r="F2045" t="str">
        <f>I2045&amp;" "&amp;J2045&amp;" "&amp;K2045&amp;" "&amp;L2045&amp;" "&amp;M2045&amp;" "&amp;N2045</f>
        <v>Holy Saturday    </v>
      </c>
      <c r="G2045" t="s">
        <f>TEXT(D2045,"mmm dd")</f>
        <v>196</v>
      </c>
      <c r="I2045" t="s">
        <v>412</v>
      </c>
      <c r="J2045" t="inlineStr">
        <is>
          <t>Saturday</t>
        </is>
      </c>
    </row>
    <row r="2046" spans="1:23">
      <c r="A2046">
        <v>22</v>
      </c>
      <c r="B2046">
        <v>4</v>
      </c>
      <c r="C2046">
        <v>2014</v>
      </c>
      <c r="D2046" s="3" t="s">
        <f>B2046&amp;"/"&amp;A2046&amp;"/"&amp;C2046</f>
        <v>2310</v>
      </c>
      <c r="E2046">
        <v>1.0833333333333333</v>
      </c>
      <c r="F2046" t="s">
        <f>I2046&amp;" "&amp;J2046&amp;" "&amp;K2046&amp;" "&amp;L2046&amp;" "&amp;M2046&amp;" "&amp;N2046</f>
        <v>1808</v>
      </c>
      <c r="G2046" t="s">
        <f>TEXT(D2046,"mmm dd")</f>
        <v>215</v>
      </c>
      <c r="I2046" t="s">
        <v>300</v>
      </c>
      <c r="J2046" t="s">
        <v>755</v>
      </c>
      <c r="K2046" t="s">
        <v>592</v>
      </c>
    </row>
    <row r="2047" spans="1:23">
      <c r="A2047">
        <v>22</v>
      </c>
      <c r="B2047">
        <v>4</v>
      </c>
      <c r="C2047">
        <v>2014</v>
      </c>
      <c r="D2047" s="3" t="s">
        <f>B2047&amp;"/"&amp;A2047&amp;"/"&amp;C2047</f>
        <v>2310</v>
      </c>
      <c r="E2047">
        <v>0.16666666666666666</v>
      </c>
      <c r="F2047" t="s">
        <f>I2047&amp;" "&amp;J2047&amp;" "&amp;K2047&amp;" "&amp;L2047&amp;" "&amp;M2047&amp;" "&amp;N2047</f>
        <v>1991</v>
      </c>
      <c r="G2047" t="s">
        <f>TEXT(D2047,"mmm dd")</f>
        <v>215</v>
      </c>
      <c r="I2047" t="s">
        <v>1028</v>
      </c>
      <c r="J2047" t="s">
        <v>1992</v>
      </c>
    </row>
    <row r="2048" spans="1:23">
      <c r="A2048">
        <v>24</v>
      </c>
      <c r="B2048">
        <v>4</v>
      </c>
      <c r="C2048">
        <v>2014</v>
      </c>
      <c r="D2048" s="3" t="str">
        <f>B2048&amp;"/"&amp;A2048&amp;"/"&amp;C2048</f>
        <v>4/24/2014</v>
      </c>
      <c r="E2048">
        <v>0.83333333333333337</v>
      </c>
      <c r="F2048" t="s">
        <f>I2048&amp;" "&amp;J2048&amp;" "&amp;K2048&amp;" "&amp;L2048&amp;" "&amp;M2048&amp;" "&amp;N2048</f>
        <v>2299</v>
      </c>
      <c r="G2048" t="s">
        <f>TEXT(D2048,"mmm dd")</f>
        <v>224</v>
      </c>
      <c r="I2048" t="s">
        <v>1273</v>
      </c>
      <c r="J2048" t="s">
        <v>53</v>
      </c>
      <c r="K2048" t="s">
        <v>218</v>
      </c>
      <c r="L2048" t="s">
        <v>314</v>
      </c>
    </row>
    <row r="2049" spans="1:23">
      <c r="A2049">
        <v>25</v>
      </c>
      <c r="B2049">
        <v>4</v>
      </c>
      <c r="C2049">
        <v>2014</v>
      </c>
      <c r="D2049" s="3" t="str">
        <f>B2049&amp;"/"&amp;A2049&amp;"/"&amp;C2049</f>
        <v>4/25/2014</v>
      </c>
      <c r="E2049">
        <v>1</v>
      </c>
      <c r="F2049" t="str">
        <f>I2049&amp;" "&amp;J2049&amp;" "&amp;K2049&amp;" "&amp;L2049&amp;" "&amp;M2049&amp;" "&amp;N2049</f>
        <v>Sato for cleaning   </v>
      </c>
      <c r="G2049" t="s">
        <f>TEXT(D2049,"mmm dd")</f>
        <v>227</v>
      </c>
      <c r="I2049" t="s">
        <v>2184</v>
      </c>
      <c r="J2049" t="s">
        <v>439</v>
      </c>
      <c r="K2049" t="s">
        <v>2035</v>
      </c>
    </row>
    <row r="2050" spans="1:23">
      <c r="A2050">
        <v>1</v>
      </c>
      <c r="B2050">
        <v>5</v>
      </c>
      <c r="C2050">
        <v>2014</v>
      </c>
      <c r="D2050" s="3" t="s">
        <f>B2050&amp;"/"&amp;A2050&amp;"/"&amp;C2050</f>
        <v>2311</v>
      </c>
      <c r="E2050">
        <v>0.84375</v>
      </c>
      <c r="F2050" t="s">
        <f>I2050&amp;" "&amp;J2050&amp;" "&amp;K2050&amp;" "&amp;L2050&amp;" "&amp;M2050&amp;" "&amp;N2050</f>
        <v>2299</v>
      </c>
      <c r="G2050" t="s">
        <f>TEXT(D2050,"mmm dd")</f>
        <v>249</v>
      </c>
      <c r="I2050" t="s">
        <v>1273</v>
      </c>
      <c r="J2050" t="s">
        <v>53</v>
      </c>
      <c r="K2050" t="s">
        <v>218</v>
      </c>
      <c r="L2050" t="s">
        <v>314</v>
      </c>
    </row>
    <row r="2051" spans="1:23">
      <c r="A2051">
        <v>1</v>
      </c>
      <c r="B2051">
        <v>5</v>
      </c>
      <c r="C2051">
        <v>2014</v>
      </c>
      <c r="D2051" s="3" t="s">
        <f>B2051&amp;"/"&amp;A2051&amp;"/"&amp;C2051</f>
        <v>2311</v>
      </c>
      <c r="E2051">
        <v>1.0416666666666667</v>
      </c>
      <c r="F2051" t="str">
        <f>I2051&amp;" "&amp;J2051&amp;" "&amp;K2051&amp;" "&amp;L2051&amp;" "&amp;M2051&amp;" "&amp;N2051</f>
        <v>Tamura's boxes    </v>
      </c>
      <c r="G2051" t="s">
        <f>TEXT(D2051,"mmm dd")</f>
        <v>249</v>
      </c>
      <c r="I2051" t="inlineStr">
        <is>
          <t>Tamura's</t>
        </is>
      </c>
      <c r="J2051" t="inlineStr">
        <is>
          <t>boxes</t>
        </is>
      </c>
    </row>
    <row r="2052" spans="1:23">
      <c r="A2052">
        <v>1</v>
      </c>
      <c r="B2052">
        <v>5</v>
      </c>
      <c r="C2052">
        <v>2014</v>
      </c>
      <c r="D2052" s="3" t="s">
        <f>B2052&amp;"/"&amp;A2052&amp;"/"&amp;C2052</f>
        <v>2311</v>
      </c>
      <c r="E2052">
        <v>0.29166666666666669</v>
      </c>
      <c r="F2052" t="str">
        <f>I2052&amp;" "&amp;J2052&amp;" "&amp;K2052&amp;" "&amp;L2052&amp;" "&amp;M2052&amp;" "&amp;N2052</f>
        <v>Joel and Gail to Kit'nkitchen </v>
      </c>
      <c r="G2052" t="s">
        <f>TEXT(D2052,"mmm dd")</f>
        <v>249</v>
      </c>
      <c r="I2052" t="s">
        <v>2241</v>
      </c>
      <c r="J2052" t="s">
        <v>135</v>
      </c>
      <c r="K2052" t="s">
        <v>1350</v>
      </c>
      <c r="L2052" t="s">
        <v>449</v>
      </c>
      <c r="M2052" t="inlineStr">
        <is>
          <t>Kit'nkitchen</t>
        </is>
      </c>
    </row>
    <row r="2053" spans="1:23">
      <c r="A2053">
        <v>2</v>
      </c>
      <c r="B2053">
        <v>5</v>
      </c>
      <c r="C2053">
        <v>2014</v>
      </c>
      <c r="D2053" s="3" t="str">
        <f>B2053&amp;"/"&amp;A2053&amp;"/"&amp;C2053</f>
        <v>5/2/2014</v>
      </c>
      <c r="E2053">
        <v>0.84375</v>
      </c>
      <c r="F2053" t="s">
        <f>I2053&amp;" "&amp;J2053&amp;" "&amp;K2053&amp;" "&amp;L2053&amp;" "&amp;M2053&amp;" "&amp;N2053</f>
        <v>2299</v>
      </c>
      <c r="G2053" t="s">
        <f>TEXT(D2053,"mmm dd")</f>
        <v>256</v>
      </c>
      <c r="I2053" t="s">
        <v>1273</v>
      </c>
      <c r="J2053" t="s">
        <v>53</v>
      </c>
      <c r="K2053" t="s">
        <v>218</v>
      </c>
      <c r="L2053" t="s">
        <v>314</v>
      </c>
    </row>
    <row r="2054" spans="1:23">
      <c r="A2054">
        <v>4</v>
      </c>
      <c r="B2054">
        <v>5</v>
      </c>
      <c r="C2054">
        <v>2014</v>
      </c>
      <c r="D2054" s="3" t="str">
        <f>B2054&amp;"/"&amp;A2054&amp;"/"&amp;C2054</f>
        <v>5/4/2014</v>
      </c>
      <c r="E2054">
        <v>0.27083333333333331</v>
      </c>
      <c r="F2054" t="s">
        <f>I2054&amp;" "&amp;J2054&amp;" "&amp;K2054&amp;" "&amp;L2054&amp;" "&amp;M2054&amp;" "&amp;N2054</f>
        <v>2299</v>
      </c>
      <c r="G2054" t="s">
        <f>TEXT(D2054,"mmm dd")</f>
        <v>268</v>
      </c>
      <c r="I2054" t="s">
        <v>1273</v>
      </c>
      <c r="J2054" t="s">
        <v>53</v>
      </c>
      <c r="K2054" t="s">
        <v>218</v>
      </c>
      <c r="L2054" t="s">
        <v>314</v>
      </c>
    </row>
    <row r="2055" spans="1:23">
      <c r="A2055">
        <v>5</v>
      </c>
      <c r="B2055">
        <v>5</v>
      </c>
      <c r="C2055">
        <v>2014</v>
      </c>
      <c r="D2055" s="3" t="s">
        <f>B2055&amp;"/"&amp;A2055&amp;"/"&amp;C2055</f>
        <v>2312</v>
      </c>
      <c r="E2055">
        <v>1</v>
      </c>
      <c r="F2055" t="str">
        <f>I2055&amp;" "&amp;J2055&amp;" "&amp;K2055&amp;" "&amp;L2055&amp;" "&amp;M2055&amp;" "&amp;N2055</f>
        <v>ED 220 Final Exam  </v>
      </c>
      <c r="G2055" t="s">
        <f>TEXT(D2055,"mmm dd")</f>
        <v>2212</v>
      </c>
      <c r="I2055" t="s">
        <v>1981</v>
      </c>
      <c r="J2055">
        <v>220</v>
      </c>
      <c r="K2055" t="s">
        <v>1763</v>
      </c>
      <c r="L2055" t="s">
        <v>2313</v>
      </c>
    </row>
    <row r="2056" spans="1:23">
      <c r="A2056">
        <v>5</v>
      </c>
      <c r="B2056">
        <v>5</v>
      </c>
      <c r="C2056">
        <v>2014</v>
      </c>
      <c r="D2056" s="3" t="s">
        <f>B2056&amp;"/"&amp;A2056&amp;"/"&amp;C2056</f>
        <v>2312</v>
      </c>
      <c r="E2056">
        <v>0.27083333333333331</v>
      </c>
      <c r="F2056" t="str">
        <f>I2056&amp;" "&amp;J2056&amp;" "&amp;K2056&amp;" "&amp;L2056&amp;" "&amp;M2056&amp;" "&amp;N2056</f>
        <v>Officiate Evensong    </v>
      </c>
      <c r="G2056" t="s">
        <f>TEXT(D2056,"mmm dd")</f>
        <v>2212</v>
      </c>
      <c r="I2056" t="s">
        <v>1683</v>
      </c>
      <c r="J2056" t="s">
        <v>1543</v>
      </c>
    </row>
    <row r="2057" spans="1:23">
      <c r="A2057">
        <v>6</v>
      </c>
      <c r="B2057">
        <v>5</v>
      </c>
      <c r="C2057">
        <v>2014</v>
      </c>
      <c r="D2057" s="3" t="s">
        <f>B2057&amp;"/"&amp;A2057&amp;"/"&amp;C2057</f>
        <v>2314</v>
      </c>
      <c r="E2057">
        <v>0.95833333333333337</v>
      </c>
      <c r="F2057" t="str">
        <f>I2057&amp;" "&amp;J2057&amp;" "&amp;K2057&amp;" "&amp;L2057&amp;" "&amp;M2057&amp;" "&amp;N2057</f>
        <v>Berta portfolio present   </v>
      </c>
      <c r="G2057" t="s">
        <f>TEXT(D2057,"mmm dd")</f>
        <v>277</v>
      </c>
      <c r="I2057" t="s">
        <v>2066</v>
      </c>
      <c r="J2057" t="s">
        <v>2156</v>
      </c>
      <c r="K2057" t="inlineStr">
        <is>
          <t>present</t>
        </is>
      </c>
    </row>
    <row r="2058" spans="1:23">
      <c r="A2058">
        <v>6</v>
      </c>
      <c r="B2058">
        <v>5</v>
      </c>
      <c r="C2058">
        <v>2014</v>
      </c>
      <c r="D2058" s="3" t="s">
        <f>B2058&amp;"/"&amp;A2058&amp;"/"&amp;C2058</f>
        <v>2314</v>
      </c>
      <c r="E2058">
        <v>0.84375</v>
      </c>
      <c r="F2058" t="s">
        <f>I2058&amp;" "&amp;J2058&amp;" "&amp;K2058&amp;" "&amp;L2058&amp;" "&amp;M2058&amp;" "&amp;N2058</f>
        <v>2299</v>
      </c>
      <c r="G2058" t="s">
        <f>TEXT(D2058,"mmm dd")</f>
        <v>277</v>
      </c>
      <c r="I2058" t="s">
        <v>1273</v>
      </c>
      <c r="J2058" t="s">
        <v>53</v>
      </c>
      <c r="K2058" t="s">
        <v>218</v>
      </c>
      <c r="L2058" t="s">
        <v>314</v>
      </c>
    </row>
    <row r="2059" spans="1:23">
      <c r="A2059">
        <v>7</v>
      </c>
      <c r="B2059">
        <v>5</v>
      </c>
      <c r="C2059">
        <v>2014</v>
      </c>
      <c r="D2059" s="3" t="str">
        <f>B2059&amp;"/"&amp;A2059&amp;"/"&amp;C2059</f>
        <v>5/7/2014</v>
      </c>
      <c r="E2059">
        <v>0.75</v>
      </c>
      <c r="F2059" t="s">
        <f>I2059&amp;" "&amp;J2059&amp;" "&amp;K2059&amp;" "&amp;L2059&amp;" "&amp;M2059&amp;" "&amp;N2059</f>
        <v>2288</v>
      </c>
      <c r="G2059" t="s">
        <f>TEXT(D2059,"mmm dd")</f>
        <v>279</v>
      </c>
      <c r="I2059" t="s">
        <v>1970</v>
      </c>
      <c r="J2059" t="s">
        <v>842</v>
      </c>
    </row>
    <row r="2060" spans="1:23">
      <c r="A2060">
        <v>8</v>
      </c>
      <c r="B2060">
        <v>5</v>
      </c>
      <c r="C2060">
        <v>2014</v>
      </c>
      <c r="D2060" s="3" t="s">
        <f>B2060&amp;"/"&amp;A2060&amp;"/"&amp;C2060</f>
        <v>2315</v>
      </c>
      <c r="E2060">
        <v>0.84375</v>
      </c>
      <c r="F2060" t="s">
        <f>I2060&amp;" "&amp;J2060&amp;" "&amp;K2060&amp;" "&amp;L2060&amp;" "&amp;M2060&amp;" "&amp;N2060</f>
        <v>2299</v>
      </c>
      <c r="G2060" t="s">
        <f>TEXT(D2060,"mmm dd")</f>
        <v>282</v>
      </c>
      <c r="I2060" t="s">
        <v>1273</v>
      </c>
      <c r="J2060" t="s">
        <v>53</v>
      </c>
      <c r="K2060" t="s">
        <v>218</v>
      </c>
      <c r="L2060" t="s">
        <v>314</v>
      </c>
    </row>
    <row r="2061" spans="1:23">
      <c r="A2061">
        <v>8</v>
      </c>
      <c r="B2061">
        <v>5</v>
      </c>
      <c r="C2061">
        <v>2014</v>
      </c>
      <c r="D2061" s="3" t="s">
        <f>B2061&amp;"/"&amp;A2061&amp;"/"&amp;C2061</f>
        <v>2315</v>
      </c>
      <c r="E2061">
        <v>0.97916666666666663</v>
      </c>
      <c r="F2061" t="s">
        <f>I2061&amp;" "&amp;J2061&amp;" "&amp;K2061&amp;" "&amp;L2061&amp;" "&amp;M2061&amp;" "&amp;N2061</f>
        <v>2033</v>
      </c>
      <c r="G2061" t="s">
        <f>TEXT(D2061,"mmm dd")</f>
        <v>282</v>
      </c>
      <c r="I2061" t="s">
        <v>1892</v>
      </c>
    </row>
    <row r="2062" spans="1:23">
      <c r="A2062">
        <v>12</v>
      </c>
      <c r="B2062">
        <v>5</v>
      </c>
      <c r="C2062">
        <v>2014</v>
      </c>
      <c r="D2062" s="3" t="str">
        <f>B2062&amp;"/"&amp;A2062&amp;"/"&amp;C2062</f>
        <v>5/12/2014</v>
      </c>
      <c r="E2062">
        <v>0.97916666666666663</v>
      </c>
      <c r="F2062" t="s">
        <f>I2062&amp;" "&amp;J2062&amp;" "&amp;K2062&amp;" "&amp;L2062&amp;" "&amp;M2062&amp;" "&amp;N2062</f>
        <v>2316</v>
      </c>
      <c r="G2062" t="s">
        <f>TEXT(D2062,"mmm dd")</f>
        <v>317</v>
      </c>
      <c r="I2062" t="s">
        <v>2184</v>
      </c>
    </row>
    <row r="2063" spans="1:23">
      <c r="A2063">
        <v>13</v>
      </c>
      <c r="B2063">
        <v>5</v>
      </c>
      <c r="C2063">
        <v>2014</v>
      </c>
      <c r="D2063" s="3" t="str">
        <f>B2063&amp;"/"&amp;A2063&amp;"/"&amp;C2063</f>
        <v>5/13/2014</v>
      </c>
      <c r="E2063">
        <v>0.84375</v>
      </c>
      <c r="F2063" t="s">
        <f>I2063&amp;" "&amp;J2063&amp;" "&amp;K2063&amp;" "&amp;L2063&amp;" "&amp;M2063&amp;" "&amp;N2063</f>
        <v>2299</v>
      </c>
      <c r="G2063" t="s">
        <f>TEXT(D2063,"mmm dd")</f>
        <v>321</v>
      </c>
      <c r="I2063" t="s">
        <v>1273</v>
      </c>
      <c r="J2063" t="s">
        <v>53</v>
      </c>
      <c r="K2063" t="s">
        <v>218</v>
      </c>
      <c r="L2063" t="s">
        <v>314</v>
      </c>
    </row>
    <row r="2064" spans="1:23">
      <c r="A2064">
        <v>14</v>
      </c>
      <c r="B2064">
        <v>5</v>
      </c>
      <c r="C2064">
        <v>2014</v>
      </c>
      <c r="D2064" s="3" t="str">
        <f>B2064&amp;"/"&amp;A2064&amp;"/"&amp;C2064</f>
        <v>5/14/2014</v>
      </c>
      <c r="E2064">
        <v>1</v>
      </c>
      <c r="F2064" t="s">
        <f>I2064&amp;" "&amp;J2064&amp;" "&amp;K2064&amp;" "&amp;L2064&amp;" "&amp;M2064&amp;" "&amp;N2064</f>
        <v>2132</v>
      </c>
      <c r="G2064" t="s">
        <f>TEXT(D2064,"mmm dd")</f>
        <v>323</v>
      </c>
      <c r="I2064" t="s">
        <v>1902</v>
      </c>
      <c r="J2064" t="s">
        <v>2133</v>
      </c>
    </row>
    <row r="2065" spans="1:23">
      <c r="A2065">
        <v>15</v>
      </c>
      <c r="B2065">
        <v>5</v>
      </c>
      <c r="C2065">
        <v>2014</v>
      </c>
      <c r="D2065" s="3" t="str">
        <f>B2065&amp;"/"&amp;A2065&amp;"/"&amp;C2065</f>
        <v>5/15/2014</v>
      </c>
      <c r="E2065">
        <v>0.84375</v>
      </c>
      <c r="F2065" t="str">
        <f>I2065&amp;" "&amp;J2065&amp;" "&amp;K2065&amp;" "&amp;L2065&amp;" "&amp;M2065&amp;" "&amp;N2065</f>
        <v>Mass at St. Andrew's Parke chapel</v>
      </c>
      <c r="G2065" t="s">
        <f>TEXT(D2065,"mmm dd")</f>
        <v>326</v>
      </c>
      <c r="I2065" t="s">
        <v>1273</v>
      </c>
      <c r="J2065" t="s">
        <v>53</v>
      </c>
      <c r="K2065" t="s">
        <v>218</v>
      </c>
      <c r="L2065" t="s">
        <v>314</v>
      </c>
      <c r="M2065" t="inlineStr">
        <is>
          <t>Parke</t>
        </is>
      </c>
      <c r="N2065" t="s">
        <v>55</v>
      </c>
    </row>
    <row r="2066" spans="1:23">
      <c r="A2066">
        <v>19</v>
      </c>
      <c r="B2066">
        <v>5</v>
      </c>
      <c r="C2066">
        <v>2014</v>
      </c>
      <c r="D2066" s="3" t="str">
        <f>B2066&amp;"/"&amp;A2066&amp;"/"&amp;C2066</f>
        <v>5/19/2014</v>
      </c>
      <c r="E2066">
        <v>0.27083333333333331</v>
      </c>
      <c r="F2066" t="str">
        <f>I2066&amp;" "&amp;J2066&amp;" "&amp;K2066&amp;" "&amp;L2066&amp;" "&amp;M2066&amp;" "&amp;N2066</f>
        <v>Officiate Evensong at St Andrews </v>
      </c>
      <c r="G2066" t="s">
        <f>TEXT(D2066,"mmm dd")</f>
        <v>344</v>
      </c>
      <c r="I2066" t="s">
        <v>1683</v>
      </c>
      <c r="J2066" t="s">
        <v>1543</v>
      </c>
      <c r="K2066" t="s">
        <v>53</v>
      </c>
      <c r="L2066" t="s">
        <v>1796</v>
      </c>
      <c r="M2066" t="inlineStr">
        <is>
          <t>Andrews</t>
        </is>
      </c>
    </row>
    <row r="2067" spans="1:23">
      <c r="A2067">
        <v>20</v>
      </c>
      <c r="B2067">
        <v>5</v>
      </c>
      <c r="C2067">
        <v>2014</v>
      </c>
      <c r="D2067" s="3" t="s">
        <f>B2067&amp;"/"&amp;A2067&amp;"/"&amp;C2067</f>
        <v>2317</v>
      </c>
      <c r="E2067">
        <v>0.95833333333333337</v>
      </c>
      <c r="F2067" t="s">
        <f>I2067&amp;" "&amp;J2067&amp;" "&amp;K2067&amp;" "&amp;L2067&amp;" "&amp;M2067&amp;" "&amp;N2067</f>
        <v>2033</v>
      </c>
      <c r="G2067" t="s">
        <f>TEXT(D2067,"mmm dd")</f>
        <v>347</v>
      </c>
      <c r="I2067" t="s">
        <v>1892</v>
      </c>
    </row>
    <row r="2068" spans="1:23">
      <c r="A2068">
        <v>20</v>
      </c>
      <c r="B2068">
        <v>5</v>
      </c>
      <c r="C2068">
        <v>2014</v>
      </c>
      <c r="D2068" s="3" t="s">
        <f>B2068&amp;"/"&amp;A2068&amp;"/"&amp;C2068</f>
        <v>2317</v>
      </c>
      <c r="E2068">
        <v>0.125</v>
      </c>
      <c r="F2068" t="str">
        <f>I2068&amp;" "&amp;J2068&amp;" "&amp;K2068&amp;" "&amp;L2068&amp;" "&amp;M2068&amp;" "&amp;N2068</f>
        <v>Kelly Lee with paperwork  </v>
      </c>
      <c r="G2068" t="s">
        <f>TEXT(D2068,"mmm dd")</f>
        <v>347</v>
      </c>
      <c r="I2068" t="s">
        <v>2318</v>
      </c>
      <c r="J2068" t="s">
        <v>2020</v>
      </c>
      <c r="K2068" t="s">
        <v>755</v>
      </c>
      <c r="L2068" t="inlineStr">
        <is>
          <t>paperwork</t>
        </is>
      </c>
    </row>
    <row r="2069" spans="1:23">
      <c r="A2069">
        <v>20</v>
      </c>
      <c r="B2069">
        <v>5</v>
      </c>
      <c r="C2069">
        <v>2014</v>
      </c>
      <c r="D2069" s="3" t="s">
        <f>B2069&amp;"/"&amp;A2069&amp;"/"&amp;C2069</f>
        <v>2317</v>
      </c>
      <c r="E2069">
        <v>1.0833333333333333</v>
      </c>
      <c r="F2069" t="str">
        <f>I2069&amp;" "&amp;J2069&amp;" "&amp;K2069&amp;" "&amp;L2069&amp;" "&amp;M2069&amp;" "&amp;N2069</f>
        <v>Walk with Tim   </v>
      </c>
      <c r="G2069" t="s">
        <f>TEXT(D2069,"mmm dd")</f>
        <v>347</v>
      </c>
      <c r="I2069" t="s">
        <v>1443</v>
      </c>
      <c r="J2069" t="s">
        <v>755</v>
      </c>
      <c r="K2069" t="s">
        <v>1423</v>
      </c>
    </row>
    <row r="2070" spans="1:23">
      <c r="A2070">
        <v>22</v>
      </c>
      <c r="B2070">
        <v>5</v>
      </c>
      <c r="C2070">
        <v>2014</v>
      </c>
      <c r="D2070" s="3" t="str">
        <f>B2070&amp;"/"&amp;A2070&amp;"/"&amp;C2070</f>
        <v>5/22/2014</v>
      </c>
      <c r="E2070">
        <v>0.84375</v>
      </c>
      <c r="F2070" t="s">
        <f>I2070&amp;" "&amp;J2070&amp;" "&amp;K2070&amp;" "&amp;L2070&amp;" "&amp;M2070&amp;" "&amp;N2070</f>
        <v>2299</v>
      </c>
      <c r="G2070" t="s">
        <f>TEXT(D2070,"mmm dd")</f>
        <v>357</v>
      </c>
      <c r="I2070" t="s">
        <v>1273</v>
      </c>
      <c r="J2070" t="s">
        <v>53</v>
      </c>
      <c r="K2070" t="s">
        <v>218</v>
      </c>
      <c r="L2070" t="s">
        <v>314</v>
      </c>
    </row>
    <row r="2071" spans="1:23">
      <c r="A2071">
        <v>27</v>
      </c>
      <c r="B2071">
        <v>5</v>
      </c>
      <c r="C2071">
        <v>2014</v>
      </c>
      <c r="D2071" s="3" t="str">
        <f>B2071&amp;"/"&amp;A2071&amp;"/"&amp;C2071</f>
        <v>5/27/2014</v>
      </c>
      <c r="E2071">
        <v>0.875</v>
      </c>
      <c r="F2071" t="str">
        <f>I2071&amp;" "&amp;J2071&amp;" "&amp;K2071&amp;" "&amp;L2071&amp;" "&amp;M2071&amp;" "&amp;N2071</f>
        <v>Allan for oil change  </v>
      </c>
      <c r="G2071" t="s">
        <f>TEXT(D2071,"mmm dd")</f>
        <v>391</v>
      </c>
      <c r="I2071" t="inlineStr">
        <is>
          <t>Allan</t>
        </is>
      </c>
      <c r="J2071" t="s">
        <v>439</v>
      </c>
      <c r="K2071" t="s">
        <v>2319</v>
      </c>
      <c r="L2071" t="s">
        <v>2320</v>
      </c>
    </row>
    <row r="2072" spans="1:23">
      <c r="A2072">
        <v>29</v>
      </c>
      <c r="B2072">
        <v>5</v>
      </c>
      <c r="C2072">
        <v>2014</v>
      </c>
      <c r="D2072" s="3" t="str">
        <f>B2072&amp;"/"&amp;A2072&amp;"/"&amp;C2072</f>
        <v>5/29/2014</v>
      </c>
      <c r="E2072">
        <v>0.95833333333333337</v>
      </c>
      <c r="F2072" t="s">
        <f>I2072&amp;" "&amp;J2072&amp;" "&amp;K2072&amp;" "&amp;L2072&amp;" "&amp;M2072&amp;" "&amp;N2072</f>
        <v>2316</v>
      </c>
      <c r="G2072" t="s">
        <f>TEXT(D2072,"mmm dd")</f>
        <v>397</v>
      </c>
      <c r="I2072" t="s">
        <v>2184</v>
      </c>
    </row>
    <row r="2073" spans="1:23">
      <c r="A2073">
        <v>30</v>
      </c>
      <c r="B2073">
        <v>5</v>
      </c>
      <c r="C2073">
        <v>2014</v>
      </c>
      <c r="D2073" s="3" t="str">
        <f>B2073&amp;"/"&amp;A2073&amp;"/"&amp;C2073</f>
        <v>5/30/2014</v>
      </c>
      <c r="E2073">
        <v>0.84375</v>
      </c>
      <c r="F2073" t="s">
        <f>I2073&amp;" "&amp;J2073&amp;" "&amp;K2073&amp;" "&amp;L2073&amp;" "&amp;M2073&amp;" "&amp;N2073</f>
        <v>2299</v>
      </c>
      <c r="G2073" t="s">
        <f>TEXT(D2073,"mmm dd")</f>
        <v>402</v>
      </c>
      <c r="I2073" t="s">
        <v>1273</v>
      </c>
      <c r="J2073" t="s">
        <v>53</v>
      </c>
      <c r="K2073" t="s">
        <v>218</v>
      </c>
      <c r="L2073" t="s">
        <v>314</v>
      </c>
    </row>
    <row r="2074" spans="1:23">
      <c r="A2074">
        <v>1</v>
      </c>
      <c r="B2074">
        <v>6</v>
      </c>
      <c r="C2074">
        <v>2014</v>
      </c>
      <c r="D2074" s="3" t="str">
        <f>B2074&amp;"/"&amp;A2074&amp;"/"&amp;C2074</f>
        <v>6/1/2014</v>
      </c>
      <c r="E2074">
        <v>0.27083333333333331</v>
      </c>
      <c r="F2074" t="s">
        <f>I2074&amp;" "&amp;J2074&amp;" "&amp;K2074&amp;" "&amp;L2074&amp;" "&amp;M2074&amp;" "&amp;N2074</f>
        <v>2299</v>
      </c>
      <c r="G2074" t="s">
        <f>TEXT(D2074,"mmm dd")</f>
        <v>421</v>
      </c>
      <c r="I2074" t="s">
        <v>1273</v>
      </c>
      <c r="J2074" t="s">
        <v>53</v>
      </c>
      <c r="K2074" t="s">
        <v>218</v>
      </c>
      <c r="L2074" t="s">
        <v>314</v>
      </c>
    </row>
    <row r="2075" spans="1:23">
      <c r="A2075">
        <v>3</v>
      </c>
      <c r="B2075">
        <v>6</v>
      </c>
      <c r="C2075">
        <v>2014</v>
      </c>
      <c r="D2075" s="3" t="str">
        <f>B2075&amp;"/"&amp;A2075&amp;"/"&amp;C2075</f>
        <v>6/3/2014</v>
      </c>
      <c r="E2075">
        <v>0.95833333333333337</v>
      </c>
      <c r="F2075" t="s">
        <f>I2075&amp;" "&amp;J2075&amp;" "&amp;K2075&amp;" "&amp;L2075&amp;" "&amp;M2075&amp;" "&amp;N2075</f>
        <v>2033</v>
      </c>
      <c r="G2075" t="s">
        <f>TEXT(D2075,"mmm dd")</f>
        <v>434</v>
      </c>
      <c r="I2075" t="s">
        <v>1892</v>
      </c>
    </row>
    <row r="2076" spans="1:23">
      <c r="A2076">
        <v>5</v>
      </c>
      <c r="B2076">
        <v>6</v>
      </c>
      <c r="C2076">
        <v>2014</v>
      </c>
      <c r="D2076" s="3" t="str">
        <f>B2076&amp;"/"&amp;A2076&amp;"/"&amp;C2076</f>
        <v>6/5/2014</v>
      </c>
      <c r="E2076">
        <v>0.83333333333333337</v>
      </c>
      <c r="F2076" t="s">
        <f>I2076&amp;" "&amp;J2076&amp;" "&amp;K2076&amp;" "&amp;L2076&amp;" "&amp;M2076&amp;" "&amp;N2076</f>
        <v>2299</v>
      </c>
      <c r="G2076" t="s">
        <f>TEXT(D2076,"mmm dd")</f>
        <v>446</v>
      </c>
      <c r="I2076" t="s">
        <v>1273</v>
      </c>
      <c r="J2076" t="s">
        <v>53</v>
      </c>
      <c r="K2076" t="s">
        <v>218</v>
      </c>
      <c r="L2076" t="s">
        <v>314</v>
      </c>
      <c r="O2076" t="s">
        <v>1739</v>
      </c>
    </row>
    <row r="2077" spans="1:23">
      <c r="A2077">
        <v>6</v>
      </c>
      <c r="B2077">
        <v>6</v>
      </c>
      <c r="C2077">
        <v>2014</v>
      </c>
      <c r="D2077" s="3" t="str">
        <f>B2077&amp;"/"&amp;A2077&amp;"/"&amp;C2077</f>
        <v>6/6/2014</v>
      </c>
      <c r="E2077">
        <v>1.0833333333333333</v>
      </c>
      <c r="F2077" t="str">
        <f>I2077&amp;" "&amp;J2077&amp;" "&amp;K2077&amp;" "&amp;L2077&amp;" "&amp;M2077&amp;" "&amp;N2077</f>
        <v>Pray for peace   </v>
      </c>
      <c r="G2077" t="s">
        <f>TEXT(D2077,"mmm dd")</f>
        <v>462</v>
      </c>
      <c r="I2077" t="inlineStr">
        <is>
          <t>Pray</t>
        </is>
      </c>
      <c r="J2077" t="s">
        <v>439</v>
      </c>
      <c r="K2077" t="s">
        <v>1493</v>
      </c>
    </row>
    <row r="2078" spans="1:23">
      <c r="A2078">
        <v>8</v>
      </c>
      <c r="B2078">
        <v>6</v>
      </c>
      <c r="C2078">
        <v>2014</v>
      </c>
      <c r="D2078" s="3" t="str">
        <f>B2078&amp;"/"&amp;A2078&amp;"/"&amp;C2078</f>
        <v>6/8/2014</v>
      </c>
      <c r="E2078">
        <v>0.35416666666666669</v>
      </c>
      <c r="F2078" t="str">
        <f>I2078&amp;" "&amp;J2078&amp;" "&amp;K2078&amp;" "&amp;L2078&amp;" "&amp;M2078&amp;" "&amp;N2078</f>
        <v>Chester and Marilyn Naka  </v>
      </c>
      <c r="G2078" t="s">
        <f>TEXT(D2078,"mmm dd")</f>
        <v>1325</v>
      </c>
      <c r="I2078" t="s">
        <v>1846</v>
      </c>
      <c r="J2078" t="s">
        <v>135</v>
      </c>
      <c r="K2078" t="inlineStr">
        <is>
          <t>Marilyn</t>
        </is>
      </c>
      <c r="L2078" t="s">
        <v>1137</v>
      </c>
    </row>
    <row r="2079" spans="1:23">
      <c r="A2079">
        <v>11</v>
      </c>
      <c r="B2079">
        <v>6</v>
      </c>
      <c r="C2079">
        <v>2014</v>
      </c>
      <c r="D2079" s="3" t="s">
        <f>B2079&amp;"/"&amp;A2079&amp;"/"&amp;C2079</f>
        <v>2321</v>
      </c>
      <c r="E2079">
        <v>1</v>
      </c>
      <c r="F2079" t="s">
        <f>I2079&amp;" "&amp;J2079&amp;" "&amp;K2079&amp;" "&amp;L2079&amp;" "&amp;M2079&amp;" "&amp;N2079</f>
        <v>2132</v>
      </c>
      <c r="G2079" t="s">
        <f>TEXT(D2079,"mmm dd")</f>
        <v>487</v>
      </c>
      <c r="I2079" t="s">
        <v>1902</v>
      </c>
      <c r="J2079" t="s">
        <v>2133</v>
      </c>
    </row>
    <row r="2080" spans="1:23">
      <c r="A2080">
        <v>11</v>
      </c>
      <c r="B2080">
        <v>6</v>
      </c>
      <c r="C2080">
        <v>2014</v>
      </c>
      <c r="D2080" s="3" t="s">
        <f>B2080&amp;"/"&amp;A2080&amp;"/"&amp;C2080</f>
        <v>2321</v>
      </c>
      <c r="E2080">
        <v>0.29166666666666669</v>
      </c>
      <c r="F2080" t="str">
        <f>I2080&amp;" "&amp;J2080&amp;" "&amp;K2080&amp;" "&amp;L2080&amp;" "&amp;M2080&amp;" "&amp;N2080</f>
        <v>Jan and Charlie   </v>
      </c>
      <c r="G2080" t="s">
        <f>TEXT(D2080,"mmm dd")</f>
        <v>487</v>
      </c>
      <c r="I2080" t="s">
        <v>1819</v>
      </c>
      <c r="J2080" t="s">
        <v>135</v>
      </c>
      <c r="K2080" t="inlineStr">
        <is>
          <t>Charlie</t>
        </is>
      </c>
    </row>
    <row r="2081" spans="1:23">
      <c r="A2081">
        <v>12</v>
      </c>
      <c r="B2081">
        <v>6</v>
      </c>
      <c r="C2081">
        <v>2014</v>
      </c>
      <c r="D2081" s="3" t="s">
        <f>B2081&amp;"/"&amp;A2081&amp;"/"&amp;C2081</f>
        <v>2322</v>
      </c>
      <c r="E2081">
        <v>0.83333333333333337</v>
      </c>
      <c r="F2081" t="s">
        <f>I2081&amp;" "&amp;J2081&amp;" "&amp;K2081&amp;" "&amp;L2081&amp;" "&amp;M2081&amp;" "&amp;N2081</f>
        <v>2299</v>
      </c>
      <c r="G2081" t="s">
        <f>TEXT(D2081,"mmm dd")</f>
        <v>501</v>
      </c>
      <c r="I2081" t="s">
        <v>1273</v>
      </c>
      <c r="J2081" t="s">
        <v>53</v>
      </c>
      <c r="K2081" t="s">
        <v>218</v>
      </c>
      <c r="L2081" t="s">
        <v>314</v>
      </c>
    </row>
    <row r="2082" spans="1:23">
      <c r="A2082">
        <v>12</v>
      </c>
      <c r="B2082">
        <v>6</v>
      </c>
      <c r="C2082">
        <v>2014</v>
      </c>
      <c r="D2082" s="3" t="s">
        <f>B2082&amp;"/"&amp;A2082&amp;"/"&amp;C2082</f>
        <v>2322</v>
      </c>
      <c r="E2082">
        <v>0.95833333333333337</v>
      </c>
      <c r="F2082" t="str">
        <f>I2082&amp;" "&amp;J2082&amp;" "&amp;K2082&amp;" "&amp;L2082&amp;" "&amp;M2082&amp;" "&amp;N2082</f>
        <v>P U title at CPB </v>
      </c>
      <c r="G2082" t="s">
        <f>TEXT(D2082,"mmm dd")</f>
        <v>501</v>
      </c>
      <c r="I2082" t="s">
        <v>615</v>
      </c>
      <c r="J2082" t="s">
        <v>616</v>
      </c>
      <c r="K2082" t="s">
        <v>1702</v>
      </c>
      <c r="L2082" t="s">
        <v>53</v>
      </c>
      <c r="M2082" t="inlineStr">
        <is>
          <t>CPB</t>
        </is>
      </c>
    </row>
    <row r="2083" spans="1:23">
      <c r="A2083">
        <v>12</v>
      </c>
      <c r="B2083">
        <v>6</v>
      </c>
      <c r="C2083">
        <v>2014</v>
      </c>
      <c r="D2083" s="3" t="s">
        <f>B2083&amp;"/"&amp;A2083&amp;"/"&amp;C2083</f>
        <v>2322</v>
      </c>
      <c r="E2083">
        <v>0.875</v>
      </c>
      <c r="F2083" t="str">
        <f>I2083&amp;" "&amp;J2083&amp;" "&amp;K2083&amp;" "&amp;L2083&amp;" "&amp;M2083&amp;" "&amp;N2083</f>
        <v>P U check   </v>
      </c>
      <c r="G2083" t="s">
        <f>TEXT(D2083,"mmm dd")</f>
        <v>501</v>
      </c>
      <c r="I2083" t="s">
        <v>615</v>
      </c>
      <c r="J2083" t="s">
        <v>616</v>
      </c>
      <c r="K2083" t="s">
        <v>2323</v>
      </c>
    </row>
    <row r="2084" spans="1:23">
      <c r="A2084">
        <v>15</v>
      </c>
      <c r="B2084">
        <v>6</v>
      </c>
      <c r="C2084">
        <v>2014</v>
      </c>
      <c r="D2084" s="3" t="str">
        <f>B2084&amp;"/"&amp;A2084&amp;"/"&amp;C2084</f>
        <v>6/15/2014</v>
      </c>
      <c r="E2084">
        <v>0.29166666666666669</v>
      </c>
      <c r="F2084" t="str">
        <f>I2084&amp;" "&amp;J2084&amp;" "&amp;K2084&amp;" "&amp;L2084&amp;" "&amp;M2084&amp;" "&amp;N2084</f>
        <v>Ralph &amp; Carol dinner  </v>
      </c>
      <c r="G2084" t="s">
        <f>TEXT(D2084,"mmm dd")</f>
        <v>533</v>
      </c>
      <c r="I2084" t="s">
        <v>2017</v>
      </c>
      <c r="J2084" t="s">
        <v>73</v>
      </c>
      <c r="K2084" t="s">
        <v>1750</v>
      </c>
      <c r="L2084" t="s">
        <v>517</v>
      </c>
    </row>
    <row r="2085" spans="1:23">
      <c r="A2085">
        <v>16</v>
      </c>
      <c r="B2085">
        <v>6</v>
      </c>
      <c r="C2085">
        <v>2014</v>
      </c>
      <c r="D2085" s="3" t="str">
        <f>B2085&amp;"/"&amp;A2085&amp;"/"&amp;C2085</f>
        <v>6/16/2014</v>
      </c>
      <c r="E2085">
        <v>0.21875</v>
      </c>
      <c r="F2085" t="str">
        <f>I2085&amp;" "&amp;J2085&amp;" "&amp;K2085&amp;" "&amp;L2085&amp;" "&amp;M2085&amp;" "&amp;N2085</f>
        <v>Bill Karla arr. from Kona </v>
      </c>
      <c r="G2085" t="s">
        <f>TEXT(D2085,"mmm dd")</f>
        <v>543</v>
      </c>
      <c r="I2085" t="s">
        <v>814</v>
      </c>
      <c r="J2085" t="s">
        <v>2176</v>
      </c>
      <c r="K2085" t="s">
        <v>2324</v>
      </c>
      <c r="L2085" t="s">
        <v>874</v>
      </c>
      <c r="M2085" t="s">
        <v>2231</v>
      </c>
    </row>
    <row r="2086" spans="1:23">
      <c r="A2086">
        <v>21</v>
      </c>
      <c r="B2086">
        <v>6</v>
      </c>
      <c r="C2086">
        <v>2014</v>
      </c>
      <c r="D2086" s="3" t="str">
        <f>B2086&amp;"/"&amp;A2086&amp;"/"&amp;C2086</f>
        <v>6/21/2014</v>
      </c>
      <c r="E2086">
        <v>0.17708333333333334</v>
      </c>
      <c r="F2086" t="str">
        <f>I2086&amp;" "&amp;J2086&amp;" "&amp;K2086&amp;" "&amp;L2086&amp;" "&amp;M2086&amp;" "&amp;N2086</f>
        <v>Dr Sakamoto    </v>
      </c>
      <c r="G2086" t="s">
        <f>TEXT(D2086,"mmm dd")</f>
        <v>568</v>
      </c>
      <c r="I2086" t="s">
        <v>1791</v>
      </c>
      <c r="J2086" t="s">
        <v>1990</v>
      </c>
    </row>
    <row r="2087" spans="1:23">
      <c r="A2087">
        <v>23</v>
      </c>
      <c r="B2087">
        <v>6</v>
      </c>
      <c r="C2087">
        <v>2014</v>
      </c>
      <c r="D2087" s="3" t="str">
        <f>B2087&amp;"/"&amp;A2087&amp;"/"&amp;C2087</f>
        <v>6/23/2014</v>
      </c>
      <c r="E2087">
        <v>0.49444444444444446</v>
      </c>
      <c r="F2087" t="str">
        <f>I2087&amp;" "&amp;J2087&amp;" "&amp;K2087&amp;" "&amp;L2087&amp;" "&amp;M2087&amp;" "&amp;N2087</f>
        <v>Bill   Karla depart </v>
      </c>
      <c r="G2087" t="s">
        <f>TEXT(D2087,"mmm dd")</f>
        <v>579</v>
      </c>
      <c r="I2087" t="s">
        <v>814</v>
      </c>
      <c r="L2087" t="s">
        <v>2176</v>
      </c>
      <c r="M2087" t="s">
        <v>580</v>
      </c>
    </row>
    <row r="2088" spans="1:23">
      <c r="A2088">
        <v>25</v>
      </c>
      <c r="B2088">
        <v>6</v>
      </c>
      <c r="C2088">
        <v>2014</v>
      </c>
      <c r="D2088" s="3" t="str">
        <f>B2088&amp;"/"&amp;A2088&amp;"/"&amp;C2088</f>
        <v>6/25/2014</v>
      </c>
      <c r="E2088">
        <v>0.16666666666666666</v>
      </c>
      <c r="F2088" t="s">
        <f>I2088&amp;" "&amp;J2088&amp;" "&amp;K2088&amp;" "&amp;L2088&amp;" "&amp;M2088&amp;" "&amp;N2088</f>
        <v>1721</v>
      </c>
      <c r="G2088" t="s">
        <f>TEXT(D2088,"mmm dd")</f>
        <v>589</v>
      </c>
      <c r="I2088" t="s">
        <v>1722</v>
      </c>
      <c r="J2088" t="s">
        <v>1723</v>
      </c>
    </row>
    <row r="2089" spans="1:23">
      <c r="A2089">
        <v>26</v>
      </c>
      <c r="B2089">
        <v>6</v>
      </c>
      <c r="C2089">
        <v>2014</v>
      </c>
      <c r="D2089" s="3" t="s">
        <f>B2089&amp;"/"&amp;A2089&amp;"/"&amp;C2089</f>
        <v>2325</v>
      </c>
      <c r="E2089" t="s">
        <v>42</v>
      </c>
      <c r="F2089" t="str">
        <f>I2089&amp;" "&amp;J2089&amp;" "&amp;K2089&amp;" "&amp;L2089&amp;" "&amp;M2089&amp;" "&amp;N2089</f>
        <v>Les Phillips left   </v>
      </c>
      <c r="G2089" t="s">
        <f>TEXT(D2089,"mmm dd")</f>
        <v>1335</v>
      </c>
      <c r="I2089" t="inlineStr">
        <is>
          <t>Les</t>
        </is>
      </c>
      <c r="J2089" t="inlineStr">
        <is>
          <t>Phillips</t>
        </is>
      </c>
      <c r="K2089" t="s">
        <v>2326</v>
      </c>
    </row>
    <row r="2090" spans="1:23">
      <c r="A2090">
        <v>27</v>
      </c>
      <c r="B2090">
        <v>6</v>
      </c>
      <c r="C2090">
        <v>2014</v>
      </c>
      <c r="D2090" s="3" t="s">
        <f>B2090&amp;"/"&amp;A2090&amp;"/"&amp;C2090</f>
        <v>2327</v>
      </c>
      <c r="E2090">
        <v>0.85416666666666663</v>
      </c>
      <c r="F2090" t="s">
        <f>I2090&amp;" "&amp;J2090&amp;" "&amp;K2090&amp;" "&amp;L2090&amp;" "&amp;M2090&amp;" "&amp;N2090</f>
        <v>2260</v>
      </c>
      <c r="G2090" t="s">
        <f>TEXT(D2090,"mmm dd")</f>
        <v>1336</v>
      </c>
      <c r="I2090" t="s">
        <v>1990</v>
      </c>
    </row>
    <row r="2091" spans="1:23">
      <c r="A2091">
        <v>27</v>
      </c>
      <c r="B2091">
        <v>6</v>
      </c>
      <c r="C2091">
        <v>2014</v>
      </c>
      <c r="D2091" s="3" t="s">
        <f>B2091&amp;"/"&amp;A2091&amp;"/"&amp;C2091</f>
        <v>2327</v>
      </c>
      <c r="E2091">
        <v>1</v>
      </c>
      <c r="F2091" t="str">
        <f>I2091&amp;" "&amp;J2091&amp;" "&amp;K2091&amp;" "&amp;L2091&amp;" "&amp;M2091&amp;" "&amp;N2091</f>
        <v>Frank Chun for lunch  </v>
      </c>
      <c r="G2091" t="s">
        <f>TEXT(D2091,"mmm dd")</f>
        <v>1336</v>
      </c>
      <c r="I2091" t="s">
        <v>740</v>
      </c>
      <c r="J2091" t="s">
        <v>741</v>
      </c>
      <c r="K2091" t="s">
        <v>439</v>
      </c>
      <c r="L2091" t="s">
        <v>440</v>
      </c>
    </row>
    <row r="2092" spans="1:23">
      <c r="A2092">
        <v>30</v>
      </c>
      <c r="B2092">
        <v>6</v>
      </c>
      <c r="C2092">
        <v>2014</v>
      </c>
      <c r="D2092" s="3" t="str">
        <f>B2092&amp;"/"&amp;A2092&amp;"/"&amp;C2092</f>
        <v>6/30/2014</v>
      </c>
      <c r="E2092">
        <v>0.20833333333333334</v>
      </c>
      <c r="F2092" t="str">
        <f>I2092&amp;" "&amp;J2092&amp;" "&amp;K2092&amp;" "&amp;L2092&amp;" "&amp;M2092&amp;" "&amp;N2092</f>
        <v>Ola G. mass HVAE  </v>
      </c>
      <c r="G2092" t="s">
        <f>TEXT(D2092,"mmm dd")</f>
        <v>12</v>
      </c>
      <c r="I2092" t="inlineStr">
        <is>
          <t>Ola</t>
        </is>
      </c>
      <c r="J2092" t="inlineStr">
        <is>
          <t>G.</t>
        </is>
      </c>
      <c r="K2092" t="s">
        <v>1774</v>
      </c>
      <c r="L2092" t="inlineStr">
        <is>
          <t>HVAE</t>
        </is>
      </c>
    </row>
    <row r="2093" spans="1:23">
      <c r="A2093">
        <v>1</v>
      </c>
      <c r="B2093">
        <v>7</v>
      </c>
      <c r="C2093">
        <v>2014</v>
      </c>
      <c r="D2093" s="3" t="str">
        <f>B2093&amp;"/"&amp;A2093&amp;"/"&amp;C2093</f>
        <v>7/1/2014</v>
      </c>
      <c r="E2093">
        <v>0.95833333333333337</v>
      </c>
      <c r="F2093" t="s">
        <f>I2093&amp;" "&amp;J2093&amp;" "&amp;K2093&amp;" "&amp;L2093&amp;" "&amp;M2093&amp;" "&amp;N2093</f>
        <v>2033</v>
      </c>
      <c r="G2093" t="s">
        <f>TEXT(D2093,"mmm dd")</f>
        <v>13</v>
      </c>
      <c r="I2093" t="s">
        <v>1892</v>
      </c>
    </row>
    <row r="2094" spans="1:23">
      <c r="A2094">
        <v>5</v>
      </c>
      <c r="B2094">
        <v>7</v>
      </c>
      <c r="C2094">
        <v>2014</v>
      </c>
      <c r="D2094" s="3" t="s">
        <f>B2094&amp;"/"&amp;A2094&amp;"/"&amp;C2094</f>
        <v>2328</v>
      </c>
      <c r="E2094">
        <v>0.95833333333333337</v>
      </c>
      <c r="F2094" t="str">
        <f>I2094&amp;" "&amp;J2094&amp;" "&amp;K2094&amp;" "&amp;L2094&amp;" "&amp;M2094&amp;" "&amp;N2094</f>
        <v>Pick up Gary for airport </v>
      </c>
      <c r="G2094" t="s">
        <f>TEXT(D2094,"mmm dd")</f>
        <v>20</v>
      </c>
      <c r="I2094" t="s">
        <v>806</v>
      </c>
      <c r="J2094" t="s">
        <v>807</v>
      </c>
      <c r="K2094" t="s">
        <v>1870</v>
      </c>
      <c r="L2094" t="s">
        <v>439</v>
      </c>
      <c r="M2094" t="s">
        <v>1477</v>
      </c>
    </row>
    <row r="2095" spans="1:23">
      <c r="A2095">
        <v>5</v>
      </c>
      <c r="B2095">
        <v>7</v>
      </c>
      <c r="C2095">
        <v>2014</v>
      </c>
      <c r="D2095" s="3" t="s">
        <f>B2095&amp;"/"&amp;A2095&amp;"/"&amp;C2095</f>
        <v>2328</v>
      </c>
      <c r="E2095">
        <v>0.29166666666666669</v>
      </c>
      <c r="F2095" t="str">
        <f>I2095&amp;" "&amp;J2095&amp;" "&amp;K2095&amp;" "&amp;L2095&amp;" "&amp;M2095&amp;" "&amp;N2095</f>
        <v>Dinner with Murray &amp; Young Mi</v>
      </c>
      <c r="G2095" t="s">
        <f>TEXT(D2095,"mmm dd")</f>
        <v>20</v>
      </c>
      <c r="I2095" t="s">
        <v>838</v>
      </c>
      <c r="J2095" t="s">
        <v>755</v>
      </c>
      <c r="K2095" t="s">
        <v>1008</v>
      </c>
      <c r="L2095" t="s">
        <v>73</v>
      </c>
      <c r="M2095" t="s">
        <v>2329</v>
      </c>
      <c r="N2095" t="s">
        <v>2330</v>
      </c>
    </row>
    <row r="2096" spans="1:23">
      <c r="A2096">
        <v>8</v>
      </c>
      <c r="B2096">
        <v>7</v>
      </c>
      <c r="C2096">
        <v>2014</v>
      </c>
      <c r="D2096" s="3" t="str">
        <f>B2096&amp;"/"&amp;A2096&amp;"/"&amp;C2096</f>
        <v>7/8/2014</v>
      </c>
      <c r="E2096">
        <v>0.95833333333333337</v>
      </c>
      <c r="F2096" t="s">
        <f>I2096&amp;" "&amp;J2096&amp;" "&amp;K2096&amp;" "&amp;L2096&amp;" "&amp;M2096&amp;" "&amp;N2096</f>
        <v>2132</v>
      </c>
      <c r="G2096" t="s">
        <f>TEXT(D2096,"mmm dd")</f>
        <v>623</v>
      </c>
      <c r="I2096" t="s">
        <v>1902</v>
      </c>
      <c r="J2096" t="s">
        <v>2133</v>
      </c>
    </row>
    <row r="2097" spans="1:23">
      <c r="A2097">
        <v>9</v>
      </c>
      <c r="B2097">
        <v>7</v>
      </c>
      <c r="C2097">
        <v>2014</v>
      </c>
      <c r="D2097" s="3" t="str">
        <f>B2097&amp;"/"&amp;A2097&amp;"/"&amp;C2097</f>
        <v>7/9/2014</v>
      </c>
      <c r="E2097">
        <v>0.25</v>
      </c>
      <c r="F2097" t="s">
        <f>I2097&amp;" "&amp;J2097&amp;" "&amp;K2097&amp;" "&amp;L2097&amp;" "&amp;M2097&amp;" "&amp;N2097</f>
        <v>2331</v>
      </c>
      <c r="G2097" t="s">
        <f>TEXT(D2097,"mmm dd")</f>
        <v>625</v>
      </c>
      <c r="I2097" t="s">
        <v>1028</v>
      </c>
      <c r="J2097" t="s">
        <v>1008</v>
      </c>
    </row>
    <row r="2098" spans="1:23">
      <c r="A2098">
        <v>17</v>
      </c>
      <c r="B2098">
        <v>7</v>
      </c>
      <c r="C2098">
        <v>2014</v>
      </c>
      <c r="D2098" s="3" t="str">
        <f>B2098&amp;"/"&amp;A2098&amp;"/"&amp;C2098</f>
        <v>7/17/2014</v>
      </c>
      <c r="E2098">
        <v>0.84375</v>
      </c>
      <c r="F2098" t="str">
        <f>I2098&amp;" "&amp;J2098&amp;" "&amp;K2098&amp;" "&amp;L2098&amp;" "&amp;M2098&amp;" "&amp;N2098</f>
        <v>Comporium cable set up  </v>
      </c>
      <c r="G2098" t="s">
        <f>TEXT(D2098,"mmm dd")</f>
        <v>653</v>
      </c>
      <c r="I2098" t="s">
        <v>2332</v>
      </c>
      <c r="J2098" t="inlineStr">
        <is>
          <t>cable</t>
        </is>
      </c>
      <c r="K2098" t="s">
        <v>2145</v>
      </c>
      <c r="L2098" t="s">
        <v>807</v>
      </c>
    </row>
    <row r="2099" spans="1:23">
      <c r="A2099">
        <v>18</v>
      </c>
      <c r="B2099">
        <v>7</v>
      </c>
      <c r="C2099">
        <v>2014</v>
      </c>
      <c r="D2099" s="3" t="str">
        <f>B2099&amp;"/"&amp;A2099&amp;"/"&amp;C2099</f>
        <v>7/18/2014</v>
      </c>
      <c r="E2099">
        <v>0.70833333333333337</v>
      </c>
      <c r="F2099" t="str">
        <f>I2099&amp;" "&amp;J2099&amp;" "&amp;K2099&amp;" "&amp;L2099&amp;" "&amp;M2099&amp;" "&amp;N2099</f>
        <v>Meet with Peter Judge  </v>
      </c>
      <c r="G2099" t="s">
        <f>TEXT(D2099,"mmm dd")</f>
        <v>658</v>
      </c>
      <c r="I2099" t="s">
        <v>300</v>
      </c>
      <c r="J2099" t="s">
        <v>755</v>
      </c>
      <c r="K2099" t="s">
        <v>604</v>
      </c>
      <c r="L2099" t="s">
        <v>2333</v>
      </c>
    </row>
    <row r="2100" spans="1:23">
      <c r="A2100">
        <v>5</v>
      </c>
      <c r="B2100">
        <v>8</v>
      </c>
      <c r="C2100">
        <v>2014</v>
      </c>
      <c r="D2100" s="3" t="str">
        <f>B2100&amp;"/"&amp;A2100&amp;"/"&amp;C2100</f>
        <v>8/5/2014</v>
      </c>
      <c r="E2100">
        <v>0.70833333333333337</v>
      </c>
      <c r="F2100" t="str">
        <f>I2100&amp;" "&amp;J2100&amp;" "&amp;K2100&amp;" "&amp;L2100&amp;" "&amp;M2100&amp;" "&amp;N2100</f>
        <v>AAA tires    </v>
      </c>
      <c r="G2100" t="s">
        <f>TEXT(D2100,"mmm dd")</f>
        <v>1361</v>
      </c>
      <c r="I2100" t="inlineStr">
        <is>
          <t>AAA</t>
        </is>
      </c>
      <c r="J2100" t="s">
        <v>2334</v>
      </c>
    </row>
    <row r="2101" spans="1:23">
      <c r="A2101">
        <v>15</v>
      </c>
      <c r="B2101">
        <v>8</v>
      </c>
      <c r="C2101">
        <v>2014</v>
      </c>
      <c r="D2101" s="3" t="str">
        <f>B2101&amp;"/"&amp;A2101&amp;"/"&amp;C2101</f>
        <v>8/15/2014</v>
      </c>
      <c r="E2101">
        <v>0.70833333333333337</v>
      </c>
      <c r="F2101" t="str">
        <f>I2101&amp;" "&amp;J2101&amp;" "&amp;K2101&amp;" "&amp;L2101&amp;" "&amp;M2101&amp;" "&amp;N2101</f>
        <v>Peter Judge    </v>
      </c>
      <c r="G2101" t="s">
        <f>TEXT(D2101,"mmm dd")</f>
        <v>776</v>
      </c>
      <c r="I2101" t="s">
        <v>604</v>
      </c>
      <c r="J2101" t="s">
        <v>2333</v>
      </c>
    </row>
    <row r="2102" spans="1:23">
      <c r="A2102">
        <v>19</v>
      </c>
      <c r="B2102">
        <v>8</v>
      </c>
      <c r="C2102">
        <v>2014</v>
      </c>
      <c r="D2102" s="3" t="str">
        <f>B2102&amp;"/"&amp;A2102&amp;"/"&amp;C2102</f>
        <v>8/19/2014</v>
      </c>
      <c r="E2102">
        <v>0.83333333333333337</v>
      </c>
      <c r="F2102" t="str">
        <f>I2102&amp;" "&amp;J2102&amp;" "&amp;K2102&amp;" "&amp;L2102&amp;" "&amp;M2102&amp;" "&amp;N2102</f>
        <v>Dept meeting Phil   </v>
      </c>
      <c r="G2102" t="s">
        <f>TEXT(D2102,"mmm dd")</f>
        <v>805</v>
      </c>
      <c r="I2102" t="s">
        <v>867</v>
      </c>
      <c r="J2102" t="s">
        <v>842</v>
      </c>
      <c r="K2102" t="s">
        <v>2335</v>
      </c>
    </row>
    <row r="2103" spans="1:23">
      <c r="A2103">
        <v>21</v>
      </c>
      <c r="B2103">
        <v>8</v>
      </c>
      <c r="C2103">
        <v>2014</v>
      </c>
      <c r="D2103" s="3" t="str">
        <f>B2103&amp;"/"&amp;A2103&amp;"/"&amp;C2103</f>
        <v>8/21/2014</v>
      </c>
      <c r="E2103">
        <v>0.85416666666666663</v>
      </c>
      <c r="F2103" t="str">
        <f>I2103&amp;" "&amp;J2103&amp;" "&amp;K2103&amp;" "&amp;L2103&amp;" "&amp;M2103&amp;" "&amp;N2103</f>
        <v>Deliver bed frames   </v>
      </c>
      <c r="G2103" t="s">
        <f>TEXT(D2103,"mmm dd")</f>
        <v>818</v>
      </c>
      <c r="I2103" t="s">
        <v>1740</v>
      </c>
      <c r="J2103" t="inlineStr">
        <is>
          <t>bed</t>
        </is>
      </c>
      <c r="K2103" t="inlineStr">
        <is>
          <t>frames</t>
        </is>
      </c>
    </row>
    <row r="2104" spans="1:23">
      <c r="A2104">
        <v>24</v>
      </c>
      <c r="B2104">
        <v>8</v>
      </c>
      <c r="C2104">
        <v>2014</v>
      </c>
      <c r="D2104" s="3" t="str">
        <f>B2104&amp;"/"&amp;A2104&amp;"/"&amp;C2104</f>
        <v>8/24/2014</v>
      </c>
      <c r="E2104">
        <v>0.875</v>
      </c>
      <c r="F2104" t="s">
        <f>I2104&amp;" "&amp;J2104&amp;" "&amp;K2104&amp;" "&amp;L2104&amp;" "&amp;M2104&amp;" "&amp;N2104</f>
        <v>2336</v>
      </c>
      <c r="G2104" t="s">
        <f>TEXT(D2104,"mmm dd")</f>
        <v>1372</v>
      </c>
      <c r="I2104" t="s">
        <v>2125</v>
      </c>
      <c r="J2104" t="s">
        <v>832</v>
      </c>
    </row>
    <row r="2105" spans="1:23">
      <c r="A2105">
        <v>25</v>
      </c>
      <c r="B2105">
        <v>8</v>
      </c>
      <c r="C2105">
        <v>2014</v>
      </c>
      <c r="D2105" s="3" t="str">
        <f>B2105&amp;"/"&amp;A2105&amp;"/"&amp;C2105</f>
        <v>8/25/2014</v>
      </c>
      <c r="E2105">
        <v>0.51041666666666663</v>
      </c>
      <c r="F2105" t="s">
        <f>I2105&amp;" "&amp;J2105&amp;" "&amp;K2105&amp;" "&amp;L2105&amp;" "&amp;M2105&amp;" "&amp;N2105</f>
        <v>2337</v>
      </c>
      <c r="G2105" t="s">
        <f>TEXT(D2105,"mmm dd")</f>
        <v>2046</v>
      </c>
      <c r="I2105" t="s">
        <v>2338</v>
      </c>
      <c r="J2105">
        <v>313</v>
      </c>
    </row>
    <row r="2106" spans="1:23">
      <c r="A2106">
        <v>26</v>
      </c>
      <c r="B2106">
        <v>8</v>
      </c>
      <c r="C2106">
        <v>2014</v>
      </c>
      <c r="D2106" s="3" t="str">
        <f>B2106&amp;"/"&amp;A2106&amp;"/"&amp;C2106</f>
        <v>8/26/2014</v>
      </c>
      <c r="E2106">
        <v>0.66666666666666663</v>
      </c>
      <c r="F2106" t="str">
        <f>I2106&amp;" "&amp;J2106&amp;" "&amp;K2106&amp;" "&amp;L2106&amp;" "&amp;M2106&amp;" "&amp;N2106</f>
        <v>Deliver our stuff   </v>
      </c>
      <c r="G2106" t="s">
        <f>TEXT(D2106,"mmm dd")</f>
        <v>837</v>
      </c>
      <c r="I2106" t="s">
        <v>1740</v>
      </c>
      <c r="J2106" t="s">
        <v>2339</v>
      </c>
      <c r="K2106" t="s">
        <v>1700</v>
      </c>
    </row>
    <row r="2107" spans="1:23">
      <c r="A2107">
        <v>29</v>
      </c>
      <c r="B2107">
        <v>8</v>
      </c>
      <c r="C2107">
        <v>2014</v>
      </c>
      <c r="D2107" s="3" t="str">
        <f>B2107&amp;"/"&amp;A2107&amp;"/"&amp;C2107</f>
        <v>8/29/2014</v>
      </c>
      <c r="E2107">
        <v>0.94444444444444442</v>
      </c>
      <c r="F2107" t="s">
        <f>I2107&amp;" "&amp;J2107&amp;" "&amp;K2107&amp;" "&amp;L2107&amp;" "&amp;M2107&amp;" "&amp;N2107</f>
        <v>2336</v>
      </c>
      <c r="G2107" t="s">
        <f>TEXT(D2107,"mmm dd")</f>
        <v>841</v>
      </c>
      <c r="I2107" t="s">
        <v>2125</v>
      </c>
      <c r="J2107" t="s">
        <v>832</v>
      </c>
    </row>
    <row r="2108" spans="1:23">
      <c r="A2108">
        <v>8</v>
      </c>
      <c r="B2108">
        <v>9</v>
      </c>
      <c r="C2108">
        <v>2014</v>
      </c>
      <c r="D2108" s="3" t="s">
        <f>B2108&amp;"/"&amp;A2108&amp;"/"&amp;C2108</f>
        <v>2340</v>
      </c>
      <c r="E2108">
        <v>0.75</v>
      </c>
      <c r="F2108" t="str">
        <f>I2108&amp;" "&amp;J2108&amp;" "&amp;K2108&amp;" "&amp;L2108&amp;" "&amp;M2108&amp;" "&amp;N2108</f>
        <v>Call Brookstone    </v>
      </c>
      <c r="G2108" t="s">
        <f>TEXT(D2108,"mmm dd")</f>
        <v>2077</v>
      </c>
      <c r="I2108" t="s">
        <v>1028</v>
      </c>
      <c r="J2108" t="inlineStr">
        <is>
          <t>Brookstone</t>
        </is>
      </c>
    </row>
    <row r="2109" spans="1:23">
      <c r="A2109">
        <v>8</v>
      </c>
      <c r="B2109">
        <v>9</v>
      </c>
      <c r="C2109">
        <v>2014</v>
      </c>
      <c r="D2109" s="3" t="s">
        <f>B2109&amp;"/"&amp;A2109&amp;"/"&amp;C2109</f>
        <v>2340</v>
      </c>
      <c r="E2109">
        <v>0.52083333333333337</v>
      </c>
      <c r="F2109" t="s">
        <f>I2109&amp;" "&amp;J2109&amp;" "&amp;K2109&amp;" "&amp;L2109&amp;" "&amp;M2109&amp;" "&amp;N2109</f>
        <v>2337</v>
      </c>
      <c r="G2109" t="s">
        <f>TEXT(D2109,"mmm dd")</f>
        <v>2077</v>
      </c>
      <c r="I2109" t="s">
        <v>2338</v>
      </c>
      <c r="J2109">
        <v>313</v>
      </c>
    </row>
    <row r="2110" spans="1:23">
      <c r="A2110">
        <v>9</v>
      </c>
      <c r="B2110">
        <v>9</v>
      </c>
      <c r="C2110">
        <v>2014</v>
      </c>
      <c r="D2110" s="3" t="str">
        <f>B2110&amp;"/"&amp;A2110&amp;"/"&amp;C2110</f>
        <v>9/9/2014</v>
      </c>
      <c r="E2110">
        <v>0.75</v>
      </c>
      <c r="F2110" t="str">
        <f>I2110&amp;" "&amp;J2110&amp;" "&amp;K2110&amp;" "&amp;L2110&amp;" "&amp;M2110&amp;" "&amp;N2110</f>
        <v>Ferpa training    </v>
      </c>
      <c r="G2110" t="s">
        <f>TEXT(D2110,"mmm dd")</f>
        <v>2341</v>
      </c>
      <c r="I2110" t="inlineStr">
        <is>
          <t>Ferpa</t>
        </is>
      </c>
      <c r="J2110" t="s">
        <v>2342</v>
      </c>
    </row>
    <row r="2111" spans="1:23">
      <c r="A2111">
        <v>16</v>
      </c>
      <c r="B2111">
        <v>9</v>
      </c>
      <c r="C2111">
        <v>2014</v>
      </c>
      <c r="D2111" s="3" t="str">
        <f>B2111&amp;"/"&amp;A2111&amp;"/"&amp;C2111</f>
        <v>9/16/2014</v>
      </c>
      <c r="E2111">
        <v>0.75</v>
      </c>
      <c r="F2111" t="str">
        <f>I2111&amp;" "&amp;J2111&amp;" "&amp;K2111&amp;" "&amp;L2111&amp;" "&amp;M2111&amp;" "&amp;N2111</f>
        <v>Turnitin training    </v>
      </c>
      <c r="G2111" t="s">
        <f>TEXT(D2111,"mmm dd")</f>
        <v>870</v>
      </c>
      <c r="I2111" t="inlineStr">
        <is>
          <t>Turnitin</t>
        </is>
      </c>
      <c r="J2111" t="s">
        <v>2342</v>
      </c>
    </row>
    <row r="2112" spans="1:23">
      <c r="A2112">
        <v>25</v>
      </c>
      <c r="B2112">
        <v>9</v>
      </c>
      <c r="C2112">
        <v>2014</v>
      </c>
      <c r="D2112" s="3" t="str">
        <f>B2112&amp;"/"&amp;A2112&amp;"/"&amp;C2112</f>
        <v>9/25/2014</v>
      </c>
      <c r="E2112">
        <v>0.70833333333333337</v>
      </c>
      <c r="F2112" t="str">
        <f>I2112&amp;" "&amp;J2112&amp;" "&amp;K2112&amp;" "&amp;L2112&amp;" "&amp;M2112&amp;" "&amp;N2112</f>
        <v>Myka make up exam  </v>
      </c>
      <c r="G2112" t="s">
        <f>TEXT(D2112,"mmm dd")</f>
        <v>1393</v>
      </c>
      <c r="I2112" t="s">
        <v>2343</v>
      </c>
      <c r="J2112" t="inlineStr">
        <is>
          <t>make</t>
        </is>
      </c>
      <c r="K2112" t="s">
        <v>807</v>
      </c>
      <c r="L2112" t="s">
        <v>2290</v>
      </c>
    </row>
    <row r="2113" spans="1:23">
      <c r="A2113">
        <v>30</v>
      </c>
      <c r="B2113">
        <v>9</v>
      </c>
      <c r="C2113">
        <v>2014</v>
      </c>
      <c r="D2113" s="3" t="str">
        <f>B2113&amp;"/"&amp;A2113&amp;"/"&amp;C2113</f>
        <v>9/30/2014</v>
      </c>
      <c r="E2113">
        <v>0.75</v>
      </c>
      <c r="F2113" t="str">
        <f>I2113&amp;" "&amp;J2113&amp;" "&amp;K2113&amp;" "&amp;L2113&amp;" "&amp;M2113&amp;" "&amp;N2113</f>
        <v>Technology workshop    </v>
      </c>
      <c r="G2113" t="s">
        <f>TEXT(D2113,"mmm dd")</f>
        <v>916</v>
      </c>
      <c r="I2113" t="inlineStr">
        <is>
          <t>Technology</t>
        </is>
      </c>
      <c r="J2113" t="s">
        <v>908</v>
      </c>
    </row>
    <row r="2114" spans="1:23">
      <c r="A2114">
        <v>3</v>
      </c>
      <c r="B2114">
        <v>10</v>
      </c>
      <c r="C2114">
        <v>2014</v>
      </c>
      <c r="D2114" s="3" t="str">
        <f>B2114&amp;"/"&amp;A2114&amp;"/"&amp;C2114</f>
        <v>10/3/2014</v>
      </c>
      <c r="E2114">
        <v>0.95833333333333337</v>
      </c>
      <c r="F2114" t="str">
        <f>I2114&amp;" "&amp;J2114&amp;" "&amp;K2114&amp;" "&amp;L2114&amp;" "&amp;M2114&amp;" "&amp;N2114</f>
        <v>Adjunct Orientation    </v>
      </c>
      <c r="G2114" t="s">
        <f>TEXT(D2114,"mmm dd")</f>
        <v>920</v>
      </c>
      <c r="I2114" t="s">
        <v>2125</v>
      </c>
      <c r="J2114" t="s">
        <v>720</v>
      </c>
    </row>
    <row r="2115" spans="1:23">
      <c r="A2115">
        <v>14</v>
      </c>
      <c r="B2115">
        <v>10</v>
      </c>
      <c r="C2115">
        <v>2014</v>
      </c>
      <c r="D2115" s="3" t="str">
        <f>B2115&amp;"/"&amp;A2115&amp;"/"&amp;C2115</f>
        <v>10/14/2014</v>
      </c>
      <c r="E2115">
        <v>0.69791666666666663</v>
      </c>
      <c r="F2115" t="str">
        <f>I2115&amp;" "&amp;J2115&amp;" "&amp;K2115&amp;" "&amp;L2115&amp;" "&amp;M2115&amp;" "&amp;N2115</f>
        <v>Shiland new patient appointment  </v>
      </c>
      <c r="G2115" t="s">
        <f>TEXT(D2115,"mmm dd")</f>
        <v>938</v>
      </c>
      <c r="I2115" t="inlineStr">
        <is>
          <t>Shiland</t>
        </is>
      </c>
      <c r="J2115" t="inlineStr">
        <is>
          <t>new</t>
        </is>
      </c>
      <c r="K2115" t="inlineStr">
        <is>
          <t>patient</t>
        </is>
      </c>
      <c r="L2115" t="s">
        <v>648</v>
      </c>
    </row>
    <row r="2116" spans="1:23">
      <c r="A2116">
        <v>24</v>
      </c>
      <c r="B2116">
        <v>10</v>
      </c>
      <c r="C2116">
        <v>2014</v>
      </c>
      <c r="D2116" s="3" t="str">
        <f>B2116&amp;"/"&amp;A2116&amp;"/"&amp;C2116</f>
        <v>10/24/2014</v>
      </c>
      <c r="E2116" t="s">
        <v>42</v>
      </c>
      <c r="F2116" t="str">
        <f>I2116&amp;" "&amp;J2116&amp;" "&amp;K2116&amp;" "&amp;L2116&amp;" "&amp;M2116&amp;" "&amp;N2116</f>
        <v>Diocesan Convention    </v>
      </c>
      <c r="G2116" t="s">
        <f>TEXT(D2116,"mmm dd")</f>
        <v>956</v>
      </c>
      <c r="I2116" t="s">
        <v>2344</v>
      </c>
      <c r="J2116" t="s">
        <v>1338</v>
      </c>
    </row>
    <row r="2117" spans="1:23">
      <c r="A2117">
        <v>29</v>
      </c>
      <c r="B2117">
        <v>10</v>
      </c>
      <c r="C2117">
        <v>2014</v>
      </c>
      <c r="D2117" s="3" t="s">
        <f>B2117&amp;"/"&amp;A2117&amp;"/"&amp;C2117</f>
        <v>2345</v>
      </c>
      <c r="E2117">
        <v>0.75</v>
      </c>
      <c r="F2117" t="str">
        <f>I2117&amp;" "&amp;J2117&amp;" "&amp;K2117&amp;" "&amp;L2117&amp;" "&amp;M2117&amp;" "&amp;N2117</f>
        <v>Myka to take exam  </v>
      </c>
      <c r="G2117" t="s">
        <f>TEXT(D2117,"mmm dd")</f>
        <v>962</v>
      </c>
      <c r="I2117" t="s">
        <v>2343</v>
      </c>
      <c r="J2117" t="s">
        <v>449</v>
      </c>
      <c r="K2117" t="s">
        <v>2346</v>
      </c>
      <c r="L2117" t="s">
        <v>2290</v>
      </c>
    </row>
    <row r="2118" spans="1:23">
      <c r="A2118">
        <v>29</v>
      </c>
      <c r="B2118">
        <v>10</v>
      </c>
      <c r="C2118">
        <v>2014</v>
      </c>
      <c r="D2118" s="3" t="s">
        <f>B2118&amp;"/"&amp;A2118&amp;"/"&amp;C2118</f>
        <v>2345</v>
      </c>
      <c r="E2118">
        <v>0.625</v>
      </c>
      <c r="F2118" t="str">
        <f>I2118&amp;" "&amp;J2118&amp;" "&amp;K2118&amp;" "&amp;L2118&amp;" "&amp;M2118&amp;" "&amp;N2118</f>
        <v>Drop off Miata   </v>
      </c>
      <c r="G2118" t="s">
        <f>TEXT(D2118,"mmm dd")</f>
        <v>962</v>
      </c>
      <c r="I2118" t="s">
        <v>1510</v>
      </c>
      <c r="J2118" t="s">
        <v>1511</v>
      </c>
      <c r="K2118" t="s">
        <v>1793</v>
      </c>
    </row>
    <row r="2119" spans="1:23">
      <c r="A2119">
        <v>3</v>
      </c>
      <c r="B2119">
        <v>11</v>
      </c>
      <c r="C2119">
        <v>2014</v>
      </c>
      <c r="D2119" s="3" t="str">
        <f>B2119&amp;"/"&amp;A2119&amp;"/"&amp;C2119</f>
        <v>11/3/2014</v>
      </c>
      <c r="E2119">
        <v>0.72916666666666663</v>
      </c>
      <c r="F2119" t="str">
        <f>I2119&amp;" "&amp;J2119&amp;" "&amp;K2119&amp;" "&amp;L2119&amp;" "&amp;M2119&amp;" "&amp;N2119</f>
        <v>Peter in to observe  </v>
      </c>
      <c r="G2119" t="s">
        <f>TEXT(D2119,"mmm dd")</f>
        <v>33</v>
      </c>
      <c r="I2119" t="s">
        <v>604</v>
      </c>
      <c r="J2119" t="s">
        <v>372</v>
      </c>
      <c r="K2119" t="s">
        <v>449</v>
      </c>
      <c r="L2119" t="s">
        <v>2347</v>
      </c>
    </row>
    <row r="2120" spans="1:23">
      <c r="A2120">
        <v>4</v>
      </c>
      <c r="B2120">
        <v>11</v>
      </c>
      <c r="C2120">
        <v>2014</v>
      </c>
      <c r="D2120" s="3" t="str">
        <f>B2120&amp;"/"&amp;A2120&amp;"/"&amp;C2120</f>
        <v>11/4/2014</v>
      </c>
      <c r="E2120">
        <v>1.09375</v>
      </c>
      <c r="F2120" t="str">
        <f>I2120&amp;" "&amp;J2120&amp;" "&amp;K2120&amp;" "&amp;L2120&amp;" "&amp;M2120&amp;" "&amp;N2120</f>
        <v>Gentleman's cut Keith   </v>
      </c>
      <c r="G2120" t="s">
        <f>TEXT(D2120,"mmm dd")</f>
        <v>34</v>
      </c>
      <c r="I2120" t="inlineStr">
        <is>
          <t>Gentleman's</t>
        </is>
      </c>
      <c r="J2120" t="s">
        <v>2348</v>
      </c>
      <c r="K2120" t="inlineStr">
        <is>
          <t>Keith</t>
        </is>
      </c>
    </row>
    <row r="2121" spans="1:23">
      <c r="A2121">
        <v>19</v>
      </c>
      <c r="B2121">
        <v>11</v>
      </c>
      <c r="C2121">
        <v>2014</v>
      </c>
      <c r="D2121" s="3" t="s">
        <f>B2121&amp;"/"&amp;A2121&amp;"/"&amp;C2121</f>
        <v>2349</v>
      </c>
      <c r="E2121">
        <v>0.91666666666666663</v>
      </c>
      <c r="F2121" t="str">
        <f>I2121&amp;" "&amp;J2121&amp;" "&amp;K2121&amp;" "&amp;L2121&amp;" "&amp;M2121&amp;" "&amp;N2121</f>
        <v>Dale cover MP doctor  </v>
      </c>
      <c r="G2121" t="s">
        <f>TEXT(D2121,"mmm dd")</f>
        <v>1426</v>
      </c>
      <c r="I2121" t="s">
        <v>1316</v>
      </c>
      <c r="J2121" t="inlineStr">
        <is>
          <t>cover</t>
        </is>
      </c>
      <c r="K2121" t="s">
        <v>1664</v>
      </c>
      <c r="L2121" t="s">
        <v>1354</v>
      </c>
    </row>
    <row r="2122" spans="1:23">
      <c r="A2122">
        <v>19</v>
      </c>
      <c r="B2122">
        <v>11</v>
      </c>
      <c r="C2122">
        <v>2014</v>
      </c>
      <c r="D2122" s="3" t="s">
        <f>B2122&amp;"/"&amp;A2122&amp;"/"&amp;C2122</f>
        <v>2349</v>
      </c>
      <c r="E2122">
        <v>0.79166666666666663</v>
      </c>
      <c r="F2122" t="str">
        <f>I2122&amp;" "&amp;J2122&amp;" "&amp;K2122&amp;" "&amp;L2122&amp;" "&amp;M2122&amp;" "&amp;N2122</f>
        <v>LaQuanda Smith    </v>
      </c>
      <c r="G2122" t="s">
        <f>TEXT(D2122,"mmm dd")</f>
        <v>1426</v>
      </c>
      <c r="I2122" t="inlineStr">
        <is>
          <t>LaQuanda</t>
        </is>
      </c>
      <c r="J2122" t="s">
        <v>2108</v>
      </c>
    </row>
    <row r="2123" spans="1:23">
      <c r="A2123">
        <v>23</v>
      </c>
      <c r="B2123">
        <v>11</v>
      </c>
      <c r="C2123">
        <v>2014</v>
      </c>
      <c r="D2123" s="3" t="str">
        <f>B2123&amp;"/"&amp;A2123&amp;"/"&amp;C2123</f>
        <v>11/23/2014</v>
      </c>
      <c r="E2123">
        <v>0.875</v>
      </c>
      <c r="F2123" t="str">
        <f>I2123&amp;" "&amp;J2123&amp;" "&amp;K2123&amp;" "&amp;L2123&amp;" "&amp;M2123&amp;" "&amp;N2123</f>
        <v>Return coupon at Staples  </v>
      </c>
      <c r="G2123" t="s">
        <f>TEXT(D2123,"mmm dd")</f>
        <v>1035</v>
      </c>
      <c r="I2123" t="s">
        <v>548</v>
      </c>
      <c r="J2123" t="inlineStr">
        <is>
          <t>coupon</t>
        </is>
      </c>
      <c r="K2123" t="s">
        <v>53</v>
      </c>
      <c r="L2123" t="inlineStr">
        <is>
          <t>Staples</t>
        </is>
      </c>
    </row>
    <row r="2124" spans="1:23">
      <c r="A2124">
        <v>2</v>
      </c>
      <c r="B2124">
        <v>12</v>
      </c>
      <c r="C2124">
        <v>2014</v>
      </c>
      <c r="D2124" s="3" t="str">
        <f>B2124&amp;"/"&amp;A2124&amp;"/"&amp;C2124</f>
        <v>12/2/2014</v>
      </c>
      <c r="E2124">
        <v>0.75</v>
      </c>
      <c r="F2124" t="s">
        <f>I2124&amp;" "&amp;J2124&amp;" "&amp;K2124&amp;" "&amp;L2124&amp;" "&amp;M2124&amp;" "&amp;N2124</f>
        <v>2350</v>
      </c>
      <c r="G2124" t="s">
        <f>TEXT(D2124,"mmm dd")</f>
        <v>1438</v>
      </c>
      <c r="I2124" t="s">
        <v>1826</v>
      </c>
      <c r="J2124" t="s">
        <v>1835</v>
      </c>
      <c r="K2124" t="s">
        <v>2351</v>
      </c>
      <c r="L2124" t="s">
        <v>2104</v>
      </c>
    </row>
    <row r="2125" spans="1:23">
      <c r="A2125">
        <v>4</v>
      </c>
      <c r="B2125">
        <v>12</v>
      </c>
      <c r="C2125">
        <v>2014</v>
      </c>
      <c r="D2125" s="3" t="str">
        <f>B2125&amp;"/"&amp;A2125&amp;"/"&amp;C2125</f>
        <v>12/4/2014</v>
      </c>
      <c r="E2125">
        <v>0.79166666666666663</v>
      </c>
      <c r="F2125" t="str">
        <f>I2125&amp;" "&amp;J2125&amp;" "&amp;K2125&amp;" "&amp;L2125&amp;" "&amp;M2125&amp;" "&amp;N2125</f>
        <v>Religion faculty meeting   </v>
      </c>
      <c r="G2125" t="s">
        <f>TEXT(D2125,"mmm dd")</f>
        <v>1057</v>
      </c>
      <c r="I2125" t="s">
        <v>2352</v>
      </c>
      <c r="J2125" t="s">
        <v>1599</v>
      </c>
      <c r="K2125" t="s">
        <v>842</v>
      </c>
    </row>
    <row r="2126" spans="1:23">
      <c r="A2126">
        <v>7</v>
      </c>
      <c r="B2126">
        <v>12</v>
      </c>
      <c r="C2126">
        <v>2014</v>
      </c>
      <c r="D2126" s="3" t="s">
        <f>B2126&amp;"/"&amp;A2126&amp;"/"&amp;C2126</f>
        <v>2353</v>
      </c>
      <c r="E2126">
        <v>1</v>
      </c>
      <c r="F2126" t="str">
        <f>I2126&amp;" "&amp;J2126&amp;" "&amp;K2126&amp;" "&amp;L2126&amp;" "&amp;M2126&amp;" "&amp;N2126</f>
        <v>Red Tent Lifetime -165  </v>
      </c>
      <c r="G2126" t="s">
        <f>TEXT(D2126,"mmm dd")</f>
        <v>1447</v>
      </c>
      <c r="I2126" t="inlineStr">
        <is>
          <t>Red</t>
        </is>
      </c>
      <c r="J2126" t="inlineStr">
        <is>
          <t>Tent</t>
        </is>
      </c>
      <c r="K2126" t="inlineStr">
        <is>
          <t>Lifetime</t>
        </is>
      </c>
      <c r="L2126">
        <v>-165</v>
      </c>
    </row>
    <row r="2127" spans="1:23">
      <c r="A2127">
        <v>7</v>
      </c>
      <c r="B2127">
        <v>12</v>
      </c>
      <c r="C2127">
        <v>2014</v>
      </c>
      <c r="D2127" s="3" t="s">
        <f>B2127&amp;"/"&amp;A2127&amp;"/"&amp;C2127</f>
        <v>2353</v>
      </c>
      <c r="E2127">
        <v>1.0520833333333333</v>
      </c>
      <c r="F2127" t="s">
        <f>I2127&amp;" "&amp;J2127&amp;" "&amp;K2127&amp;" "&amp;L2127&amp;" "&amp;M2127&amp;" "&amp;N2127</f>
        <v>2350</v>
      </c>
      <c r="G2127" t="s">
        <f>TEXT(D2127,"mmm dd")</f>
        <v>1447</v>
      </c>
      <c r="I2127" t="s">
        <v>1826</v>
      </c>
      <c r="J2127" t="s">
        <v>1835</v>
      </c>
      <c r="K2127" t="s">
        <v>2351</v>
      </c>
      <c r="L2127" t="s">
        <v>2104</v>
      </c>
    </row>
    <row r="2128" spans="1:23">
      <c r="A2128">
        <v>11</v>
      </c>
      <c r="B2128">
        <v>12</v>
      </c>
      <c r="C2128">
        <v>2014</v>
      </c>
      <c r="D2128" s="3" t="s">
        <f>B2128&amp;"/"&amp;A2128&amp;"/"&amp;C2128</f>
        <v>2354</v>
      </c>
      <c r="E2128">
        <v>0.78125</v>
      </c>
      <c r="F2128" t="str">
        <f>I2128&amp;" "&amp;J2128&amp;" "&amp;K2128&amp;" "&amp;L2128&amp;" "&amp;M2128&amp;" "&amp;N2128</f>
        <v>Hearing test    </v>
      </c>
      <c r="G2128" t="s">
        <f>TEXT(D2128,"mmm dd")</f>
        <v>1455</v>
      </c>
      <c r="I2128" t="s">
        <v>2181</v>
      </c>
      <c r="J2128" t="s">
        <v>768</v>
      </c>
    </row>
    <row r="2129" spans="1:23">
      <c r="A2129">
        <v>11</v>
      </c>
      <c r="B2129">
        <v>12</v>
      </c>
      <c r="C2129">
        <v>2014</v>
      </c>
      <c r="D2129" s="3" t="s">
        <f>B2129&amp;"/"&amp;A2129&amp;"/"&amp;C2129</f>
        <v>2354</v>
      </c>
      <c r="E2129">
        <v>0.125</v>
      </c>
      <c r="F2129" t="str">
        <f>I2129&amp;" "&amp;J2129&amp;" "&amp;K2129&amp;" "&amp;L2129&amp;" "&amp;M2129&amp;" "&amp;N2129</f>
        <v>Peter Judge Messiah   </v>
      </c>
      <c r="G2129" t="s">
        <f>TEXT(D2129,"mmm dd")</f>
        <v>1455</v>
      </c>
      <c r="I2129" t="s">
        <v>604</v>
      </c>
      <c r="J2129" t="s">
        <v>2333</v>
      </c>
      <c r="K2129" t="s">
        <v>2355</v>
      </c>
    </row>
    <row r="2130" spans="1:23">
      <c r="A2130">
        <v>13</v>
      </c>
      <c r="B2130">
        <v>12</v>
      </c>
      <c r="C2130">
        <v>2014</v>
      </c>
      <c r="D2130" s="3" t="str">
        <f>B2130&amp;"/"&amp;A2130&amp;"/"&amp;C2130</f>
        <v>12/13/2014</v>
      </c>
      <c r="E2130">
        <v>0.72916666666666663</v>
      </c>
      <c r="F2130" t="str">
        <f>I2130&amp;" "&amp;J2130&amp;" "&amp;K2130&amp;" "&amp;L2130&amp;" "&amp;M2130&amp;" "&amp;N2130</f>
        <v>Peter Judge on Messiah  </v>
      </c>
      <c r="G2130" t="s">
        <f>TEXT(D2130,"mmm dd")</f>
        <v>1071</v>
      </c>
      <c r="I2130" t="s">
        <v>604</v>
      </c>
      <c r="J2130" t="s">
        <v>2333</v>
      </c>
      <c r="K2130" t="s">
        <v>1449</v>
      </c>
      <c r="L2130" t="s">
        <v>2355</v>
      </c>
    </row>
    <row r="2131" spans="1:23">
      <c r="A2131">
        <v>15</v>
      </c>
      <c r="B2131">
        <v>12</v>
      </c>
      <c r="C2131">
        <v>2014</v>
      </c>
      <c r="D2131" s="3" t="s">
        <f>B2131&amp;"/"&amp;A2131&amp;"/"&amp;C2131</f>
        <v>2356</v>
      </c>
      <c r="E2131">
        <v>0.77083333333333337</v>
      </c>
      <c r="F2131" t="str">
        <f>I2131&amp;" "&amp;J2131&amp;" "&amp;K2131&amp;" "&amp;L2131&amp;" "&amp;M2131&amp;" "&amp;N2131</f>
        <v>Bank of America   </v>
      </c>
      <c r="G2131" t="s">
        <f>TEXT(D2131,"mmm dd")</f>
        <v>1088</v>
      </c>
      <c r="I2131" t="s">
        <v>1855</v>
      </c>
      <c r="J2131" t="s">
        <v>86</v>
      </c>
      <c r="K2131" t="s">
        <v>1856</v>
      </c>
    </row>
    <row r="2132" spans="1:23">
      <c r="A2132">
        <v>15</v>
      </c>
      <c r="B2132">
        <v>12</v>
      </c>
      <c r="C2132">
        <v>2014</v>
      </c>
      <c r="D2132" s="3" t="s">
        <f>B2132&amp;"/"&amp;A2132&amp;"/"&amp;C2132</f>
        <v>2356</v>
      </c>
      <c r="E2132">
        <v>0.8125</v>
      </c>
      <c r="F2132" t="str">
        <f>I2132&amp;" "&amp;J2132&amp;" "&amp;K2132&amp;" "&amp;L2132&amp;" "&amp;M2132&amp;" "&amp;N2132</f>
        <v>Meet Phillip West   </v>
      </c>
      <c r="G2132" t="s">
        <f>TEXT(D2132,"mmm dd")</f>
        <v>1088</v>
      </c>
      <c r="I2132" t="s">
        <v>300</v>
      </c>
      <c r="J2132" t="inlineStr">
        <is>
          <t>Phillip</t>
        </is>
      </c>
      <c r="K2132" t="inlineStr">
        <is>
          <t>West</t>
        </is>
      </c>
    </row>
    <row r="2133" spans="1:23">
      <c r="A2133">
        <v>16</v>
      </c>
      <c r="B2133">
        <v>12</v>
      </c>
      <c r="C2133">
        <v>2014</v>
      </c>
      <c r="D2133" s="3" t="str">
        <f>B2133&amp;"/"&amp;A2133&amp;"/"&amp;C2133</f>
        <v>12/16/2014</v>
      </c>
      <c r="E2133">
        <v>0.8125</v>
      </c>
      <c r="F2133" t="str">
        <f>I2133&amp;" "&amp;J2133&amp;" "&amp;K2133&amp;" "&amp;L2133&amp;" "&amp;M2133&amp;" "&amp;N2133</f>
        <v>RELG 313 Final   </v>
      </c>
      <c r="G2133" t="s">
        <f>TEXT(D2133,"mmm dd")</f>
        <v>1093</v>
      </c>
      <c r="I2133" t="s">
        <v>2357</v>
      </c>
      <c r="J2133">
        <v>313</v>
      </c>
      <c r="K2133" t="s">
        <v>1763</v>
      </c>
    </row>
    <row r="2134" spans="1:23">
      <c r="A2134">
        <v>17</v>
      </c>
      <c r="B2134">
        <v>12</v>
      </c>
      <c r="C2134">
        <v>2014</v>
      </c>
      <c r="D2134" s="3" t="str">
        <f>B2134&amp;"/"&amp;A2134&amp;"/"&amp;C2134</f>
        <v>12/17/2014</v>
      </c>
      <c r="E2134">
        <v>1.0833333333333333</v>
      </c>
      <c r="F2134" t="str">
        <f>I2134&amp;" "&amp;J2134&amp;" "&amp;K2134&amp;" "&amp;L2134&amp;" "&amp;M2134&amp;" "&amp;N2134</f>
        <v>Phone call from Merril Edge re.</v>
      </c>
      <c r="G2134" t="s">
        <f>TEXT(D2134,"mmm dd")</f>
        <v>1097</v>
      </c>
      <c r="I2134" t="s">
        <v>1987</v>
      </c>
      <c r="J2134" t="s">
        <v>418</v>
      </c>
      <c r="K2134" t="s">
        <v>874</v>
      </c>
      <c r="L2134" t="inlineStr">
        <is>
          <t>Merril</t>
        </is>
      </c>
      <c r="M2134" t="inlineStr">
        <is>
          <t>Edge</t>
        </is>
      </c>
      <c r="N2134" t="s">
        <v>633</v>
      </c>
    </row>
    <row r="2135" spans="1:23">
      <c r="A2135">
        <v>7</v>
      </c>
      <c r="B2135">
        <v>1</v>
      </c>
      <c r="C2135">
        <v>2015</v>
      </c>
      <c r="D2135" s="3" t="str">
        <f>B2135&amp;"/"&amp;A2135&amp;"/"&amp;C2135</f>
        <v>1/7/2015</v>
      </c>
      <c r="E2135" t="s">
        <v>42</v>
      </c>
      <c r="F2135" t="str">
        <f>I2135&amp;" "&amp;J2135&amp;" "&amp;K2135&amp;" "&amp;L2135&amp;" "&amp;M2135&amp;" "&amp;N2135</f>
        <v>Tim leaves    </v>
      </c>
      <c r="G2135" t="s">
        <f>TEXT(D2135,"mmm dd")</f>
        <v>1682</v>
      </c>
      <c r="I2135" t="s">
        <v>1423</v>
      </c>
      <c r="J2135" t="s">
        <v>1322</v>
      </c>
    </row>
    <row r="2136" spans="1:23">
      <c r="A2136">
        <v>12</v>
      </c>
      <c r="B2136">
        <v>1</v>
      </c>
      <c r="C2136">
        <v>2015</v>
      </c>
      <c r="D2136" s="3" t="s">
        <f>B2136&amp;"/"&amp;A2136&amp;"/"&amp;C2136</f>
        <v>2358</v>
      </c>
      <c r="E2136">
        <v>0.64583333333333337</v>
      </c>
      <c r="F2136" t="s">
        <f>I2136&amp;" "&amp;J2136&amp;" "&amp;K2136&amp;" "&amp;L2136&amp;" "&amp;M2136&amp;" "&amp;N2136</f>
        <v>2359</v>
      </c>
      <c r="G2136" t="s">
        <f>TEXT(D2136,"mmm dd")</f>
        <v>1478</v>
      </c>
      <c r="I2136" t="s">
        <v>2357</v>
      </c>
      <c r="J2136">
        <v>220</v>
      </c>
      <c r="O2136" t="inlineStr">
        <is>
          <t>wedding?</t>
        </is>
      </c>
    </row>
    <row r="2137" spans="1:23">
      <c r="A2137">
        <v>12</v>
      </c>
      <c r="B2137">
        <v>1</v>
      </c>
      <c r="C2137">
        <v>2015</v>
      </c>
      <c r="D2137" s="3" t="s">
        <f>B2137&amp;"/"&amp;A2137&amp;"/"&amp;C2137</f>
        <v>2358</v>
      </c>
      <c r="E2137">
        <v>0.52083333333333337</v>
      </c>
      <c r="F2137" t="s">
        <f>I2137&amp;" "&amp;J2137&amp;" "&amp;K2137&amp;" "&amp;L2137&amp;" "&amp;M2137&amp;" "&amp;N2137</f>
        <v>2360</v>
      </c>
      <c r="G2137" t="s">
        <f>TEXT(D2137,"mmm dd")</f>
        <v>1478</v>
      </c>
      <c r="I2137" t="s">
        <v>2357</v>
      </c>
      <c r="J2137">
        <v>101</v>
      </c>
    </row>
    <row r="2138" spans="1:23">
      <c r="A2138">
        <v>15</v>
      </c>
      <c r="B2138">
        <v>1</v>
      </c>
      <c r="C2138">
        <v>2015</v>
      </c>
      <c r="D2138" s="3" t="str">
        <f>B2138&amp;"/"&amp;A2138&amp;"/"&amp;C2138</f>
        <v>1/15/2015</v>
      </c>
      <c r="E2138">
        <v>0.79166666666666663</v>
      </c>
      <c r="F2138" t="str">
        <f>I2138&amp;" "&amp;J2138&amp;" "&amp;K2138&amp;" "&amp;L2138&amp;" "&amp;M2138&amp;" "&amp;N2138</f>
        <v>Elizabeth for haircut   </v>
      </c>
      <c r="G2138" t="s">
        <f>TEXT(D2138,"mmm dd")</f>
        <v>1686</v>
      </c>
      <c r="I2138" t="s">
        <v>664</v>
      </c>
      <c r="J2138" t="s">
        <v>439</v>
      </c>
      <c r="K2138" t="s">
        <v>1625</v>
      </c>
    </row>
    <row r="2139" spans="1:23">
      <c r="A2139">
        <v>2</v>
      </c>
      <c r="B2139">
        <v>2</v>
      </c>
      <c r="C2139">
        <v>2015</v>
      </c>
      <c r="D2139" s="3" t="str">
        <f>B2139&amp;"/"&amp;A2139&amp;"/"&amp;C2139</f>
        <v>2/2/2015</v>
      </c>
      <c r="E2139">
        <v>0.70833333333333337</v>
      </c>
      <c r="F2139" t="s">
        <f>I2139&amp;" "&amp;J2139&amp;" "&amp;K2139&amp;" "&amp;L2139&amp;" "&amp;M2139&amp;" "&amp;N2139</f>
        <v>2361</v>
      </c>
      <c r="G2139" t="s">
        <f>TEXT(D2139,"mmm dd")</f>
        <v>1699</v>
      </c>
      <c r="I2139" t="s">
        <v>493</v>
      </c>
      <c r="J2139" t="s">
        <v>2362</v>
      </c>
    </row>
    <row r="2140" spans="1:23">
      <c r="A2140">
        <v>3</v>
      </c>
      <c r="B2140">
        <v>2</v>
      </c>
      <c r="C2140">
        <v>2015</v>
      </c>
      <c r="D2140" s="3" t="str">
        <f>B2140&amp;"/"&amp;A2140&amp;"/"&amp;C2140</f>
        <v>2/3/2015</v>
      </c>
      <c r="E2140">
        <v>0.875</v>
      </c>
      <c r="F2140" t="str">
        <f>I2140&amp;" "&amp;J2140&amp;" "&amp;K2140&amp;" "&amp;L2140&amp;" "&amp;M2140&amp;" "&amp;N2140</f>
        <v>Check for 1 time lens replace</v>
      </c>
      <c r="G2140" t="s">
        <f>TEXT(D2140,"mmm dd")</f>
        <v>1501</v>
      </c>
      <c r="I2140" t="s">
        <v>2363</v>
      </c>
      <c r="J2140" t="s">
        <v>439</v>
      </c>
      <c r="K2140">
        <v>1</v>
      </c>
      <c r="L2140" t="s">
        <v>2068</v>
      </c>
      <c r="M2140" t="inlineStr">
        <is>
          <t>lens</t>
        </is>
      </c>
      <c r="N2140" t="inlineStr">
        <is>
          <t>replace</t>
        </is>
      </c>
    </row>
    <row r="2141" spans="1:23">
      <c r="A2141">
        <v>4</v>
      </c>
      <c r="B2141">
        <v>2</v>
      </c>
      <c r="C2141">
        <v>2015</v>
      </c>
      <c r="D2141" s="3" t="str">
        <f>B2141&amp;"/"&amp;A2141&amp;"/"&amp;C2141</f>
        <v>2/4/2015</v>
      </c>
      <c r="E2141">
        <v>0.97916666666666663</v>
      </c>
      <c r="F2141" t="str">
        <f>I2141&amp;" "&amp;J2141&amp;" "&amp;K2141&amp;" "&amp;L2141&amp;" "&amp;M2141&amp;" "&amp;N2141</f>
        <v>Meet student    </v>
      </c>
      <c r="G2141" t="s">
        <f>TEXT(D2141,"mmm dd")</f>
        <v>2284</v>
      </c>
      <c r="I2141" t="s">
        <v>300</v>
      </c>
      <c r="J2141" t="s">
        <v>2016</v>
      </c>
    </row>
    <row r="2142" spans="1:23">
      <c r="A2142">
        <v>11</v>
      </c>
      <c r="B2142">
        <v>2</v>
      </c>
      <c r="C2142">
        <v>2015</v>
      </c>
      <c r="D2142" s="3" t="s">
        <f>B2142&amp;"/"&amp;A2142&amp;"/"&amp;C2142</f>
        <v>2364</v>
      </c>
      <c r="E2142">
        <v>0.72916666666666663</v>
      </c>
      <c r="F2142" t="str">
        <f>I2142&amp;" "&amp;J2142&amp;" "&amp;K2142&amp;" "&amp;L2142&amp;" "&amp;M2142&amp;" "&amp;N2142</f>
        <v>Flight  DL 2422 | CLT</v>
      </c>
      <c r="G2142" t="s">
        <f>TEXT(D2142,"mmm dd")</f>
        <v>1509</v>
      </c>
      <c r="I2142" t="s">
        <v>2365</v>
      </c>
      <c r="K2142" t="inlineStr">
        <is>
          <t>DL</t>
        </is>
      </c>
      <c r="L2142">
        <v>2422</v>
      </c>
      <c r="M2142" t="inlineStr">
        <is>
          <t>|</t>
        </is>
      </c>
      <c r="N2142" t="s">
        <v>2366</v>
      </c>
    </row>
    <row r="2143" spans="1:23">
      <c r="A2143">
        <v>11</v>
      </c>
      <c r="B2143">
        <v>2</v>
      </c>
      <c r="C2143">
        <v>2015</v>
      </c>
      <c r="D2143" s="3" t="s">
        <f>B2143&amp;"/"&amp;A2143&amp;"/"&amp;C2143</f>
        <v>2364</v>
      </c>
      <c r="E2143">
        <v>0.91319444444444442</v>
      </c>
      <c r="F2143" t="str">
        <f>I2143&amp;" "&amp;J2143&amp;" "&amp;K2143&amp;" "&amp;L2143&amp;" "&amp;M2143&amp;" "&amp;N2143</f>
        <v>Flight to Orlando   </v>
      </c>
      <c r="G2143" t="s">
        <f>TEXT(D2143,"mmm dd")</f>
        <v>1509</v>
      </c>
      <c r="I2143" t="s">
        <v>2365</v>
      </c>
      <c r="J2143" t="s">
        <v>449</v>
      </c>
      <c r="K2143" t="s">
        <v>2367</v>
      </c>
    </row>
    <row r="2144" spans="1:23">
      <c r="A2144">
        <v>11</v>
      </c>
      <c r="B2144">
        <v>2</v>
      </c>
      <c r="C2144">
        <v>2015</v>
      </c>
      <c r="D2144" s="3" t="s">
        <f>B2144&amp;"/"&amp;A2144&amp;"/"&amp;C2144</f>
        <v>2364</v>
      </c>
      <c r="E2144">
        <v>0.72916666666666663</v>
      </c>
      <c r="F2144" t="s">
        <f>I2144&amp;" "&amp;J2144&amp;" "&amp;K2144&amp;" "&amp;L2144&amp;" "&amp;M2144&amp;" "&amp;N2144</f>
        <v>2368</v>
      </c>
      <c r="G2144" t="s">
        <f>TEXT(D2144,"mmm dd")</f>
        <v>1509</v>
      </c>
      <c r="I2144" t="s">
        <v>2365</v>
      </c>
      <c r="J2144" t="s">
        <v>449</v>
      </c>
      <c r="K2144" t="s">
        <v>2369</v>
      </c>
    </row>
    <row r="2145" spans="1:23">
      <c r="A2145">
        <v>14</v>
      </c>
      <c r="B2145">
        <v>2</v>
      </c>
      <c r="C2145">
        <v>2015</v>
      </c>
      <c r="D2145" s="3" t="s">
        <f>B2145&amp;"/"&amp;A2145&amp;"/"&amp;C2145</f>
        <v>2370</v>
      </c>
      <c r="E2145">
        <v>0.875</v>
      </c>
      <c r="F2145" t="str">
        <f>I2145&amp;" "&amp;J2145&amp;" "&amp;K2145&amp;" "&amp;L2145&amp;" "&amp;M2145&amp;" "&amp;N2145</f>
        <v>Hearing aid battery?   </v>
      </c>
      <c r="G2145" t="s">
        <f>TEXT(D2145,"mmm dd")</f>
        <v>2180</v>
      </c>
      <c r="I2145" t="s">
        <v>2181</v>
      </c>
      <c r="J2145" t="s">
        <v>2351</v>
      </c>
      <c r="K2145" t="inlineStr">
        <is>
          <t>battery?</t>
        </is>
      </c>
    </row>
    <row r="2146" spans="1:23">
      <c r="A2146">
        <v>14</v>
      </c>
      <c r="B2146">
        <v>2</v>
      </c>
      <c r="C2146">
        <v>2015</v>
      </c>
      <c r="D2146" s="3" t="s">
        <f>B2146&amp;"/"&amp;A2146&amp;"/"&amp;C2146</f>
        <v>2370</v>
      </c>
      <c r="E2146">
        <v>1.0680555555555555</v>
      </c>
      <c r="F2146" t="s">
        <f>I2146&amp;" "&amp;J2146&amp;" "&amp;K2146&amp;" "&amp;L2146&amp;" "&amp;M2146&amp;" "&amp;N2146</f>
        <v>2371</v>
      </c>
      <c r="G2146" t="s">
        <f>TEXT(D2146,"mmm dd")</f>
        <v>2180</v>
      </c>
      <c r="I2146" t="s">
        <v>2365</v>
      </c>
      <c r="J2146" t="s">
        <v>449</v>
      </c>
      <c r="K2146" t="s">
        <v>2372</v>
      </c>
    </row>
    <row r="2147" spans="1:23">
      <c r="A2147">
        <v>14</v>
      </c>
      <c r="B2147">
        <v>2</v>
      </c>
      <c r="C2147">
        <v>2015</v>
      </c>
      <c r="D2147" s="3" t="s">
        <f>B2147&amp;"/"&amp;A2147&amp;"/"&amp;C2147</f>
        <v>2370</v>
      </c>
      <c r="E2147">
        <v>0.93055555555555558</v>
      </c>
      <c r="F2147" t="s">
        <f>I2147&amp;" "&amp;J2147&amp;" "&amp;K2147&amp;" "&amp;L2147&amp;" "&amp;M2147&amp;" "&amp;N2147</f>
        <v>2368</v>
      </c>
      <c r="G2147" t="s">
        <f>TEXT(D2147,"mmm dd")</f>
        <v>2180</v>
      </c>
      <c r="I2147" t="s">
        <v>2365</v>
      </c>
      <c r="J2147" t="s">
        <v>449</v>
      </c>
      <c r="K2147" t="s">
        <v>2369</v>
      </c>
    </row>
    <row r="2148" spans="1:23">
      <c r="A2148">
        <v>19</v>
      </c>
      <c r="B2148">
        <v>2</v>
      </c>
      <c r="C2148">
        <v>2015</v>
      </c>
      <c r="D2148" s="3" t="str">
        <f>B2148&amp;"/"&amp;A2148&amp;"/"&amp;C2148</f>
        <v>2/19/2015</v>
      </c>
      <c r="E2148">
        <v>0.91666666666666663</v>
      </c>
      <c r="F2148" t="s">
        <f>I2148&amp;" "&amp;J2148&amp;" "&amp;K2148&amp;" "&amp;L2148&amp;" "&amp;M2148&amp;" "&amp;N2148</f>
        <v>2373</v>
      </c>
      <c r="G2148" t="s">
        <f>TEXT(D2148,"mmm dd")</f>
        <v>1209</v>
      </c>
      <c r="I2148" t="s">
        <v>2374</v>
      </c>
      <c r="J2148" t="s">
        <v>439</v>
      </c>
      <c r="K2148" t="s">
        <v>2290</v>
      </c>
    </row>
    <row r="2149" spans="1:23">
      <c r="A2149">
        <v>20</v>
      </c>
      <c r="B2149">
        <v>2</v>
      </c>
      <c r="C2149">
        <v>2015</v>
      </c>
      <c r="D2149" s="3" t="str">
        <f>B2149&amp;"/"&amp;A2149&amp;"/"&amp;C2149</f>
        <v>2/20/2015</v>
      </c>
      <c r="E2149">
        <v>0.79166666666666663</v>
      </c>
      <c r="F2149" t="str">
        <f>I2149&amp;" "&amp;J2149&amp;" "&amp;K2149&amp;" "&amp;L2149&amp;" "&amp;M2149&amp;" "&amp;N2149</f>
        <v>Elizabeth Still Haircut   </v>
      </c>
      <c r="G2149" t="s">
        <f>TEXT(D2149,"mmm dd")</f>
        <v>1525</v>
      </c>
      <c r="I2149" t="s">
        <v>664</v>
      </c>
      <c r="J2149" t="inlineStr">
        <is>
          <t>Still</t>
        </is>
      </c>
      <c r="K2149" t="s">
        <v>2375</v>
      </c>
    </row>
    <row r="2150" spans="1:23">
      <c r="A2150">
        <v>23</v>
      </c>
      <c r="B2150">
        <v>2</v>
      </c>
      <c r="C2150">
        <v>2015</v>
      </c>
      <c r="D2150" s="3" t="str">
        <f>B2150&amp;"/"&amp;A2150&amp;"/"&amp;C2150</f>
        <v>2/23/2015</v>
      </c>
      <c r="E2150">
        <v>0.70833333333333337</v>
      </c>
      <c r="F2150" t="s">
        <f>I2150&amp;" "&amp;J2150&amp;" "&amp;K2150&amp;" "&amp;L2150&amp;" "&amp;M2150&amp;" "&amp;N2150</f>
        <v>2376</v>
      </c>
      <c r="G2150" t="s">
        <f>TEXT(D2150,"mmm dd")</f>
        <v>1532</v>
      </c>
      <c r="I2150" t="s">
        <v>2181</v>
      </c>
      <c r="J2150" t="s">
        <v>2351</v>
      </c>
      <c r="K2150" t="s">
        <v>2377</v>
      </c>
    </row>
    <row r="2151" spans="1:23">
      <c r="A2151">
        <v>3</v>
      </c>
      <c r="B2151">
        <v>3</v>
      </c>
      <c r="C2151">
        <v>2015</v>
      </c>
      <c r="D2151" s="3" t="str">
        <f>B2151&amp;"/"&amp;A2151&amp;"/"&amp;C2151</f>
        <v>3/3/2015</v>
      </c>
      <c r="E2151">
        <v>0.66666666666666663</v>
      </c>
      <c r="F2151" t="s">
        <f>I2151&amp;" "&amp;J2151&amp;" "&amp;K2151&amp;" "&amp;L2151&amp;" "&amp;M2151&amp;" "&amp;N2151</f>
        <v>2376</v>
      </c>
      <c r="G2151" t="s">
        <f>TEXT(D2151,"mmm dd")</f>
        <v>1234</v>
      </c>
      <c r="I2151" t="s">
        <v>2181</v>
      </c>
      <c r="J2151" t="s">
        <v>2351</v>
      </c>
      <c r="K2151" t="s">
        <v>2377</v>
      </c>
    </row>
    <row r="2152" spans="1:23">
      <c r="A2152">
        <v>6</v>
      </c>
      <c r="B2152">
        <v>3</v>
      </c>
      <c r="C2152">
        <v>2015</v>
      </c>
      <c r="D2152" s="3" t="str">
        <f>B2152&amp;"/"&amp;A2152&amp;"/"&amp;C2152</f>
        <v>3/6/2015</v>
      </c>
      <c r="E2152">
        <v>0.875</v>
      </c>
      <c r="F2152" t="str">
        <f>I2152&amp;" "&amp;J2152&amp;" "&amp;K2152&amp;" "&amp;L2152&amp;" "&amp;M2152&amp;" "&amp;N2152</f>
        <v>Students     </v>
      </c>
      <c r="G2152" t="s">
        <f>TEXT(D2152,"mmm dd")</f>
        <v>1237</v>
      </c>
      <c r="I2152" t="s">
        <v>2378</v>
      </c>
    </row>
    <row r="2153" spans="1:23">
      <c r="A2153">
        <v>8</v>
      </c>
      <c r="B2153">
        <v>3</v>
      </c>
      <c r="C2153">
        <v>2015</v>
      </c>
      <c r="D2153" s="3" t="str">
        <f>B2153&amp;"/"&amp;A2153&amp;"/"&amp;C2153</f>
        <v>3/8/2015</v>
      </c>
      <c r="E2153">
        <v>0.125</v>
      </c>
      <c r="F2153" t="str">
        <f>I2153&amp;" "&amp;J2153&amp;" "&amp;K2153&amp;" "&amp;L2153&amp;" "&amp;M2153&amp;" "&amp;N2153</f>
        <v>Irish music at McHales  </v>
      </c>
      <c r="G2153" t="s">
        <f>TEXT(D2153,"mmm dd")</f>
        <v>1542</v>
      </c>
      <c r="I2153" t="inlineStr">
        <is>
          <t>Irish</t>
        </is>
      </c>
      <c r="J2153" t="s">
        <v>980</v>
      </c>
      <c r="K2153" t="s">
        <v>53</v>
      </c>
      <c r="L2153" t="inlineStr">
        <is>
          <t>McHales</t>
        </is>
      </c>
    </row>
    <row r="2154" spans="1:23">
      <c r="A2154">
        <v>10</v>
      </c>
      <c r="B2154">
        <v>3</v>
      </c>
      <c r="C2154">
        <v>2015</v>
      </c>
      <c r="D2154" s="3" t="str">
        <f>B2154&amp;"/"&amp;A2154&amp;"/"&amp;C2154</f>
        <v>3/10/2015</v>
      </c>
      <c r="E2154">
        <v>0.875</v>
      </c>
      <c r="F2154" t="str">
        <f>I2154&amp;" "&amp;J2154&amp;" "&amp;K2154&amp;" "&amp;L2154&amp;" "&amp;M2154&amp;" "&amp;N2154</f>
        <v>Lunch PA sand   </v>
      </c>
      <c r="G2154" t="s">
        <f>TEXT(D2154,"mmm dd")</f>
        <v>1241</v>
      </c>
      <c r="I2154" t="s">
        <v>813</v>
      </c>
      <c r="J2154" t="inlineStr">
        <is>
          <t>PA</t>
        </is>
      </c>
      <c r="K2154" t="inlineStr">
        <is>
          <t>sand</t>
        </is>
      </c>
    </row>
    <row r="2155" spans="1:23">
      <c r="A2155">
        <v>11</v>
      </c>
      <c r="B2155">
        <v>3</v>
      </c>
      <c r="C2155">
        <v>2015</v>
      </c>
      <c r="D2155" s="3" t="str">
        <f>B2155&amp;"/"&amp;A2155&amp;"/"&amp;C2155</f>
        <v>3/11/2015</v>
      </c>
      <c r="E2155">
        <v>0.79166666666666663</v>
      </c>
      <c r="F2155" t="s">
        <f>I2155&amp;" "&amp;J2155&amp;" "&amp;K2155&amp;" "&amp;L2155&amp;" "&amp;M2155&amp;" "&amp;N2155</f>
        <v>2376</v>
      </c>
      <c r="G2155" t="s">
        <f>TEXT(D2155,"mmm dd")</f>
        <v>1550</v>
      </c>
      <c r="I2155" t="s">
        <v>2181</v>
      </c>
      <c r="J2155" t="s">
        <v>2351</v>
      </c>
      <c r="K2155" t="s">
        <v>2377</v>
      </c>
    </row>
    <row r="2156" spans="1:23">
      <c r="A2156">
        <v>14</v>
      </c>
      <c r="B2156">
        <v>3</v>
      </c>
      <c r="C2156">
        <v>2015</v>
      </c>
      <c r="D2156" s="3" t="s">
        <f>B2156&amp;"/"&amp;A2156&amp;"/"&amp;C2156</f>
        <v>2379</v>
      </c>
      <c r="E2156" t="s">
        <v>42</v>
      </c>
      <c r="F2156" t="s">
        <f>I2156&amp;" "&amp;J2156&amp;" "&amp;K2156&amp;" "&amp;L2156&amp;" "&amp;M2156&amp;" "&amp;N2156</f>
        <v>2380</v>
      </c>
      <c r="G2156" t="s">
        <f>TEXT(D2156,"mmm dd")</f>
        <v>1877</v>
      </c>
      <c r="I2156" t="s">
        <v>410</v>
      </c>
      <c r="J2156" t="s">
        <v>702</v>
      </c>
      <c r="K2156" t="inlineStr">
        <is>
          <t>father's</t>
        </is>
      </c>
      <c r="L2156" t="s">
        <v>2381</v>
      </c>
    </row>
    <row r="2157" spans="1:23">
      <c r="A2157">
        <v>18</v>
      </c>
      <c r="B2157">
        <v>3</v>
      </c>
      <c r="C2157">
        <v>2015</v>
      </c>
      <c r="D2157" s="3" t="str">
        <f>B2157&amp;"/"&amp;A2157&amp;"/"&amp;C2157</f>
        <v>3/18/2015</v>
      </c>
      <c r="E2157">
        <v>0.79166666666666663</v>
      </c>
      <c r="F2157" t="s">
        <f>I2157&amp;" "&amp;J2157&amp;" "&amp;K2157&amp;" "&amp;L2157&amp;" "&amp;M2157&amp;" "&amp;N2157</f>
        <v>2376</v>
      </c>
      <c r="G2157" t="s">
        <f>TEXT(D2157,"mmm dd")</f>
        <v>1251</v>
      </c>
      <c r="I2157" t="s">
        <v>2181</v>
      </c>
      <c r="J2157" t="s">
        <v>2351</v>
      </c>
      <c r="K2157" t="s">
        <v>2377</v>
      </c>
    </row>
    <row r="2158" spans="1:23">
      <c r="A2158">
        <v>25</v>
      </c>
      <c r="B2158">
        <v>3</v>
      </c>
      <c r="C2158">
        <v>2015</v>
      </c>
      <c r="D2158" s="3" t="s">
        <f>B2158&amp;"/"&amp;A2158&amp;"/"&amp;C2158</f>
        <v>2382</v>
      </c>
      <c r="E2158">
        <v>0.75</v>
      </c>
      <c r="F2158" t="s">
        <f>I2158&amp;" "&amp;J2158&amp;" "&amp;K2158&amp;" "&amp;L2158&amp;" "&amp;M2158&amp;" "&amp;N2158</f>
        <v>2376</v>
      </c>
      <c r="G2158" t="s">
        <f>TEXT(D2158,"mmm dd")</f>
        <v>1559</v>
      </c>
      <c r="I2158" t="s">
        <v>2181</v>
      </c>
      <c r="J2158" t="s">
        <v>2351</v>
      </c>
      <c r="K2158" t="s">
        <v>2377</v>
      </c>
    </row>
    <row r="2159" spans="1:23">
      <c r="A2159">
        <v>25</v>
      </c>
      <c r="B2159">
        <v>3</v>
      </c>
      <c r="C2159">
        <v>2015</v>
      </c>
      <c r="D2159" s="3" t="s">
        <f>B2159&amp;"/"&amp;A2159&amp;"/"&amp;C2159</f>
        <v>2382</v>
      </c>
      <c r="E2159">
        <v>0.875</v>
      </c>
      <c r="F2159" t="str">
        <f>I2159&amp;" "&amp;J2159&amp;" "&amp;K2159&amp;" "&amp;L2159&amp;" "&amp;M2159&amp;" "&amp;N2159</f>
        <v>Samuel K for exam  </v>
      </c>
      <c r="G2159" t="s">
        <f>TEXT(D2159,"mmm dd")</f>
        <v>1559</v>
      </c>
      <c r="I2159" t="inlineStr">
        <is>
          <t>Samuel</t>
        </is>
      </c>
      <c r="J2159" t="s">
        <v>2383</v>
      </c>
      <c r="K2159" t="s">
        <v>439</v>
      </c>
      <c r="L2159" t="s">
        <v>2290</v>
      </c>
    </row>
    <row r="2160" spans="1:23">
      <c r="A2160">
        <v>27</v>
      </c>
      <c r="B2160">
        <v>3</v>
      </c>
      <c r="C2160">
        <v>2015</v>
      </c>
      <c r="D2160" s="3" t="str">
        <f>B2160&amp;"/"&amp;A2160&amp;"/"&amp;C2160</f>
        <v>3/27/2015</v>
      </c>
      <c r="E2160">
        <v>0.83333333333333337</v>
      </c>
      <c r="F2160" t="s">
        <f>I2160&amp;" "&amp;J2160&amp;" "&amp;K2160&amp;" "&amp;L2160&amp;" "&amp;M2160&amp;" "&amp;N2160</f>
        <v>2384</v>
      </c>
      <c r="G2160" t="s">
        <f>TEXT(D2160,"mmm dd")</f>
        <v>1891</v>
      </c>
      <c r="I2160" t="s">
        <v>2375</v>
      </c>
    </row>
    <row r="2161" spans="1:23">
      <c r="A2161">
        <v>30</v>
      </c>
      <c r="B2161">
        <v>3</v>
      </c>
      <c r="C2161">
        <v>2015</v>
      </c>
      <c r="D2161" s="3" t="str">
        <f>B2161&amp;"/"&amp;A2161&amp;"/"&amp;C2161</f>
        <v>3/30/2015</v>
      </c>
      <c r="E2161">
        <v>0.6875</v>
      </c>
      <c r="F2161" t="str">
        <f>I2161&amp;" "&amp;J2161&amp;" "&amp;K2161&amp;" "&amp;L2161&amp;" "&amp;M2161&amp;" "&amp;N2161</f>
        <v>Peter to observe   </v>
      </c>
      <c r="G2161" t="s">
        <f>TEXT(D2161,"mmm dd")</f>
        <v>1900</v>
      </c>
      <c r="I2161" t="s">
        <v>604</v>
      </c>
      <c r="J2161" t="s">
        <v>449</v>
      </c>
      <c r="K2161" t="s">
        <v>2347</v>
      </c>
    </row>
    <row r="2162" spans="1:23">
      <c r="A2162">
        <v>2</v>
      </c>
      <c r="B2162">
        <v>4</v>
      </c>
      <c r="C2162">
        <v>2015</v>
      </c>
      <c r="D2162" s="3" t="str">
        <f>B2162&amp;"/"&amp;A2162&amp;"/"&amp;C2162</f>
        <v>4/2/2015</v>
      </c>
      <c r="E2162">
        <v>0.20833333333333334</v>
      </c>
      <c r="F2162" t="s">
        <f>I2162&amp;" "&amp;J2162&amp;" "&amp;K2162&amp;" "&amp;L2162&amp;" "&amp;M2162&amp;" "&amp;N2162</f>
        <v>2376</v>
      </c>
      <c r="G2162" t="s">
        <f>TEXT(D2162,"mmm dd")</f>
        <v>65</v>
      </c>
      <c r="I2162" t="s">
        <v>2181</v>
      </c>
      <c r="J2162" t="s">
        <v>2351</v>
      </c>
      <c r="K2162" t="s">
        <v>2377</v>
      </c>
    </row>
    <row r="2163" spans="1:23">
      <c r="A2163">
        <v>8</v>
      </c>
      <c r="B2163">
        <v>4</v>
      </c>
      <c r="C2163">
        <v>2015</v>
      </c>
      <c r="D2163" s="3" t="s">
        <f>B2163&amp;"/"&amp;A2163&amp;"/"&amp;C2163</f>
        <v>2385</v>
      </c>
      <c r="E2163">
        <v>0.95833333333333337</v>
      </c>
      <c r="F2163" t="s">
        <f>I2163&amp;" "&amp;J2163&amp;" "&amp;K2163&amp;" "&amp;L2163&amp;" "&amp;M2163&amp;" "&amp;N2163</f>
        <v>2386</v>
      </c>
      <c r="G2163" t="s">
        <f>TEXT(D2163,"mmm dd")</f>
        <v>141</v>
      </c>
      <c r="I2163" t="s">
        <v>2387</v>
      </c>
      <c r="J2163" t="s">
        <v>2290</v>
      </c>
    </row>
    <row r="2164" spans="1:23">
      <c r="A2164">
        <v>8</v>
      </c>
      <c r="B2164">
        <v>4</v>
      </c>
      <c r="C2164">
        <v>2015</v>
      </c>
      <c r="D2164" s="3" t="s">
        <f>B2164&amp;"/"&amp;A2164&amp;"/"&amp;C2164</f>
        <v>2385</v>
      </c>
      <c r="E2164">
        <v>0.875</v>
      </c>
      <c r="F2164" t="s">
        <f>I2164&amp;" "&amp;J2164&amp;" "&amp;K2164&amp;" "&amp;L2164&amp;" "&amp;M2164&amp;" "&amp;N2164</f>
        <v>2386</v>
      </c>
      <c r="G2164" t="s">
        <f>TEXT(D2164,"mmm dd")</f>
        <v>141</v>
      </c>
      <c r="I2164" t="s">
        <v>2387</v>
      </c>
      <c r="J2164" t="s">
        <v>2290</v>
      </c>
    </row>
    <row r="2165" spans="1:23">
      <c r="A2165">
        <v>9</v>
      </c>
      <c r="B2165">
        <v>4</v>
      </c>
      <c r="C2165">
        <v>2015</v>
      </c>
      <c r="D2165" s="3" t="s">
        <f>B2165&amp;"/"&amp;A2165&amp;"/"&amp;C2165</f>
        <v>2388</v>
      </c>
      <c r="E2165">
        <v>0.91666666666666663</v>
      </c>
      <c r="F2165" t="str">
        <f>I2165&amp;" "&amp;J2165&amp;" "&amp;K2165&amp;" "&amp;L2165&amp;" "&amp;M2165&amp;" "&amp;N2165</f>
        <v>Mackenzie     </v>
      </c>
      <c r="G2165" t="s">
        <f>TEXT(D2165,"mmm dd")</f>
        <v>147</v>
      </c>
      <c r="I2165" t="inlineStr">
        <is>
          <t>Mackenzie</t>
        </is>
      </c>
    </row>
    <row r="2166" spans="1:23">
      <c r="A2166">
        <v>9</v>
      </c>
      <c r="B2166">
        <v>4</v>
      </c>
      <c r="C2166">
        <v>2015</v>
      </c>
      <c r="D2166" s="3" t="s">
        <f>B2166&amp;"/"&amp;A2166&amp;"/"&amp;C2166</f>
        <v>2388</v>
      </c>
      <c r="E2166">
        <v>0.91666666666666663</v>
      </c>
      <c r="F2166" t="s">
        <f>I2166&amp;" "&amp;J2166&amp;" "&amp;K2166&amp;" "&amp;L2166&amp;" "&amp;M2166&amp;" "&amp;N2166</f>
        <v>2376</v>
      </c>
      <c r="G2166" t="s">
        <f>TEXT(D2166,"mmm dd")</f>
        <v>147</v>
      </c>
      <c r="I2166" t="s">
        <v>2181</v>
      </c>
      <c r="J2166" t="s">
        <v>2351</v>
      </c>
      <c r="K2166" t="s">
        <v>2377</v>
      </c>
    </row>
    <row r="2167" spans="1:23">
      <c r="A2167">
        <v>10</v>
      </c>
      <c r="B2167">
        <v>4</v>
      </c>
      <c r="C2167">
        <v>2015</v>
      </c>
      <c r="D2167" s="3" t="str">
        <f>B2167&amp;"/"&amp;A2167&amp;"/"&amp;C2167</f>
        <v>4/10/2015</v>
      </c>
      <c r="E2167">
        <v>0.66666666666666663</v>
      </c>
      <c r="F2167" t="s">
        <f>I2167&amp;" "&amp;J2167&amp;" "&amp;K2167&amp;" "&amp;L2167&amp;" "&amp;M2167&amp;" "&amp;N2167</f>
        <v>2386</v>
      </c>
      <c r="G2167" t="s">
        <f>TEXT(D2167,"mmm dd")</f>
        <v>153</v>
      </c>
      <c r="I2167" t="s">
        <v>2387</v>
      </c>
      <c r="J2167" t="s">
        <v>2290</v>
      </c>
    </row>
    <row r="2168" spans="1:23">
      <c r="A2168">
        <v>13</v>
      </c>
      <c r="B2168">
        <v>4</v>
      </c>
      <c r="C2168">
        <v>2015</v>
      </c>
      <c r="D2168" s="3" t="s">
        <f>B2168&amp;"/"&amp;A2168&amp;"/"&amp;C2168</f>
        <v>2389</v>
      </c>
      <c r="E2168">
        <v>0.875</v>
      </c>
      <c r="F2168" t="s">
        <f>I2168&amp;" "&amp;J2168&amp;" "&amp;K2168&amp;" "&amp;L2168&amp;" "&amp;M2168&amp;" "&amp;N2168</f>
        <v>2386</v>
      </c>
      <c r="G2168" t="s">
        <f>TEXT(D2168,"mmm dd")</f>
        <v>174</v>
      </c>
      <c r="I2168" t="s">
        <v>2387</v>
      </c>
      <c r="J2168" t="s">
        <v>2290</v>
      </c>
    </row>
    <row r="2169" spans="1:23">
      <c r="A2169">
        <v>13</v>
      </c>
      <c r="B2169">
        <v>4</v>
      </c>
      <c r="C2169">
        <v>2015</v>
      </c>
      <c r="D2169" s="3" t="s">
        <f>B2169&amp;"/"&amp;A2169&amp;"/"&amp;C2169</f>
        <v>2389</v>
      </c>
      <c r="E2169">
        <v>0.91666666666666663</v>
      </c>
      <c r="F2169" t="s">
        <f>I2169&amp;" "&amp;J2169&amp;" "&amp;K2169&amp;" "&amp;L2169&amp;" "&amp;M2169&amp;" "&amp;N2169</f>
        <v>2386</v>
      </c>
      <c r="G2169" t="s">
        <f>TEXT(D2169,"mmm dd")</f>
        <v>174</v>
      </c>
      <c r="I2169" t="s">
        <v>2387</v>
      </c>
      <c r="J2169" t="s">
        <v>2290</v>
      </c>
    </row>
    <row r="2170" spans="1:23">
      <c r="A2170">
        <v>14</v>
      </c>
      <c r="B2170">
        <v>4</v>
      </c>
      <c r="C2170">
        <v>2015</v>
      </c>
      <c r="D2170" s="3" t="s">
        <f>B2170&amp;"/"&amp;A2170&amp;"/"&amp;C2170</f>
        <v>2390</v>
      </c>
      <c r="E2170" t="s">
        <v>42</v>
      </c>
      <c r="F2170" t="str">
        <f>I2170&amp;" "&amp;J2170&amp;" "&amp;K2170&amp;" "&amp;L2170&amp;" "&amp;M2170&amp;" "&amp;N2170</f>
        <v>NCTM     </v>
      </c>
      <c r="G2170" t="s">
        <f>TEXT(D2170,"mmm dd")</f>
        <v>1576</v>
      </c>
      <c r="I2170" t="s">
        <v>1925</v>
      </c>
    </row>
    <row r="2171" spans="1:23">
      <c r="A2171">
        <v>14</v>
      </c>
      <c r="B2171">
        <v>4</v>
      </c>
      <c r="C2171">
        <v>2015</v>
      </c>
      <c r="D2171" s="3" t="s">
        <f>B2171&amp;"/"&amp;A2171&amp;"/"&amp;C2171</f>
        <v>2390</v>
      </c>
      <c r="E2171">
        <v>0.125</v>
      </c>
      <c r="F2171" t="str">
        <f>I2171&amp;" "&amp;J2171&amp;" "&amp;K2171&amp;" "&amp;L2171&amp;" "&amp;M2171&amp;" "&amp;N2171</f>
        <v>Kevin concert    </v>
      </c>
      <c r="G2171" t="s">
        <f>TEXT(D2171,"mmm dd")</f>
        <v>1576</v>
      </c>
      <c r="I2171" t="s">
        <v>1516</v>
      </c>
      <c r="J2171" t="s">
        <v>205</v>
      </c>
    </row>
    <row r="2172" spans="1:23">
      <c r="A2172">
        <v>14</v>
      </c>
      <c r="B2172">
        <v>4</v>
      </c>
      <c r="C2172">
        <v>2015</v>
      </c>
      <c r="D2172" s="3" t="s">
        <f>B2172&amp;"/"&amp;A2172&amp;"/"&amp;C2172</f>
        <v>2390</v>
      </c>
      <c r="E2172">
        <v>0.83333333333333337</v>
      </c>
      <c r="F2172" t="s">
        <f>I2172&amp;" "&amp;J2172&amp;" "&amp;K2172&amp;" "&amp;L2172&amp;" "&amp;M2172&amp;" "&amp;N2172</f>
        <v>2386</v>
      </c>
      <c r="G2172" t="s">
        <f>TEXT(D2172,"mmm dd")</f>
        <v>1576</v>
      </c>
      <c r="I2172" t="s">
        <v>2387</v>
      </c>
      <c r="J2172" t="s">
        <v>2290</v>
      </c>
    </row>
    <row r="2173" spans="1:23">
      <c r="A2173">
        <v>14</v>
      </c>
      <c r="B2173">
        <v>4</v>
      </c>
      <c r="C2173">
        <v>2015</v>
      </c>
      <c r="D2173" s="3" t="s">
        <f>B2173&amp;"/"&amp;A2173&amp;"/"&amp;C2173</f>
        <v>2390</v>
      </c>
      <c r="E2173">
        <v>0.75</v>
      </c>
      <c r="F2173" t="s">
        <f>I2173&amp;" "&amp;J2173&amp;" "&amp;K2173&amp;" "&amp;L2173&amp;" "&amp;M2173&amp;" "&amp;N2173</f>
        <v>2386</v>
      </c>
      <c r="G2173" t="s">
        <f>TEXT(D2173,"mmm dd")</f>
        <v>1576</v>
      </c>
      <c r="I2173" t="s">
        <v>2387</v>
      </c>
      <c r="J2173" t="s">
        <v>2290</v>
      </c>
    </row>
    <row r="2174" spans="1:23">
      <c r="A2174">
        <v>16</v>
      </c>
      <c r="B2174">
        <v>4</v>
      </c>
      <c r="C2174">
        <v>2015</v>
      </c>
      <c r="D2174" s="3" t="str">
        <f>B2174&amp;"/"&amp;A2174&amp;"/"&amp;C2174</f>
        <v>4/16/2015</v>
      </c>
      <c r="E2174">
        <v>1.0416666666666667</v>
      </c>
      <c r="F2174" t="str">
        <f>I2174&amp;" "&amp;J2174&amp;" "&amp;K2174&amp;" "&amp;L2174&amp;" "&amp;M2174&amp;" "&amp;N2174</f>
        <v>AMTE reception    </v>
      </c>
      <c r="G2174" t="s">
        <f>TEXT(D2174,"mmm dd")</f>
        <v>184</v>
      </c>
      <c r="I2174" t="inlineStr">
        <is>
          <t>AMTE</t>
        </is>
      </c>
      <c r="J2174" t="s">
        <v>1595</v>
      </c>
    </row>
    <row r="2175" spans="1:23">
      <c r="A2175">
        <v>20</v>
      </c>
      <c r="B2175">
        <v>4</v>
      </c>
      <c r="C2175">
        <v>2015</v>
      </c>
      <c r="D2175" s="3" t="str">
        <f>B2175&amp;"/"&amp;A2175&amp;"/"&amp;C2175</f>
        <v>4/20/2015</v>
      </c>
      <c r="E2175">
        <v>0.75</v>
      </c>
      <c r="F2175" t="s">
        <f>I2175&amp;" "&amp;J2175&amp;" "&amp;K2175&amp;" "&amp;L2175&amp;" "&amp;M2175&amp;" "&amp;N2175</f>
        <v>2386</v>
      </c>
      <c r="G2175" t="s">
        <f>TEXT(D2175,"mmm dd")</f>
        <v>204</v>
      </c>
      <c r="I2175" t="s">
        <v>2387</v>
      </c>
      <c r="J2175" t="s">
        <v>2290</v>
      </c>
    </row>
    <row r="2176" spans="1:23">
      <c r="A2176">
        <v>21</v>
      </c>
      <c r="B2176">
        <v>4</v>
      </c>
      <c r="C2176">
        <v>2015</v>
      </c>
      <c r="D2176" s="3" t="s">
        <f>B2176&amp;"/"&amp;A2176&amp;"/"&amp;C2176</f>
        <v>2391</v>
      </c>
      <c r="E2176">
        <v>0.91666666666666663</v>
      </c>
      <c r="F2176" t="s">
        <f>I2176&amp;" "&amp;J2176&amp;" "&amp;K2176&amp;" "&amp;L2176&amp;" "&amp;M2176&amp;" "&amp;N2176</f>
        <v>2386</v>
      </c>
      <c r="G2176" t="s">
        <f>TEXT(D2176,"mmm dd")</f>
        <v>211</v>
      </c>
      <c r="I2176" t="s">
        <v>2387</v>
      </c>
      <c r="J2176" t="s">
        <v>2290</v>
      </c>
    </row>
    <row r="2177" spans="1:23">
      <c r="A2177">
        <v>21</v>
      </c>
      <c r="B2177">
        <v>4</v>
      </c>
      <c r="C2177">
        <v>2015</v>
      </c>
      <c r="D2177" s="3" t="s">
        <f>B2177&amp;"/"&amp;A2177&amp;"/"&amp;C2177</f>
        <v>2391</v>
      </c>
      <c r="E2177">
        <v>0.75</v>
      </c>
      <c r="F2177" t="s">
        <f>I2177&amp;" "&amp;J2177&amp;" "&amp;K2177&amp;" "&amp;L2177&amp;" "&amp;M2177&amp;" "&amp;N2177</f>
        <v>2386</v>
      </c>
      <c r="G2177" t="s">
        <f>TEXT(D2177,"mmm dd")</f>
        <v>211</v>
      </c>
      <c r="I2177" t="s">
        <v>2387</v>
      </c>
      <c r="J2177" t="s">
        <v>2290</v>
      </c>
    </row>
    <row r="2178" spans="1:23">
      <c r="A2178">
        <v>21</v>
      </c>
      <c r="B2178">
        <v>4</v>
      </c>
      <c r="C2178">
        <v>2015</v>
      </c>
      <c r="D2178" s="3" t="s">
        <f>B2178&amp;"/"&amp;A2178&amp;"/"&amp;C2178</f>
        <v>2391</v>
      </c>
      <c r="E2178">
        <v>1</v>
      </c>
      <c r="F2178" t="str">
        <f>I2178&amp;" "&amp;J2178&amp;" "&amp;K2178&amp;" "&amp;L2178&amp;" "&amp;M2178&amp;" "&amp;N2178</f>
        <v>Oral exam?    </v>
      </c>
      <c r="G2178" t="s">
        <f>TEXT(D2178,"mmm dd")</f>
        <v>211</v>
      </c>
      <c r="I2178" t="s">
        <v>2387</v>
      </c>
      <c r="J2178" t="inlineStr">
        <is>
          <t>exam?</t>
        </is>
      </c>
    </row>
    <row r="2179" spans="1:23">
      <c r="A2179">
        <v>22</v>
      </c>
      <c r="B2179">
        <v>4</v>
      </c>
      <c r="C2179">
        <v>2015</v>
      </c>
      <c r="D2179" s="3" t="s">
        <f>B2179&amp;"/"&amp;A2179&amp;"/"&amp;C2179</f>
        <v>2392</v>
      </c>
      <c r="E2179">
        <v>0.75</v>
      </c>
      <c r="F2179" t="s">
        <f>I2179&amp;" "&amp;J2179&amp;" "&amp;K2179&amp;" "&amp;L2179&amp;" "&amp;M2179&amp;" "&amp;N2179</f>
        <v>2386</v>
      </c>
      <c r="G2179" t="s">
        <f>TEXT(D2179,"mmm dd")</f>
        <v>215</v>
      </c>
      <c r="I2179" t="s">
        <v>2387</v>
      </c>
      <c r="J2179" t="s">
        <v>2290</v>
      </c>
    </row>
    <row r="2180" spans="1:23">
      <c r="A2180">
        <v>22</v>
      </c>
      <c r="B2180">
        <v>4</v>
      </c>
      <c r="C2180">
        <v>2015</v>
      </c>
      <c r="D2180" s="3" t="s">
        <f>B2180&amp;"/"&amp;A2180&amp;"/"&amp;C2180</f>
        <v>2392</v>
      </c>
      <c r="E2180">
        <v>1</v>
      </c>
      <c r="F2180" t="s">
        <f>I2180&amp;" "&amp;J2180&amp;" "&amp;K2180&amp;" "&amp;L2180&amp;" "&amp;M2180&amp;" "&amp;N2180</f>
        <v>2386</v>
      </c>
      <c r="G2180" t="s">
        <f>TEXT(D2180,"mmm dd")</f>
        <v>215</v>
      </c>
      <c r="I2180" t="s">
        <v>2387</v>
      </c>
      <c r="J2180" t="s">
        <v>2290</v>
      </c>
    </row>
    <row r="2181" spans="1:23">
      <c r="A2181">
        <v>23</v>
      </c>
      <c r="B2181">
        <v>4</v>
      </c>
      <c r="C2181">
        <v>2015</v>
      </c>
      <c r="D2181" s="3" t="s">
        <f>B2181&amp;"/"&amp;A2181&amp;"/"&amp;C2181</f>
        <v>2393</v>
      </c>
      <c r="E2181">
        <v>0.875</v>
      </c>
      <c r="F2181" t="s">
        <f>I2181&amp;" "&amp;J2181&amp;" "&amp;K2181&amp;" "&amp;L2181&amp;" "&amp;M2181&amp;" "&amp;N2181</f>
        <v>2386</v>
      </c>
      <c r="G2181" t="s">
        <f>TEXT(D2181,"mmm dd")</f>
        <v>221</v>
      </c>
      <c r="I2181" t="s">
        <v>2387</v>
      </c>
      <c r="J2181" t="s">
        <v>2290</v>
      </c>
    </row>
    <row r="2182" spans="1:23">
      <c r="A2182">
        <v>23</v>
      </c>
      <c r="B2182">
        <v>4</v>
      </c>
      <c r="C2182">
        <v>2015</v>
      </c>
      <c r="D2182" s="3" t="s">
        <f>B2182&amp;"/"&amp;A2182&amp;"/"&amp;C2182</f>
        <v>2393</v>
      </c>
      <c r="E2182">
        <v>0.95833333333333337</v>
      </c>
      <c r="F2182" t="s">
        <f>I2182&amp;" "&amp;J2182&amp;" "&amp;K2182&amp;" "&amp;L2182&amp;" "&amp;M2182&amp;" "&amp;N2182</f>
        <v>2394</v>
      </c>
      <c r="G2182" t="s">
        <f>TEXT(D2182,"mmm dd")</f>
        <v>221</v>
      </c>
      <c r="I2182" t="s">
        <v>2229</v>
      </c>
      <c r="J2182" t="s">
        <v>439</v>
      </c>
      <c r="K2182" t="s">
        <v>2395</v>
      </c>
    </row>
    <row r="2183" spans="1:23">
      <c r="A2183">
        <v>23</v>
      </c>
      <c r="B2183">
        <v>4</v>
      </c>
      <c r="C2183">
        <v>2015</v>
      </c>
      <c r="D2183" s="3" t="s">
        <f>B2183&amp;"/"&amp;A2183&amp;"/"&amp;C2183</f>
        <v>2393</v>
      </c>
      <c r="E2183">
        <v>0.73958333333333337</v>
      </c>
      <c r="F2183" t="str">
        <f>I2183&amp;" "&amp;J2183&amp;" "&amp;K2183&amp;" "&amp;L2183&amp;" "&amp;M2183&amp;" "&amp;N2183</f>
        <v>Amy to office   </v>
      </c>
      <c r="G2183" t="s">
        <f>TEXT(D2183,"mmm dd")</f>
        <v>221</v>
      </c>
      <c r="I2183" t="s">
        <v>1310</v>
      </c>
      <c r="J2183" t="s">
        <v>449</v>
      </c>
      <c r="K2183" t="s">
        <v>2148</v>
      </c>
    </row>
    <row r="2184" spans="1:23">
      <c r="A2184">
        <v>28</v>
      </c>
      <c r="B2184">
        <v>4</v>
      </c>
      <c r="C2184">
        <v>2015</v>
      </c>
      <c r="D2184" s="3" t="str">
        <f>B2184&amp;"/"&amp;A2184&amp;"/"&amp;C2184</f>
        <v>4/28/2015</v>
      </c>
      <c r="E2184">
        <v>0.875</v>
      </c>
      <c r="F2184" t="str">
        <f>I2184&amp;" "&amp;J2184&amp;" "&amp;K2184&amp;" "&amp;L2184&amp;" "&amp;M2184&amp;" "&amp;N2184</f>
        <v>Oral exam\   precious sarita</v>
      </c>
      <c r="G2184" t="s">
        <f>TEXT(D2184,"mmm dd")</f>
        <v>236</v>
      </c>
      <c r="I2184" t="s">
        <v>2387</v>
      </c>
      <c r="J2184" t="inlineStr">
        <is>
          <t>exam\</t>
        </is>
      </c>
      <c r="M2184" t="inlineStr">
        <is>
          <t>precious</t>
        </is>
      </c>
      <c r="N2184" t="inlineStr">
        <is>
          <t>sarita</t>
        </is>
      </c>
    </row>
    <row r="2185" spans="1:23">
      <c r="A2185">
        <v>29</v>
      </c>
      <c r="B2185">
        <v>4</v>
      </c>
      <c r="C2185">
        <v>2015</v>
      </c>
      <c r="D2185" s="3" t="str">
        <f>B2185&amp;"/"&amp;A2185&amp;"/"&amp;C2185</f>
        <v>4/29/2015</v>
      </c>
      <c r="E2185">
        <v>0.77083333333333337</v>
      </c>
      <c r="F2185" t="str">
        <f>I2185&amp;" "&amp;J2185&amp;" "&amp;K2185&amp;" "&amp;L2185&amp;" "&amp;M2185&amp;" "&amp;N2185</f>
        <v>Final RELG 220   </v>
      </c>
      <c r="G2185" t="s">
        <f>TEXT(D2185,"mmm dd")</f>
        <v>239</v>
      </c>
      <c r="I2185" t="s">
        <v>1763</v>
      </c>
      <c r="J2185" t="s">
        <v>2357</v>
      </c>
      <c r="K2185">
        <v>220</v>
      </c>
    </row>
    <row r="2186" spans="1:23">
      <c r="A2186">
        <v>30</v>
      </c>
      <c r="B2186">
        <v>4</v>
      </c>
      <c r="C2186">
        <v>2015</v>
      </c>
      <c r="D2186" s="3" t="s">
        <f>B2186&amp;"/"&amp;A2186&amp;"/"&amp;C2186</f>
        <v>2396</v>
      </c>
      <c r="E2186">
        <v>1.0833333333333333</v>
      </c>
      <c r="F2186" t="str">
        <f>I2186&amp;" "&amp;J2186&amp;" "&amp;K2186&amp;" "&amp;L2186&amp;" "&amp;M2186&amp;" "&amp;N2186</f>
        <v>lydia jane austen dance  </v>
      </c>
      <c r="G2186" t="s">
        <f>TEXT(D2186,"mmm dd")</f>
        <v>246</v>
      </c>
      <c r="I2186" t="inlineStr">
        <is>
          <t>lydia</t>
        </is>
      </c>
      <c r="J2186" t="inlineStr">
        <is>
          <t>jane</t>
        </is>
      </c>
      <c r="K2186" t="inlineStr">
        <is>
          <t>austen</t>
        </is>
      </c>
      <c r="L2186" t="s">
        <v>969</v>
      </c>
    </row>
    <row r="2187" spans="1:23">
      <c r="A2187">
        <v>30</v>
      </c>
      <c r="B2187">
        <v>4</v>
      </c>
      <c r="C2187">
        <v>2015</v>
      </c>
      <c r="D2187" s="3" t="s">
        <f>B2187&amp;"/"&amp;A2187&amp;"/"&amp;C2187</f>
        <v>2396</v>
      </c>
      <c r="E2187">
        <v>0.79861111111111116</v>
      </c>
      <c r="F2187" t="str">
        <f>I2187&amp;" "&amp;J2187&amp;" "&amp;K2187&amp;" "&amp;L2187&amp;" "&amp;M2187&amp;" "&amp;N2187</f>
        <v>Flight to South Bend  </v>
      </c>
      <c r="G2187" t="s">
        <f>TEXT(D2187,"mmm dd")</f>
        <v>246</v>
      </c>
      <c r="I2187" t="s">
        <v>2365</v>
      </c>
      <c r="J2187" t="s">
        <v>449</v>
      </c>
      <c r="K2187" t="s">
        <v>1758</v>
      </c>
      <c r="L2187" t="s">
        <v>1759</v>
      </c>
    </row>
    <row r="2188" spans="1:23">
      <c r="A2188">
        <v>30</v>
      </c>
      <c r="B2188">
        <v>4</v>
      </c>
      <c r="C2188">
        <v>2015</v>
      </c>
      <c r="D2188" s="3" t="s">
        <f>B2188&amp;"/"&amp;A2188&amp;"/"&amp;C2188</f>
        <v>2396</v>
      </c>
      <c r="E2188" t="s">
        <v>42</v>
      </c>
      <c r="F2188" t="s">
        <f>I2188&amp;" "&amp;J2188&amp;" "&amp;K2188&amp;" "&amp;L2188&amp;" "&amp;M2188&amp;" "&amp;N2188</f>
        <v>2397</v>
      </c>
      <c r="G2188" t="s">
        <f>TEXT(D2188,"mmm dd")</f>
        <v>246</v>
      </c>
      <c r="I2188" t="s">
        <v>2398</v>
      </c>
      <c r="J2188" t="s">
        <v>53</v>
      </c>
      <c r="K2188" t="s">
        <v>2399</v>
      </c>
      <c r="L2188" t="s">
        <v>2400</v>
      </c>
      <c r="M2188" t="s">
        <v>86</v>
      </c>
      <c r="N2188" t="s">
        <v>1856</v>
      </c>
    </row>
    <row r="2189" spans="1:23">
      <c r="A2189">
        <v>30</v>
      </c>
      <c r="B2189">
        <v>4</v>
      </c>
      <c r="C2189">
        <v>2015</v>
      </c>
      <c r="D2189" s="3" t="s">
        <f>B2189&amp;"/"&amp;A2189&amp;"/"&amp;C2189</f>
        <v>2396</v>
      </c>
      <c r="E2189">
        <v>0.69930555555555551</v>
      </c>
      <c r="F2189" t="s">
        <f>I2189&amp;" "&amp;J2189&amp;" "&amp;K2189&amp;" "&amp;L2189&amp;" "&amp;M2189&amp;" "&amp;N2189</f>
        <v>2401</v>
      </c>
      <c r="G2189" t="s">
        <f>TEXT(D2189,"mmm dd")</f>
        <v>246</v>
      </c>
      <c r="I2189" t="s">
        <v>2365</v>
      </c>
      <c r="J2189" t="s">
        <v>449</v>
      </c>
      <c r="K2189" t="s">
        <v>2402</v>
      </c>
    </row>
    <row r="2190" spans="1:23">
      <c r="A2190">
        <v>3</v>
      </c>
      <c r="B2190">
        <v>5</v>
      </c>
      <c r="C2190">
        <v>2015</v>
      </c>
      <c r="D2190" s="3" t="str">
        <f>B2190&amp;"/"&amp;A2190&amp;"/"&amp;C2190</f>
        <v>5/3/2015</v>
      </c>
      <c r="E2190">
        <v>0.875</v>
      </c>
      <c r="F2190" t="str">
        <f>I2190&amp;" "&amp;J2190&amp;" "&amp;K2190&amp;" "&amp;L2190&amp;" "&amp;M2190&amp;" "&amp;N2190</f>
        <v>Convocation at St. Mary's  </v>
      </c>
      <c r="G2190" t="s">
        <f>TEXT(D2190,"mmm dd")</f>
        <v>262</v>
      </c>
      <c r="I2190" t="s">
        <v>876</v>
      </c>
      <c r="J2190" t="s">
        <v>53</v>
      </c>
      <c r="K2190" t="s">
        <v>218</v>
      </c>
      <c r="L2190" t="s">
        <v>265</v>
      </c>
      <c r="P2190" t="inlineStr">
        <is>
          <t>NO</t>
        </is>
      </c>
    </row>
    <row r="2191" spans="1:23">
      <c r="A2191">
        <v>5</v>
      </c>
      <c r="B2191">
        <v>5</v>
      </c>
      <c r="C2191">
        <v>2015</v>
      </c>
      <c r="D2191" s="3" t="s">
        <f>B2191&amp;"/"&amp;A2191&amp;"/"&amp;C2191</f>
        <v>2403</v>
      </c>
      <c r="E2191">
        <v>0.77083333333333337</v>
      </c>
      <c r="F2191" t="str">
        <f>I2191&amp;" "&amp;J2191&amp;" "&amp;K2191&amp;" "&amp;L2191&amp;" "&amp;M2191&amp;" "&amp;N2191</f>
        <v>RELG 101 Final   </v>
      </c>
      <c r="G2191" t="s">
        <f>TEXT(D2191,"mmm dd")</f>
        <v>2212</v>
      </c>
      <c r="I2191" t="s">
        <v>2357</v>
      </c>
      <c r="J2191">
        <v>101</v>
      </c>
      <c r="K2191" t="s">
        <v>1763</v>
      </c>
    </row>
    <row r="2192" spans="1:23">
      <c r="A2192">
        <v>5</v>
      </c>
      <c r="B2192">
        <v>5</v>
      </c>
      <c r="C2192">
        <v>2015</v>
      </c>
      <c r="D2192" s="3" t="s">
        <f>B2192&amp;"/"&amp;A2192&amp;"/"&amp;C2192</f>
        <v>2403</v>
      </c>
      <c r="E2192">
        <v>1.0263888888888888</v>
      </c>
      <c r="F2192" t="s">
        <f>I2192&amp;" "&amp;J2192&amp;" "&amp;K2192&amp;" "&amp;L2192&amp;" "&amp;M2192&amp;" "&amp;N2192</f>
        <v>2368</v>
      </c>
      <c r="G2192" t="s">
        <f>TEXT(D2192,"mmm dd")</f>
        <v>2212</v>
      </c>
      <c r="I2192" t="s">
        <v>2365</v>
      </c>
      <c r="J2192" t="s">
        <v>449</v>
      </c>
      <c r="K2192" t="s">
        <v>2369</v>
      </c>
    </row>
    <row r="2193" spans="1:23">
      <c r="A2193">
        <v>6</v>
      </c>
      <c r="B2193">
        <v>5</v>
      </c>
      <c r="C2193">
        <v>2015</v>
      </c>
      <c r="D2193" s="3" t="str">
        <f>B2193&amp;"/"&amp;A2193&amp;"/"&amp;C2193</f>
        <v>5/6/2015</v>
      </c>
      <c r="E2193">
        <v>0.16319444444444445</v>
      </c>
      <c r="F2193" t="s">
        <f>I2193&amp;" "&amp;J2193&amp;" "&amp;K2193&amp;" "&amp;L2193&amp;" "&amp;M2193&amp;" "&amp;N2193</f>
        <v>2371</v>
      </c>
      <c r="G2193" t="s">
        <f>TEXT(D2193,"mmm dd")</f>
        <v>277</v>
      </c>
      <c r="I2193" t="s">
        <v>2365</v>
      </c>
      <c r="J2193" t="s">
        <v>449</v>
      </c>
      <c r="K2193" t="s">
        <v>2372</v>
      </c>
    </row>
    <row r="2194" spans="1:23">
      <c r="A2194">
        <v>8</v>
      </c>
      <c r="B2194">
        <v>5</v>
      </c>
      <c r="C2194">
        <v>2015</v>
      </c>
      <c r="D2194" s="3" t="str">
        <f>B2194&amp;"/"&amp;A2194&amp;"/"&amp;C2194</f>
        <v>5/8/2015</v>
      </c>
      <c r="E2194">
        <v>1</v>
      </c>
      <c r="F2194" t="str">
        <f>I2194&amp;" "&amp;J2194&amp;" "&amp;K2194&amp;" "&amp;L2194&amp;" "&amp;M2194&amp;" "&amp;N2194</f>
        <v>Faculty potluck (RSVP?)   </v>
      </c>
      <c r="G2194" t="s">
        <f>TEXT(D2194,"mmm dd")</f>
        <v>282</v>
      </c>
      <c r="I2194" t="s">
        <v>496</v>
      </c>
      <c r="J2194" t="s">
        <v>2121</v>
      </c>
      <c r="K2194" t="inlineStr">
        <is>
          <t>(RSVP?)</t>
        </is>
      </c>
    </row>
    <row r="2195" spans="1:23">
      <c r="A2195">
        <v>10</v>
      </c>
      <c r="B2195">
        <v>5</v>
      </c>
      <c r="C2195">
        <v>2015</v>
      </c>
      <c r="D2195" s="3" t="str">
        <f>B2195&amp;"/"&amp;A2195&amp;"/"&amp;C2195</f>
        <v>5/10/2015</v>
      </c>
      <c r="E2195">
        <v>0.66666666666666663</v>
      </c>
      <c r="F2195" t="s">
        <f>I2195&amp;" "&amp;J2195&amp;" "&amp;K2195&amp;" "&amp;L2195&amp;" "&amp;M2195&amp;" "&amp;N2195</f>
        <v>2376</v>
      </c>
      <c r="G2195" t="s">
        <f>TEXT(D2195,"mmm dd")</f>
        <v>304</v>
      </c>
      <c r="I2195" t="s">
        <v>2181</v>
      </c>
      <c r="J2195" t="s">
        <v>2351</v>
      </c>
      <c r="K2195" t="s">
        <v>2377</v>
      </c>
    </row>
    <row r="2196" spans="1:23">
      <c r="A2196">
        <v>15</v>
      </c>
      <c r="B2196">
        <v>5</v>
      </c>
      <c r="C2196">
        <v>2015</v>
      </c>
      <c r="D2196" s="3" t="str">
        <f>B2196&amp;"/"&amp;A2196&amp;"/"&amp;C2196</f>
        <v>5/15/2015</v>
      </c>
      <c r="E2196">
        <v>0.95833333333333337</v>
      </c>
      <c r="F2196" t="str">
        <f>I2196&amp;" "&amp;J2196&amp;" "&amp;K2196&amp;" "&amp;L2196&amp;" "&amp;M2196&amp;" "&amp;N2196</f>
        <v>Baccalaureate mass at St. Mary's </v>
      </c>
      <c r="G2196" t="s">
        <f>TEXT(D2196,"mmm dd")</f>
        <v>326</v>
      </c>
      <c r="I2196" t="s">
        <v>1937</v>
      </c>
      <c r="J2196" t="s">
        <v>1774</v>
      </c>
      <c r="K2196" t="s">
        <v>53</v>
      </c>
      <c r="L2196" t="s">
        <v>218</v>
      </c>
      <c r="M2196" t="s">
        <v>265</v>
      </c>
    </row>
    <row r="2197" spans="1:23">
      <c r="A2197">
        <v>16</v>
      </c>
      <c r="B2197">
        <v>5</v>
      </c>
      <c r="C2197">
        <v>2015</v>
      </c>
      <c r="D2197" s="3" t="s">
        <f>B2197&amp;"/"&amp;A2197&amp;"/"&amp;C2197</f>
        <v>2404</v>
      </c>
      <c r="E2197">
        <v>0.75</v>
      </c>
      <c r="F2197" t="s">
        <f>I2197&amp;" "&amp;J2197&amp;" "&amp;K2197&amp;" "&amp;L2197&amp;" "&amp;M2197&amp;" "&amp;N2197</f>
        <v>2118</v>
      </c>
      <c r="G2197" t="s">
        <f>TEXT(D2197,"mmm dd")</f>
        <v>328</v>
      </c>
      <c r="I2197" t="s">
        <v>813</v>
      </c>
    </row>
    <row r="2198" spans="1:23">
      <c r="A2198">
        <v>16</v>
      </c>
      <c r="B2198">
        <v>5</v>
      </c>
      <c r="C2198">
        <v>2015</v>
      </c>
      <c r="D2198" s="3" t="s">
        <f>B2198&amp;"/"&amp;A2198&amp;"/"&amp;C2198</f>
        <v>2404</v>
      </c>
      <c r="E2198">
        <v>0.79166666666666663</v>
      </c>
      <c r="F2198" t="str">
        <f>I2198&amp;" "&amp;J2198&amp;" "&amp;K2198&amp;" "&amp;L2198&amp;" "&amp;M2198&amp;" "&amp;N2198</f>
        <v>Commencement at St. Mary's  </v>
      </c>
      <c r="G2198" t="s">
        <f>TEXT(D2198,"mmm dd")</f>
        <v>328</v>
      </c>
      <c r="I2198" t="s">
        <v>2217</v>
      </c>
      <c r="J2198" t="s">
        <v>53</v>
      </c>
      <c r="K2198" t="s">
        <v>218</v>
      </c>
      <c r="L2198" t="s">
        <v>265</v>
      </c>
    </row>
    <row r="2199" spans="1:23">
      <c r="A2199">
        <v>17</v>
      </c>
      <c r="B2199">
        <v>5</v>
      </c>
      <c r="C2199">
        <v>2015</v>
      </c>
      <c r="D2199" s="3" t="str">
        <f>B2199&amp;"/"&amp;A2199&amp;"/"&amp;C2199</f>
        <v>5/17/2015</v>
      </c>
      <c r="E2199">
        <v>0.20833333333333334</v>
      </c>
      <c r="F2199" t="s">
        <f>I2199&amp;" "&amp;J2199&amp;" "&amp;K2199&amp;" "&amp;L2199&amp;" "&amp;M2199&amp;" "&amp;N2199</f>
        <v>2376</v>
      </c>
      <c r="G2199" t="s">
        <f>TEXT(D2199,"mmm dd")</f>
        <v>335</v>
      </c>
      <c r="I2199" t="s">
        <v>2181</v>
      </c>
      <c r="J2199" t="s">
        <v>2351</v>
      </c>
      <c r="K2199" t="s">
        <v>2377</v>
      </c>
    </row>
    <row r="2200" spans="1:23">
      <c r="A2200">
        <v>22</v>
      </c>
      <c r="B2200">
        <v>5</v>
      </c>
      <c r="C2200">
        <v>2015</v>
      </c>
      <c r="D2200" s="3" t="str">
        <f>B2200&amp;"/"&amp;A2200&amp;"/"&amp;C2200</f>
        <v>5/22/2015</v>
      </c>
      <c r="E2200">
        <v>0.70833333333333337</v>
      </c>
      <c r="F2200" t="s">
        <f>I2200&amp;" "&amp;J2200&amp;" "&amp;K2200&amp;" "&amp;L2200&amp;" "&amp;M2200&amp;" "&amp;N2200</f>
        <v>2376</v>
      </c>
      <c r="G2200" t="s">
        <f>TEXT(D2200,"mmm dd")</f>
        <v>357</v>
      </c>
      <c r="I2200" t="s">
        <v>2181</v>
      </c>
      <c r="J2200" t="s">
        <v>2351</v>
      </c>
      <c r="K2200" t="s">
        <v>2377</v>
      </c>
    </row>
    <row r="2201" spans="1:23">
      <c r="A2201">
        <v>28</v>
      </c>
      <c r="B2201">
        <v>5</v>
      </c>
      <c r="C2201">
        <v>2015</v>
      </c>
      <c r="D2201" s="3" t="s">
        <f>B2201&amp;"/"&amp;A2201&amp;"/"&amp;C2201</f>
        <v>2405</v>
      </c>
      <c r="E2201">
        <v>0.875</v>
      </c>
      <c r="F2201" t="str">
        <f>I2201&amp;" "&amp;J2201&amp;" "&amp;K2201&amp;" "&amp;L2201&amp;" "&amp;M2201&amp;" "&amp;N2201</f>
        <v>Call house insurance   </v>
      </c>
      <c r="G2201" t="s">
        <f>TEXT(D2201,"mmm dd")</f>
        <v>393</v>
      </c>
      <c r="I2201" t="s">
        <v>1028</v>
      </c>
      <c r="J2201" t="s">
        <v>726</v>
      </c>
      <c r="K2201" t="s">
        <v>2406</v>
      </c>
    </row>
    <row r="2202" spans="1:23">
      <c r="A2202">
        <v>28</v>
      </c>
      <c r="B2202">
        <v>5</v>
      </c>
      <c r="C2202">
        <v>2015</v>
      </c>
      <c r="D2202" s="3" t="s">
        <f>B2202&amp;"/"&amp;A2202&amp;"/"&amp;C2202</f>
        <v>2405</v>
      </c>
      <c r="E2202">
        <v>0.875</v>
      </c>
      <c r="F2202" t="str">
        <f>I2202&amp;" "&amp;J2202&amp;" "&amp;K2202&amp;" "&amp;L2202&amp;" "&amp;M2202&amp;" "&amp;N2202</f>
        <v>Call David &amp; Billy re flights</v>
      </c>
      <c r="G2202" t="s">
        <f>TEXT(D2202,"mmm dd")</f>
        <v>393</v>
      </c>
      <c r="I2202" t="s">
        <v>1028</v>
      </c>
      <c r="J2202" t="s">
        <v>2407</v>
      </c>
      <c r="K2202" t="s">
        <v>73</v>
      </c>
      <c r="L2202" t="s">
        <v>1958</v>
      </c>
      <c r="M2202" t="s">
        <v>594</v>
      </c>
      <c r="N2202" t="inlineStr">
        <is>
          <t>flights</t>
        </is>
      </c>
    </row>
    <row r="2203" spans="1:23">
      <c r="A2203">
        <v>1</v>
      </c>
      <c r="B2203">
        <v>6</v>
      </c>
      <c r="C2203">
        <v>2015</v>
      </c>
      <c r="D2203" s="3" t="str">
        <f>B2203&amp;"/"&amp;A2203&amp;"/"&amp;C2203</f>
        <v>6/1/2015</v>
      </c>
      <c r="E2203">
        <v>0.66666666666666663</v>
      </c>
      <c r="F2203" t="str">
        <f>I2203&amp;" "&amp;J2203&amp;" "&amp;K2203&amp;" "&amp;L2203&amp;" "&amp;M2203&amp;" "&amp;N2203</f>
        <v>REU presentation on Latex  </v>
      </c>
      <c r="G2203" t="s">
        <f>TEXT(D2203,"mmm dd")</f>
        <v>421</v>
      </c>
      <c r="I2203" t="inlineStr">
        <is>
          <t>REU</t>
        </is>
      </c>
      <c r="J2203" t="s">
        <v>1286</v>
      </c>
      <c r="K2203" t="s">
        <v>1449</v>
      </c>
      <c r="L2203" t="inlineStr">
        <is>
          <t>Latex</t>
        </is>
      </c>
    </row>
    <row r="2204" spans="1:23">
      <c r="A2204">
        <v>8</v>
      </c>
      <c r="B2204">
        <v>6</v>
      </c>
      <c r="C2204">
        <v>2015</v>
      </c>
      <c r="D2204" s="3" t="str">
        <f>B2204&amp;"/"&amp;A2204&amp;"/"&amp;C2204</f>
        <v>6/8/2015</v>
      </c>
      <c r="E2204">
        <v>0.25</v>
      </c>
      <c r="F2204" t="s">
        <f>I2204&amp;" "&amp;J2204&amp;" "&amp;K2204&amp;" "&amp;L2204&amp;" "&amp;M2204&amp;" "&amp;N2204</f>
        <v>2376</v>
      </c>
      <c r="G2204" t="s">
        <f>TEXT(D2204,"mmm dd")</f>
        <v>1325</v>
      </c>
      <c r="I2204" t="s">
        <v>2181</v>
      </c>
      <c r="J2204" t="s">
        <v>2351</v>
      </c>
      <c r="K2204" t="s">
        <v>2377</v>
      </c>
    </row>
    <row r="2205" spans="1:23">
      <c r="A2205">
        <v>14</v>
      </c>
      <c r="B2205">
        <v>6</v>
      </c>
      <c r="C2205">
        <v>2015</v>
      </c>
      <c r="D2205" s="3" t="str">
        <f>B2205&amp;"/"&amp;A2205&amp;"/"&amp;C2205</f>
        <v>6/14/2015</v>
      </c>
      <c r="E2205">
        <v>0.20833333333333334</v>
      </c>
      <c r="F2205" t="s">
        <f>I2205&amp;" "&amp;J2205&amp;" "&amp;K2205&amp;" "&amp;L2205&amp;" "&amp;M2205&amp;" "&amp;N2205</f>
        <v>2376</v>
      </c>
      <c r="G2205" t="s">
        <f>TEXT(D2205,"mmm dd")</f>
        <v>524</v>
      </c>
      <c r="I2205" t="s">
        <v>2181</v>
      </c>
      <c r="J2205" t="s">
        <v>2351</v>
      </c>
      <c r="K2205" t="s">
        <v>2377</v>
      </c>
    </row>
    <row r="2206" spans="1:23">
      <c r="A2206">
        <v>18</v>
      </c>
      <c r="B2206">
        <v>6</v>
      </c>
      <c r="C2206">
        <v>2015</v>
      </c>
      <c r="D2206" s="3" t="s">
        <f>B2206&amp;"/"&amp;A2206&amp;"/"&amp;C2206</f>
        <v>2408</v>
      </c>
      <c r="E2206">
        <v>0.64583333333333337</v>
      </c>
      <c r="F2206" t="str">
        <f>I2206&amp;" "&amp;J2206&amp;" "&amp;K2206&amp;" "&amp;L2206&amp;" "&amp;M2206&amp;" "&amp;N2206</f>
        <v>Leave Charlotte    </v>
      </c>
      <c r="G2206" t="s">
        <f>TEXT(D2206,"mmm dd")</f>
        <v>558</v>
      </c>
      <c r="I2206" t="s">
        <v>2229</v>
      </c>
      <c r="J2206" t="s">
        <v>2372</v>
      </c>
    </row>
    <row r="2207" spans="1:23">
      <c r="A2207">
        <v>18</v>
      </c>
      <c r="B2207">
        <v>6</v>
      </c>
      <c r="C2207">
        <v>2015</v>
      </c>
      <c r="D2207" s="3" t="s">
        <f>B2207&amp;"/"&amp;A2207&amp;"/"&amp;C2207</f>
        <v>2408</v>
      </c>
      <c r="E2207">
        <v>0.875</v>
      </c>
      <c r="F2207" t="str">
        <f>I2207&amp;" "&amp;J2207&amp;" "&amp;K2207&amp;" "&amp;L2207&amp;" "&amp;M2207&amp;" "&amp;N2207</f>
        <v>Arrive San Francisco (2pm PDT) </v>
      </c>
      <c r="G2207" t="s">
        <f>TEXT(D2207,"mmm dd")</f>
        <v>558</v>
      </c>
      <c r="I2207" t="s">
        <v>1450</v>
      </c>
      <c r="J2207" t="s">
        <v>551</v>
      </c>
      <c r="K2207" t="inlineStr">
        <is>
          <t>Francisco</t>
        </is>
      </c>
      <c r="L2207" t="inlineStr">
        <is>
          <t>(2pm</t>
        </is>
      </c>
      <c r="M2207" t="inlineStr">
        <is>
          <t>PDT)</t>
        </is>
      </c>
    </row>
    <row r="2208" spans="1:23">
      <c r="A2208">
        <v>24</v>
      </c>
      <c r="B2208">
        <v>6</v>
      </c>
      <c r="C2208">
        <v>2015</v>
      </c>
      <c r="D2208" s="3" t="s">
        <f>B2208&amp;"/"&amp;A2208&amp;"/"&amp;C2208</f>
        <v>2409</v>
      </c>
      <c r="E2208">
        <v>0.20833333333333334</v>
      </c>
      <c r="F2208" t="str">
        <f>I2208&amp;" "&amp;J2208&amp;" "&amp;K2208&amp;" "&amp;L2208&amp;" "&amp;M2208&amp;" "&amp;N2208</f>
        <v>Leave San Fran (10  </v>
      </c>
      <c r="G2208" t="s">
        <f>TEXT(D2208,"mmm dd")</f>
        <v>583</v>
      </c>
      <c r="I2208" t="s">
        <v>2229</v>
      </c>
      <c r="J2208" t="s">
        <v>551</v>
      </c>
      <c r="K2208" t="s">
        <v>1483</v>
      </c>
      <c r="L2208" t="inlineStr">
        <is>
          <t>(10</t>
        </is>
      </c>
      <c r="O2208" t="s">
        <v>2410</v>
      </c>
    </row>
    <row r="2209" spans="1:23">
      <c r="A2209">
        <v>24</v>
      </c>
      <c r="B2209">
        <v>6</v>
      </c>
      <c r="C2209">
        <v>2015</v>
      </c>
      <c r="D2209" s="3" t="s">
        <f>B2209&amp;"/"&amp;A2209&amp;"/"&amp;C2209</f>
        <v>2409</v>
      </c>
      <c r="E2209">
        <v>0.75</v>
      </c>
      <c r="F2209" t="str">
        <f>I2209&amp;" "&amp;J2209&amp;" "&amp;K2209&amp;" "&amp;L2209&amp;" "&amp;M2209&amp;" "&amp;N2209</f>
        <v>Arr. Charlotte (   </v>
      </c>
      <c r="G2209" t="s">
        <f>TEXT(D2209,"mmm dd")</f>
        <v>583</v>
      </c>
      <c r="I2209" t="inlineStr">
        <is>
          <t>Arr.</t>
        </is>
      </c>
      <c r="J2209" t="s">
        <v>2372</v>
      </c>
      <c r="K2209" t="inlineStr">
        <is>
          <t>(</t>
        </is>
      </c>
      <c r="O2209" t="s">
        <v>2410</v>
      </c>
    </row>
    <row r="2210" spans="1:23">
      <c r="A2210">
        <v>3</v>
      </c>
      <c r="B2210">
        <v>7</v>
      </c>
      <c r="C2210">
        <v>2015</v>
      </c>
      <c r="D2210" s="3" t="str">
        <f>B2210&amp;"/"&amp;A2210&amp;"/"&amp;C2210</f>
        <v>7/3/2015</v>
      </c>
      <c r="E2210">
        <v>0.20833333333333334</v>
      </c>
      <c r="F2210" t="s">
        <f>I2210&amp;" "&amp;J2210&amp;" "&amp;K2210&amp;" "&amp;L2210&amp;" "&amp;M2210&amp;" "&amp;N2210</f>
        <v>2376</v>
      </c>
      <c r="G2210" t="s">
        <f>TEXT(D2210,"mmm dd")</f>
        <v>16</v>
      </c>
      <c r="I2210" t="s">
        <v>2181</v>
      </c>
      <c r="J2210" t="s">
        <v>2351</v>
      </c>
      <c r="K2210" t="s">
        <v>2377</v>
      </c>
    </row>
    <row r="2211" spans="1:23">
      <c r="A2211">
        <v>8</v>
      </c>
      <c r="B2211">
        <v>7</v>
      </c>
      <c r="C2211">
        <v>2015</v>
      </c>
      <c r="D2211" s="3" t="str">
        <f>B2211&amp;"/"&amp;A2211&amp;"/"&amp;C2211</f>
        <v>7/8/2015</v>
      </c>
      <c r="E2211">
        <v>0.70833333333333337</v>
      </c>
      <c r="F2211" t="s">
        <f>I2211&amp;" "&amp;J2211&amp;" "&amp;K2211&amp;" "&amp;L2211&amp;" "&amp;M2211&amp;" "&amp;N2211</f>
        <v>2376</v>
      </c>
      <c r="G2211" t="s">
        <f>TEXT(D2211,"mmm dd")</f>
        <v>623</v>
      </c>
      <c r="I2211" t="s">
        <v>2181</v>
      </c>
      <c r="J2211" t="s">
        <v>2351</v>
      </c>
      <c r="K2211" t="s">
        <v>2377</v>
      </c>
    </row>
    <row r="2212" spans="1:23">
      <c r="A2212">
        <v>10</v>
      </c>
      <c r="B2212">
        <v>7</v>
      </c>
      <c r="C2212">
        <v>2015</v>
      </c>
      <c r="D2212" s="3" t="str">
        <f>B2212&amp;"/"&amp;A2212&amp;"/"&amp;C2212</f>
        <v>7/10/2015</v>
      </c>
      <c r="E2212">
        <v>0.84375</v>
      </c>
      <c r="F2212" t="str">
        <f>I2212&amp;" "&amp;J2212&amp;" "&amp;K2212&amp;" "&amp;L2212&amp;" "&amp;M2212&amp;" "&amp;N2212</f>
        <v>Meet Comporium    </v>
      </c>
      <c r="G2212" t="s">
        <f>TEXT(D2212,"mmm dd")</f>
        <v>1712</v>
      </c>
      <c r="I2212" t="s">
        <v>300</v>
      </c>
      <c r="J2212" t="s">
        <v>2332</v>
      </c>
    </row>
    <row r="2213" spans="1:23">
      <c r="A2213">
        <v>11</v>
      </c>
      <c r="B2213">
        <v>7</v>
      </c>
      <c r="C2213">
        <v>2015</v>
      </c>
      <c r="D2213" s="3" t="s">
        <f>B2213&amp;"/"&amp;A2213&amp;"/"&amp;C2213</f>
        <v>2411</v>
      </c>
      <c r="E2213">
        <v>0.66666666666666663</v>
      </c>
      <c r="F2213" t="str">
        <f>I2213&amp;" "&amp;J2213&amp;" "&amp;K2213&amp;" "&amp;L2213&amp;" "&amp;M2213&amp;" "&amp;N2213</f>
        <v>Pick up moving van  </v>
      </c>
      <c r="G2213" t="s">
        <f>TEXT(D2213,"mmm dd")</f>
        <v>628</v>
      </c>
      <c r="I2213" t="s">
        <v>806</v>
      </c>
      <c r="J2213" t="s">
        <v>807</v>
      </c>
      <c r="K2213" t="inlineStr">
        <is>
          <t>moving</t>
        </is>
      </c>
      <c r="L2213" t="inlineStr">
        <is>
          <t>van</t>
        </is>
      </c>
    </row>
    <row r="2214" spans="1:23">
      <c r="A2214">
        <v>11</v>
      </c>
      <c r="B2214">
        <v>7</v>
      </c>
      <c r="C2214">
        <v>2015</v>
      </c>
      <c r="D2214" s="3" t="s">
        <f>B2214&amp;"/"&amp;A2214&amp;"/"&amp;C2214</f>
        <v>2411</v>
      </c>
      <c r="E2214">
        <v>0.66666666666666663</v>
      </c>
      <c r="F2214" t="str">
        <f>I2214&amp;" "&amp;J2214&amp;" "&amp;K2214&amp;" "&amp;L2214&amp;" "&amp;M2214&amp;" "&amp;N2214</f>
        <v>Truck Pickup Sat July 11 0.375</v>
      </c>
      <c r="G2214" t="s">
        <f>TEXT(D2214,"mmm dd")</f>
        <v>628</v>
      </c>
      <c r="I2214" t="inlineStr">
        <is>
          <t>Truck</t>
        </is>
      </c>
      <c r="J2214" t="inlineStr">
        <is>
          <t>Pickup</t>
        </is>
      </c>
      <c r="K2214" t="inlineStr">
        <is>
          <t>Sat</t>
        </is>
      </c>
      <c r="L2214" t="s">
        <v>2412</v>
      </c>
      <c r="M2214">
        <v>11</v>
      </c>
      <c r="N2214" s="7">
        <v>0.375</v>
      </c>
    </row>
    <row r="2215" spans="1:23">
      <c r="A2215">
        <v>15</v>
      </c>
      <c r="B2215">
        <v>7</v>
      </c>
      <c r="C2215">
        <v>2015</v>
      </c>
      <c r="D2215" s="3" t="str">
        <f>B2215&amp;"/"&amp;A2215&amp;"/"&amp;C2215</f>
        <v>7/15/2015</v>
      </c>
      <c r="E2215">
        <v>0.70833333333333337</v>
      </c>
      <c r="F2215" t="s">
        <f>I2215&amp;" "&amp;J2215&amp;" "&amp;K2215&amp;" "&amp;L2215&amp;" "&amp;M2215&amp;" "&amp;N2215</f>
        <v>2376</v>
      </c>
      <c r="G2215" t="s">
        <f>TEXT(D2215,"mmm dd")</f>
        <v>640</v>
      </c>
      <c r="I2215" t="s">
        <v>2181</v>
      </c>
      <c r="J2215" t="s">
        <v>2351</v>
      </c>
      <c r="K2215" t="s">
        <v>2377</v>
      </c>
    </row>
    <row r="2216" spans="1:23">
      <c r="A2216">
        <v>24</v>
      </c>
      <c r="B2216">
        <v>7</v>
      </c>
      <c r="C2216">
        <v>2015</v>
      </c>
      <c r="D2216" s="3" t="str">
        <f>B2216&amp;"/"&amp;A2216&amp;"/"&amp;C2216</f>
        <v>7/24/2015</v>
      </c>
      <c r="E2216">
        <v>0.70833333333333337</v>
      </c>
      <c r="F2216" t="s">
        <f>I2216&amp;" "&amp;J2216&amp;" "&amp;K2216&amp;" "&amp;L2216&amp;" "&amp;M2216&amp;" "&amp;N2216</f>
        <v>2376</v>
      </c>
      <c r="G2216" t="s">
        <f>TEXT(D2216,"mmm dd")</f>
        <v>684</v>
      </c>
      <c r="I2216" t="s">
        <v>2181</v>
      </c>
      <c r="J2216" t="s">
        <v>2351</v>
      </c>
      <c r="K2216" t="s">
        <v>2377</v>
      </c>
    </row>
    <row r="2217" spans="1:23">
      <c r="A2217">
        <v>28</v>
      </c>
      <c r="B2217">
        <v>7</v>
      </c>
      <c r="C2217">
        <v>2015</v>
      </c>
      <c r="D2217" s="3" t="str">
        <f>B2217&amp;"/"&amp;A2217&amp;"/"&amp;C2217</f>
        <v>7/28/2015</v>
      </c>
      <c r="E2217">
        <v>0.70833333333333337</v>
      </c>
      <c r="F2217" t="str">
        <f>I2217&amp;" "&amp;J2217&amp;" "&amp;K2217&amp;" "&amp;L2217&amp;" "&amp;M2217&amp;" "&amp;N2217</f>
        <v>Pick up prescription   </v>
      </c>
      <c r="G2217" t="s">
        <f>TEXT(D2217,"mmm dd")</f>
        <v>1745</v>
      </c>
      <c r="I2217" t="s">
        <v>806</v>
      </c>
      <c r="J2217" t="s">
        <v>807</v>
      </c>
      <c r="K2217" t="inlineStr">
        <is>
          <t>prescription</t>
        </is>
      </c>
    </row>
    <row r="2218" spans="1:23">
      <c r="A2218">
        <v>30</v>
      </c>
      <c r="B2218">
        <v>7</v>
      </c>
      <c r="C2218">
        <v>2015</v>
      </c>
      <c r="D2218" s="3" t="str">
        <f>B2218&amp;"/"&amp;A2218&amp;"/"&amp;C2218</f>
        <v>7/30/2015</v>
      </c>
      <c r="E2218">
        <v>0.70833333333333337</v>
      </c>
      <c r="F2218" t="str">
        <f>I2218&amp;" "&amp;J2218&amp;" "&amp;K2218&amp;" "&amp;L2218&amp;" "&amp;M2218&amp;" "&amp;N2218</f>
        <v>Eye doctor for both  </v>
      </c>
      <c r="G2218" t="s">
        <f>TEXT(D2218,"mmm dd")</f>
        <v>709</v>
      </c>
      <c r="I2218" t="s">
        <v>1910</v>
      </c>
      <c r="J2218" t="s">
        <v>1354</v>
      </c>
      <c r="K2218" t="s">
        <v>439</v>
      </c>
      <c r="L2218" t="inlineStr">
        <is>
          <t>both</t>
        </is>
      </c>
    </row>
    <row r="2219" spans="1:23">
      <c r="A2219">
        <v>4</v>
      </c>
      <c r="B2219">
        <v>8</v>
      </c>
      <c r="C2219">
        <v>2015</v>
      </c>
      <c r="D2219" s="3" t="s">
        <f>B2219&amp;"/"&amp;A2219&amp;"/"&amp;C2219</f>
        <v>2413</v>
      </c>
      <c r="E2219">
        <v>0.77083333333333337</v>
      </c>
      <c r="F2219" t="str">
        <f>I2219&amp;" "&amp;J2219&amp;" "&amp;K2219&amp;" "&amp;L2219&amp;" "&amp;M2219&amp;" "&amp;N2219</f>
        <v>Dentist 2    </v>
      </c>
      <c r="G2219" t="s">
        <f>TEXT(D2219,"mmm dd")</f>
        <v>1603</v>
      </c>
      <c r="I2219" t="s">
        <v>2414</v>
      </c>
      <c r="J2219">
        <v>2</v>
      </c>
    </row>
    <row r="2220" spans="1:23">
      <c r="A2220">
        <v>4</v>
      </c>
      <c r="B2220">
        <v>8</v>
      </c>
      <c r="C2220">
        <v>2015</v>
      </c>
      <c r="D2220" s="3" t="s">
        <f>B2220&amp;"/"&amp;A2220&amp;"/"&amp;C2220</f>
        <v>2413</v>
      </c>
      <c r="E2220">
        <v>0.69791666666666663</v>
      </c>
      <c r="F2220" t="str">
        <f>I2220&amp;" "&amp;J2220&amp;" "&amp;K2220&amp;" "&amp;L2220&amp;" "&amp;M2220&amp;" "&amp;N2220</f>
        <v>Dentist 1    </v>
      </c>
      <c r="G2220" t="s">
        <f>TEXT(D2220,"mmm dd")</f>
        <v>1603</v>
      </c>
      <c r="I2220" t="s">
        <v>2414</v>
      </c>
      <c r="J2220">
        <v>1</v>
      </c>
    </row>
    <row r="2221" spans="1:23">
      <c r="A2221">
        <v>6</v>
      </c>
      <c r="B2221">
        <v>8</v>
      </c>
      <c r="C2221">
        <v>2015</v>
      </c>
      <c r="D2221" s="3" t="str">
        <f>B2221&amp;"/"&amp;A2221&amp;"/"&amp;C2221</f>
        <v>8/6/2015</v>
      </c>
      <c r="E2221">
        <v>1.0833333333333333</v>
      </c>
      <c r="F2221" t="str">
        <f>I2221&amp;" "&amp;J2221&amp;" "&amp;K2221&amp;" "&amp;L2221&amp;" "&amp;M2221&amp;" "&amp;N2221</f>
        <v>Hiroshima event    </v>
      </c>
      <c r="G2221" t="s">
        <f>TEXT(D2221,"mmm dd")</f>
        <v>1362</v>
      </c>
      <c r="I2221" t="inlineStr">
        <is>
          <t>Hiroshima</t>
        </is>
      </c>
      <c r="J2221" t="s">
        <v>996</v>
      </c>
    </row>
    <row r="2222" spans="1:23">
      <c r="A2222">
        <v>7</v>
      </c>
      <c r="B2222">
        <v>8</v>
      </c>
      <c r="C2222">
        <v>2015</v>
      </c>
      <c r="D2222" s="3" t="str">
        <f>B2222&amp;"/"&amp;A2222&amp;"/"&amp;C2222</f>
        <v>8/7/2015</v>
      </c>
      <c r="E2222">
        <v>1.0416666666666667</v>
      </c>
      <c r="F2222" t="s">
        <f>I2222&amp;" "&amp;J2222&amp;" "&amp;K2222&amp;" "&amp;L2222&amp;" "&amp;M2222&amp;" "&amp;N2222</f>
        <v>2376</v>
      </c>
      <c r="G2222" t="s">
        <f>TEXT(D2222,"mmm dd")</f>
        <v>1605</v>
      </c>
      <c r="I2222" t="s">
        <v>2181</v>
      </c>
      <c r="J2222" t="s">
        <v>2351</v>
      </c>
      <c r="K2222" t="s">
        <v>2377</v>
      </c>
    </row>
    <row r="2223" spans="1:23">
      <c r="A2223">
        <v>10</v>
      </c>
      <c r="B2223">
        <v>8</v>
      </c>
      <c r="C2223">
        <v>2015</v>
      </c>
      <c r="D2223" s="3" t="s">
        <f>B2223&amp;"/"&amp;A2223&amp;"/"&amp;C2223</f>
        <v>2415</v>
      </c>
      <c r="E2223">
        <v>0.72916666666666663</v>
      </c>
      <c r="F2223" t="s">
        <f>I2223&amp;" "&amp;J2223&amp;" "&amp;K2223&amp;" "&amp;L2223&amp;" "&amp;M2223&amp;" "&amp;N2223</f>
        <v>2416</v>
      </c>
      <c r="G2223" t="s">
        <f>TEXT(D2223,"mmm dd")</f>
        <v>734</v>
      </c>
      <c r="I2223" t="s">
        <v>2417</v>
      </c>
    </row>
    <row r="2224" spans="1:23">
      <c r="A2224">
        <v>10</v>
      </c>
      <c r="B2224">
        <v>8</v>
      </c>
      <c r="C2224">
        <v>2015</v>
      </c>
      <c r="D2224" s="3" t="s">
        <f>B2224&amp;"/"&amp;A2224&amp;"/"&amp;C2224</f>
        <v>2415</v>
      </c>
      <c r="E2224">
        <v>0.72916666666666663</v>
      </c>
      <c r="F2224" t="s">
        <f>I2224&amp;" "&amp;J2224&amp;" "&amp;K2224&amp;" "&amp;L2224&amp;" "&amp;M2224&amp;" "&amp;N2224</f>
        <v>2418</v>
      </c>
      <c r="G2224" t="s">
        <f>TEXT(D2224,"mmm dd")</f>
        <v>734</v>
      </c>
      <c r="I2224" t="s">
        <v>2419</v>
      </c>
      <c r="J2224" t="s">
        <v>755</v>
      </c>
      <c r="K2224" t="s">
        <v>2420</v>
      </c>
      <c r="N2224" t="s">
        <v>2421</v>
      </c>
    </row>
    <row r="2225" spans="1:23">
      <c r="A2225">
        <v>11</v>
      </c>
      <c r="B2225">
        <v>8</v>
      </c>
      <c r="C2225">
        <v>2015</v>
      </c>
      <c r="D2225" s="3" t="s">
        <f>B2225&amp;"/"&amp;A2225&amp;"/"&amp;C2225</f>
        <v>2422</v>
      </c>
      <c r="E2225">
        <v>0.78125</v>
      </c>
      <c r="F2225" t="str">
        <f>I2225&amp;" "&amp;J2225&amp;" "&amp;K2225&amp;" "&amp;L2225&amp;" "&amp;M2225&amp;" "&amp;N2225</f>
        <v>Root canal    </v>
      </c>
      <c r="G2225" t="s">
        <f>TEXT(D2225,"mmm dd")</f>
        <v>744</v>
      </c>
      <c r="I2225" t="inlineStr">
        <is>
          <t>Root</t>
        </is>
      </c>
      <c r="J2225" t="s">
        <v>2423</v>
      </c>
    </row>
    <row r="2226" spans="1:23">
      <c r="A2226">
        <v>11</v>
      </c>
      <c r="B2226">
        <v>8</v>
      </c>
      <c r="C2226">
        <v>2015</v>
      </c>
      <c r="D2226" s="3" t="s">
        <f>B2226&amp;"/"&amp;A2226&amp;"/"&amp;C2226</f>
        <v>2422</v>
      </c>
      <c r="E2226">
        <v>0.5</v>
      </c>
      <c r="F2226" t="s">
        <f>I2226&amp;" "&amp;J2226&amp;" "&amp;K2226&amp;" "&amp;L2226&amp;" "&amp;M2226&amp;" "&amp;N2226</f>
        <v>2424</v>
      </c>
      <c r="G2226" t="s">
        <f>TEXT(D2226,"mmm dd")</f>
        <v>744</v>
      </c>
      <c r="I2226" t="s">
        <v>2425</v>
      </c>
      <c r="J2226" t="s">
        <v>110</v>
      </c>
      <c r="K2226" t="s">
        <v>2426</v>
      </c>
    </row>
    <row r="2227" spans="1:23">
      <c r="A2227">
        <v>11</v>
      </c>
      <c r="B2227">
        <v>8</v>
      </c>
      <c r="C2227">
        <v>2015</v>
      </c>
      <c r="D2227" s="3" t="s">
        <f>B2227&amp;"/"&amp;A2227&amp;"/"&amp;C2227</f>
        <v>2422</v>
      </c>
      <c r="E2227">
        <v>1</v>
      </c>
      <c r="F2227" t="str">
        <f>I2227&amp;" "&amp;J2227&amp;" "&amp;K2227&amp;" "&amp;L2227&amp;" "&amp;M2227&amp;" "&amp;N2227</f>
        <v>Trash     </v>
      </c>
      <c r="G2227" t="s">
        <f>TEXT(D2227,"mmm dd")</f>
        <v>744</v>
      </c>
      <c r="I2227" t="inlineStr">
        <is>
          <t>Trash</t>
        </is>
      </c>
    </row>
    <row r="2228" spans="1:23">
      <c r="A2228">
        <v>12</v>
      </c>
      <c r="B2228">
        <v>8</v>
      </c>
      <c r="C2228">
        <v>2015</v>
      </c>
      <c r="D2228" s="3" t="str">
        <f>B2228&amp;"/"&amp;A2228&amp;"/"&amp;C2228</f>
        <v>8/12/2015</v>
      </c>
      <c r="E2228">
        <v>0.79166666666666663</v>
      </c>
      <c r="F2228" t="s">
        <f>I2228&amp;" "&amp;J2228&amp;" "&amp;K2228&amp;" "&amp;L2228&amp;" "&amp;M2228&amp;" "&amp;N2228</f>
        <v>2427</v>
      </c>
      <c r="G2228" t="s">
        <f>TEXT(D2228,"mmm dd")</f>
        <v>750</v>
      </c>
      <c r="I2228" t="s">
        <v>1409</v>
      </c>
    </row>
    <row r="2229" spans="1:23">
      <c r="A2229">
        <v>17</v>
      </c>
      <c r="B2229">
        <v>8</v>
      </c>
      <c r="C2229">
        <v>2015</v>
      </c>
      <c r="D2229" s="3" t="s">
        <f>B2229&amp;"/"&amp;A2229&amp;"/"&amp;C2229</f>
        <v>2428</v>
      </c>
      <c r="E2229">
        <v>0.85416666666666663</v>
      </c>
      <c r="F2229" t="str">
        <f>I2229&amp;" "&amp;J2229&amp;" "&amp;K2229&amp;" "&amp;L2229&amp;" "&amp;M2229&amp;" "&amp;N2229</f>
        <v>Dentist cleaning    </v>
      </c>
      <c r="G2229" t="s">
        <f>TEXT(D2229,"mmm dd")</f>
        <v>793</v>
      </c>
      <c r="I2229" t="s">
        <v>2414</v>
      </c>
      <c r="J2229" t="s">
        <v>2035</v>
      </c>
    </row>
    <row r="2230" spans="1:23">
      <c r="A2230">
        <v>17</v>
      </c>
      <c r="B2230">
        <v>8</v>
      </c>
      <c r="C2230">
        <v>2015</v>
      </c>
      <c r="D2230" s="3" t="s">
        <f>B2230&amp;"/"&amp;A2230&amp;"/"&amp;C2230</f>
        <v>2428</v>
      </c>
      <c r="E2230">
        <v>0.70833333333333337</v>
      </c>
      <c r="F2230" t="s">
        <f>I2230&amp;" "&amp;J2230&amp;" "&amp;K2230&amp;" "&amp;L2230&amp;" "&amp;M2230&amp;" "&amp;N2230</f>
        <v>2429</v>
      </c>
      <c r="G2230" t="s">
        <f>TEXT(D2230,"mmm dd")</f>
        <v>793</v>
      </c>
      <c r="I2230" t="s">
        <v>1606</v>
      </c>
      <c r="J2230" t="s">
        <v>493</v>
      </c>
      <c r="K2230" t="s">
        <v>2430</v>
      </c>
    </row>
    <row r="2231" spans="1:23">
      <c r="A2231">
        <v>17</v>
      </c>
      <c r="B2231">
        <v>8</v>
      </c>
      <c r="C2231">
        <v>2015</v>
      </c>
      <c r="D2231" s="3" t="s">
        <f>B2231&amp;"/"&amp;A2231&amp;"/"&amp;C2231</f>
        <v>2428</v>
      </c>
      <c r="E2231">
        <v>0.85416666666666663</v>
      </c>
      <c r="F2231" t="s">
        <f>I2231&amp;" "&amp;J2231&amp;" "&amp;K2231&amp;" "&amp;L2231&amp;" "&amp;M2231&amp;" "&amp;N2231</f>
        <v>2418</v>
      </c>
      <c r="G2231" t="s">
        <f>TEXT(D2231,"mmm dd")</f>
        <v>793</v>
      </c>
      <c r="I2231" t="s">
        <v>2419</v>
      </c>
      <c r="J2231" t="s">
        <v>755</v>
      </c>
      <c r="K2231" t="s">
        <v>2420</v>
      </c>
      <c r="N2231" t="s">
        <v>2421</v>
      </c>
    </row>
    <row r="2232" spans="1:23">
      <c r="A2232">
        <v>18</v>
      </c>
      <c r="B2232">
        <v>8</v>
      </c>
      <c r="C2232">
        <v>2015</v>
      </c>
      <c r="D2232" s="3" t="s">
        <f>B2232&amp;"/"&amp;A2232&amp;"/"&amp;C2232</f>
        <v>2431</v>
      </c>
      <c r="E2232">
        <v>0.75</v>
      </c>
      <c r="F2232" t="str">
        <f>I2232&amp;" "&amp;J2232&amp;" "&amp;K2232&amp;" "&amp;L2232&amp;" "&amp;M2232&amp;" "&amp;N2232</f>
        <v>Religion Philosophy meeting   </v>
      </c>
      <c r="G2232" t="s">
        <f>TEXT(D2232,"mmm dd")</f>
        <v>2041</v>
      </c>
      <c r="I2232" t="s">
        <v>2352</v>
      </c>
      <c r="J2232" t="inlineStr">
        <is>
          <t>Philosophy</t>
        </is>
      </c>
      <c r="K2232" t="s">
        <v>842</v>
      </c>
    </row>
    <row r="2233" spans="1:23">
      <c r="A2233">
        <v>18</v>
      </c>
      <c r="B2233">
        <v>8</v>
      </c>
      <c r="C2233">
        <v>2015</v>
      </c>
      <c r="D2233" s="3" t="s">
        <f>B2233&amp;"/"&amp;A2233&amp;"/"&amp;C2233</f>
        <v>2431</v>
      </c>
      <c r="E2233">
        <v>0.83333333333333337</v>
      </c>
      <c r="F2233" t="s">
        <f>I2233&amp;" "&amp;J2233&amp;" "&amp;K2233&amp;" "&amp;L2233&amp;" "&amp;M2233&amp;" "&amp;N2233</f>
        <v>2432</v>
      </c>
      <c r="G2233" t="s">
        <f>TEXT(D2233,"mmm dd")</f>
        <v>2041</v>
      </c>
      <c r="I2233" t="s">
        <v>1606</v>
      </c>
      <c r="J2233" t="s">
        <v>493</v>
      </c>
      <c r="K2233" t="s">
        <v>2362</v>
      </c>
    </row>
    <row r="2234" spans="1:23">
      <c r="A2234">
        <v>18</v>
      </c>
      <c r="B2234">
        <v>8</v>
      </c>
      <c r="C2234">
        <v>2015</v>
      </c>
      <c r="D2234" s="3" t="s">
        <f>B2234&amp;"/"&amp;A2234&amp;"/"&amp;C2234</f>
        <v>2431</v>
      </c>
      <c r="E2234">
        <v>0.5</v>
      </c>
      <c r="F2234" t="s">
        <f>I2234&amp;" "&amp;J2234&amp;" "&amp;K2234&amp;" "&amp;L2234&amp;" "&amp;M2234&amp;" "&amp;N2234</f>
        <v>2424</v>
      </c>
      <c r="G2234" t="s">
        <f>TEXT(D2234,"mmm dd")</f>
        <v>2041</v>
      </c>
      <c r="I2234" t="s">
        <v>2425</v>
      </c>
      <c r="J2234" t="s">
        <v>110</v>
      </c>
      <c r="K2234" t="s">
        <v>2426</v>
      </c>
    </row>
    <row r="2235" spans="1:23">
      <c r="A2235">
        <v>20</v>
      </c>
      <c r="B2235">
        <v>8</v>
      </c>
      <c r="C2235">
        <v>2015</v>
      </c>
      <c r="D2235" s="3" t="str">
        <f>B2235&amp;"/"&amp;A2235&amp;"/"&amp;C2235</f>
        <v>8/20/2015</v>
      </c>
      <c r="E2235">
        <v>0.95833333333333337</v>
      </c>
      <c r="F2235" t="s">
        <f>I2235&amp;" "&amp;J2235&amp;" "&amp;K2235&amp;" "&amp;L2235&amp;" "&amp;M2235&amp;" "&amp;N2235</f>
        <v>1825</v>
      </c>
      <c r="G2235" t="s">
        <f>TEXT(D2235,"mmm dd")</f>
        <v>812</v>
      </c>
      <c r="I2235" t="s">
        <v>1826</v>
      </c>
    </row>
    <row r="2236" spans="1:23">
      <c r="A2236">
        <v>25</v>
      </c>
      <c r="B2236">
        <v>8</v>
      </c>
      <c r="C2236">
        <v>2015</v>
      </c>
      <c r="D2236" s="3" t="str">
        <f>B2236&amp;"/"&amp;A2236&amp;"/"&amp;C2236</f>
        <v>8/25/2015</v>
      </c>
      <c r="E2236">
        <v>0.89583333333333337</v>
      </c>
      <c r="F2236" t="s">
        <f>I2236&amp;" "&amp;J2236&amp;" "&amp;K2236&amp;" "&amp;L2236&amp;" "&amp;M2236&amp;" "&amp;N2236</f>
        <v>2433</v>
      </c>
      <c r="G2236" t="s">
        <f>TEXT(D2236,"mmm dd")</f>
        <v>2046</v>
      </c>
      <c r="I2236" t="s">
        <v>2357</v>
      </c>
      <c r="J2236">
        <v>313</v>
      </c>
    </row>
    <row r="2237" spans="1:23">
      <c r="A2237">
        <v>26</v>
      </c>
      <c r="B2237">
        <v>8</v>
      </c>
      <c r="C2237">
        <v>2015</v>
      </c>
      <c r="D2237" s="3" t="s">
        <f>B2237&amp;"/"&amp;A2237&amp;"/"&amp;C2237</f>
        <v>2434</v>
      </c>
      <c r="E2237">
        <v>0.64583333333333337</v>
      </c>
      <c r="F2237" t="s">
        <f>I2237&amp;" "&amp;J2237&amp;" "&amp;K2237&amp;" "&amp;L2237&amp;" "&amp;M2237&amp;" "&amp;N2237</f>
        <v>2360</v>
      </c>
      <c r="G2237" t="s">
        <f>TEXT(D2237,"mmm dd")</f>
        <v>837</v>
      </c>
      <c r="I2237" t="s">
        <v>2357</v>
      </c>
      <c r="J2237">
        <v>101</v>
      </c>
    </row>
    <row r="2238" spans="1:23">
      <c r="A2238">
        <v>26</v>
      </c>
      <c r="B2238">
        <v>8</v>
      </c>
      <c r="C2238">
        <v>2015</v>
      </c>
      <c r="D2238" s="3" t="s">
        <f>B2238&amp;"/"&amp;A2238&amp;"/"&amp;C2238</f>
        <v>2434</v>
      </c>
      <c r="E2238" t="s">
        <v>42</v>
      </c>
      <c r="F2238" t="s">
        <f>I2238&amp;" "&amp;J2238&amp;" "&amp;K2238&amp;" "&amp;L2238&amp;" "&amp;M2238&amp;" "&amp;N2238</f>
        <v>2050</v>
      </c>
      <c r="G2238" t="s">
        <f>TEXT(D2238,"mmm dd")</f>
        <v>837</v>
      </c>
      <c r="I2238" t="s">
        <v>2000</v>
      </c>
      <c r="J2238" t="s">
        <v>319</v>
      </c>
    </row>
    <row r="2239" spans="1:23">
      <c r="A2239">
        <v>26</v>
      </c>
      <c r="B2239">
        <v>8</v>
      </c>
      <c r="C2239">
        <v>2015</v>
      </c>
      <c r="D2239" s="3" t="s">
        <f>B2239&amp;"/"&amp;A2239&amp;"/"&amp;C2239</f>
        <v>2434</v>
      </c>
      <c r="E2239">
        <v>0.52083333333333337</v>
      </c>
      <c r="F2239" t="s">
        <f>I2239&amp;" "&amp;J2239&amp;" "&amp;K2239&amp;" "&amp;L2239&amp;" "&amp;M2239&amp;" "&amp;N2239</f>
        <v>2435</v>
      </c>
      <c r="G2239" t="s">
        <f>TEXT(D2239,"mmm dd")</f>
        <v>837</v>
      </c>
      <c r="I2239" t="s">
        <v>2357</v>
      </c>
      <c r="J2239">
        <v>317</v>
      </c>
    </row>
    <row r="2240" spans="1:23">
      <c r="A2240">
        <v>27</v>
      </c>
      <c r="B2240">
        <v>8</v>
      </c>
      <c r="C2240">
        <v>2015</v>
      </c>
      <c r="D2240" s="3" t="s">
        <f>B2240&amp;"/"&amp;A2240&amp;"/"&amp;C2240</f>
        <v>2436</v>
      </c>
      <c r="E2240">
        <v>0.65625</v>
      </c>
      <c r="F2240" t="s">
        <f>I2240&amp;" "&amp;J2240&amp;" "&amp;K2240&amp;" "&amp;L2240&amp;" "&amp;M2240&amp;" "&amp;N2240</f>
        <v>2416</v>
      </c>
      <c r="G2240" t="s">
        <f>TEXT(D2240,"mmm dd")</f>
        <v>1374</v>
      </c>
      <c r="I2240" t="s">
        <v>2417</v>
      </c>
    </row>
    <row r="2241" spans="1:23">
      <c r="A2241">
        <v>27</v>
      </c>
      <c r="B2241">
        <v>8</v>
      </c>
      <c r="C2241">
        <v>2015</v>
      </c>
      <c r="D2241" s="3" t="s">
        <f>B2241&amp;"/"&amp;A2241&amp;"/"&amp;C2241</f>
        <v>2436</v>
      </c>
      <c r="E2241">
        <v>0.66666666666666663</v>
      </c>
      <c r="F2241" t="s">
        <f>I2241&amp;" "&amp;J2241&amp;" "&amp;K2241&amp;" "&amp;L2241&amp;" "&amp;M2241&amp;" "&amp;N2241</f>
        <v>2418</v>
      </c>
      <c r="G2241" t="s">
        <f>TEXT(D2241,"mmm dd")</f>
        <v>1374</v>
      </c>
      <c r="I2241" t="s">
        <v>2419</v>
      </c>
      <c r="J2241" t="s">
        <v>755</v>
      </c>
      <c r="K2241" t="s">
        <v>2420</v>
      </c>
      <c r="N2241" t="s">
        <v>2421</v>
      </c>
    </row>
    <row r="2242" spans="1:23">
      <c r="A2242">
        <v>28</v>
      </c>
      <c r="B2242">
        <v>8</v>
      </c>
      <c r="C2242">
        <v>2015</v>
      </c>
      <c r="D2242" s="3" t="str">
        <f>B2242&amp;"/"&amp;A2242&amp;"/"&amp;C2242</f>
        <v>8/28/2015</v>
      </c>
      <c r="E2242">
        <v>0.77083333333333337</v>
      </c>
      <c r="F2242" t="str">
        <f>I2242&amp;" "&amp;J2242&amp;" "&amp;K2242&amp;" "&amp;L2242&amp;" "&amp;M2242&amp;" "&amp;N2242</f>
        <v>Lyndsey Betz    </v>
      </c>
      <c r="G2242" t="s">
        <f>TEXT(D2242,"mmm dd")</f>
        <v>1375</v>
      </c>
      <c r="I2242" t="inlineStr">
        <is>
          <t>Lyndsey</t>
        </is>
      </c>
      <c r="J2242" t="inlineStr">
        <is>
          <t>Betz</t>
        </is>
      </c>
    </row>
    <row r="2243" spans="1:23">
      <c r="A2243">
        <v>29</v>
      </c>
      <c r="B2243">
        <v>8</v>
      </c>
      <c r="C2243">
        <v>2015</v>
      </c>
      <c r="D2243" s="3" t="s">
        <f>B2243&amp;"/"&amp;A2243&amp;"/"&amp;C2243</f>
        <v>2437</v>
      </c>
      <c r="E2243" t="s">
        <v>42</v>
      </c>
      <c r="F2243" t="s">
        <f>I2243&amp;" "&amp;J2243&amp;" "&amp;K2243&amp;" "&amp;L2243&amp;" "&amp;M2243&amp;" "&amp;N2243</f>
        <v>2438</v>
      </c>
      <c r="G2243" t="s">
        <f>TEXT(D2243,"mmm dd")</f>
        <v>841</v>
      </c>
      <c r="I2243" t="inlineStr">
        <is>
          <t>Gini's</t>
        </is>
      </c>
      <c r="J2243" t="s">
        <v>319</v>
      </c>
    </row>
    <row r="2244" spans="1:23">
      <c r="A2244">
        <v>31</v>
      </c>
      <c r="B2244">
        <v>8</v>
      </c>
      <c r="C2244">
        <v>2015</v>
      </c>
      <c r="D2244" s="3" t="s">
        <f>B2244&amp;"/"&amp;A2244&amp;"/"&amp;C2244</f>
        <v>2439</v>
      </c>
      <c r="E2244" t="s">
        <v>42</v>
      </c>
      <c r="F2244" t="s">
        <f>I2244&amp;" "&amp;J2244&amp;" "&amp;K2244&amp;" "&amp;L2244&amp;" "&amp;M2244&amp;" "&amp;N2244</f>
        <v>2440</v>
      </c>
      <c r="G2244" t="s">
        <f>TEXT(D2244,"mmm dd")</f>
        <v>2061</v>
      </c>
      <c r="I2244" t="s">
        <v>2017</v>
      </c>
      <c r="J2244" t="s">
        <v>73</v>
      </c>
      <c r="K2244" t="s">
        <v>1750</v>
      </c>
      <c r="L2244" t="inlineStr">
        <is>
          <t>Ahle's</t>
        </is>
      </c>
      <c r="M2244" t="s">
        <v>1962</v>
      </c>
    </row>
    <row r="2245" spans="1:23">
      <c r="A2245">
        <v>1</v>
      </c>
      <c r="B2245">
        <v>9</v>
      </c>
      <c r="C2245">
        <v>2015</v>
      </c>
      <c r="D2245" s="3" t="str">
        <f>B2245&amp;"/"&amp;A2245&amp;"/"&amp;C2245</f>
        <v>9/1/2015</v>
      </c>
      <c r="E2245">
        <v>0.85416666666666663</v>
      </c>
      <c r="F2245" t="s">
        <f>I2245&amp;" "&amp;J2245&amp;" "&amp;K2245&amp;" "&amp;L2245&amp;" "&amp;M2245&amp;" "&amp;N2245</f>
        <v>2418</v>
      </c>
      <c r="G2245" t="s">
        <f>TEXT(D2245,"mmm dd")</f>
        <v>2065</v>
      </c>
      <c r="I2245" t="s">
        <v>2419</v>
      </c>
      <c r="J2245" t="s">
        <v>755</v>
      </c>
      <c r="K2245" t="s">
        <v>2420</v>
      </c>
      <c r="N2245" t="s">
        <v>2421</v>
      </c>
    </row>
    <row r="2246" spans="1:23">
      <c r="A2246">
        <v>6</v>
      </c>
      <c r="B2246">
        <v>9</v>
      </c>
      <c r="C2246">
        <v>2015</v>
      </c>
      <c r="D2246" s="3" t="str">
        <f>B2246&amp;"/"&amp;A2246&amp;"/"&amp;C2246</f>
        <v>9/6/2015</v>
      </c>
      <c r="E2246">
        <v>0.625</v>
      </c>
      <c r="F2246" t="str">
        <f>I2246&amp;" "&amp;J2246&amp;" "&amp;K2246&amp;" "&amp;L2246&amp;" "&amp;M2246&amp;" "&amp;N2246</f>
        <v>Preach 2 services   </v>
      </c>
      <c r="G2246" t="s">
        <f>TEXT(D2246,"mmm dd")</f>
        <v>860</v>
      </c>
      <c r="I2246" t="s">
        <v>2441</v>
      </c>
      <c r="J2246">
        <v>2</v>
      </c>
      <c r="K2246" t="inlineStr">
        <is>
          <t>services</t>
        </is>
      </c>
    </row>
    <row r="2247" spans="1:23">
      <c r="A2247">
        <v>7</v>
      </c>
      <c r="B2247">
        <v>9</v>
      </c>
      <c r="C2247">
        <v>2015</v>
      </c>
      <c r="D2247" s="3" t="str">
        <f>B2247&amp;"/"&amp;A2247&amp;"/"&amp;C2247</f>
        <v>9/7/2015</v>
      </c>
      <c r="E2247">
        <v>1</v>
      </c>
      <c r="F2247" t="str">
        <f>I2247&amp;" "&amp;J2247&amp;" "&amp;K2247&amp;" "&amp;L2247&amp;" "&amp;M2247&amp;" "&amp;N2247</f>
        <v>Ken Burns' Civil,War   </v>
      </c>
      <c r="G2247" t="s">
        <f>TEXT(D2247,"mmm dd")</f>
        <v>1381</v>
      </c>
      <c r="I2247" t="s">
        <v>2442</v>
      </c>
      <c r="J2247" t="s">
        <v>2443</v>
      </c>
      <c r="K2247" t="inlineStr">
        <is>
          <t>Civil,War</t>
        </is>
      </c>
    </row>
    <row r="2248" spans="1:23">
      <c r="A2248">
        <v>8</v>
      </c>
      <c r="B2248">
        <v>9</v>
      </c>
      <c r="C2248">
        <v>2015</v>
      </c>
      <c r="D2248" s="3" t="str">
        <f>B2248&amp;"/"&amp;A2248&amp;"/"&amp;C2248</f>
        <v>9/8/2015</v>
      </c>
      <c r="E2248">
        <v>0.5</v>
      </c>
      <c r="F2248" t="s">
        <f>I2248&amp;" "&amp;J2248&amp;" "&amp;K2248&amp;" "&amp;L2248&amp;" "&amp;M2248&amp;" "&amp;N2248</f>
        <v>2424</v>
      </c>
      <c r="G2248" t="s">
        <f>TEXT(D2248,"mmm dd")</f>
        <v>2077</v>
      </c>
      <c r="I2248" t="s">
        <v>2425</v>
      </c>
      <c r="J2248" t="s">
        <v>110</v>
      </c>
      <c r="K2248" t="s">
        <v>2426</v>
      </c>
    </row>
    <row r="2249" spans="1:23">
      <c r="A2249">
        <v>12</v>
      </c>
      <c r="B2249">
        <v>9</v>
      </c>
      <c r="C2249">
        <v>2015</v>
      </c>
      <c r="D2249" s="3" t="str">
        <f>B2249&amp;"/"&amp;A2249&amp;"/"&amp;C2249</f>
        <v>9/12/2015</v>
      </c>
      <c r="E2249">
        <v>1.1041666666666667</v>
      </c>
      <c r="F2249" t="str">
        <f>I2249&amp;" "&amp;J2249&amp;" "&amp;K2249&amp;" "&amp;L2249&amp;" "&amp;M2249&amp;" "&amp;N2249</f>
        <v>Winthrop University Rally on 9 12</v>
      </c>
      <c r="G2249" t="s">
        <f>TEXT(D2249,"mmm dd")</f>
        <v>1386</v>
      </c>
      <c r="I2249" t="s">
        <v>2444</v>
      </c>
      <c r="J2249" t="s">
        <v>2445</v>
      </c>
      <c r="K2249" t="inlineStr">
        <is>
          <t>Rally</t>
        </is>
      </c>
      <c r="L2249" t="s">
        <v>1449</v>
      </c>
      <c r="M2249">
        <v>9</v>
      </c>
      <c r="N2249">
        <v>12</v>
      </c>
    </row>
    <row r="2250" spans="1:23">
      <c r="A2250">
        <v>22</v>
      </c>
      <c r="B2250">
        <v>9</v>
      </c>
      <c r="C2250">
        <v>2015</v>
      </c>
      <c r="D2250" s="3" t="str">
        <f>B2250&amp;"/"&amp;A2250&amp;"/"&amp;C2250</f>
        <v>9/22/2015</v>
      </c>
      <c r="E2250">
        <v>0.5</v>
      </c>
      <c r="F2250" t="s">
        <f>I2250&amp;" "&amp;J2250&amp;" "&amp;K2250&amp;" "&amp;L2250&amp;" "&amp;M2250&amp;" "&amp;N2250</f>
        <v>2424</v>
      </c>
      <c r="G2250" t="s">
        <f>TEXT(D2250,"mmm dd")</f>
        <v>2088</v>
      </c>
      <c r="I2250" t="s">
        <v>2425</v>
      </c>
      <c r="J2250" t="s">
        <v>110</v>
      </c>
      <c r="K2250" t="s">
        <v>2426</v>
      </c>
    </row>
    <row r="2251" spans="1:23">
      <c r="A2251">
        <v>28</v>
      </c>
      <c r="B2251">
        <v>9</v>
      </c>
      <c r="C2251">
        <v>2015</v>
      </c>
      <c r="D2251" s="3" t="s">
        <f>B2251&amp;"/"&amp;A2251&amp;"/"&amp;C2251</f>
        <v>2446</v>
      </c>
      <c r="E2251">
        <v>0.875</v>
      </c>
      <c r="F2251" t="str">
        <f>I2251&amp;" "&amp;J2251&amp;" "&amp;K2251&amp;" "&amp;L2251&amp;" "&amp;M2251&amp;" "&amp;N2251</f>
        <v>Bria appointment    </v>
      </c>
      <c r="G2251" t="s">
        <f>TEXT(D2251,"mmm dd")</f>
        <v>912</v>
      </c>
      <c r="I2251" t="inlineStr">
        <is>
          <t>Bria</t>
        </is>
      </c>
      <c r="J2251" t="s">
        <v>648</v>
      </c>
    </row>
    <row r="2252" spans="1:23">
      <c r="A2252">
        <v>28</v>
      </c>
      <c r="B2252">
        <v>9</v>
      </c>
      <c r="C2252">
        <v>2015</v>
      </c>
      <c r="D2252" s="3" t="s">
        <f>B2252&amp;"/"&amp;A2252&amp;"/"&amp;C2252</f>
        <v>2446</v>
      </c>
      <c r="E2252">
        <v>0.125</v>
      </c>
      <c r="F2252" t="s">
        <f>I2252&amp;" "&amp;J2252&amp;" "&amp;K2252&amp;" "&amp;L2252&amp;" "&amp;M2252&amp;" "&amp;N2252</f>
        <v>2228</v>
      </c>
      <c r="G2252" t="s">
        <f>TEXT(D2252,"mmm dd")</f>
        <v>912</v>
      </c>
      <c r="I2252" t="s">
        <v>1028</v>
      </c>
      <c r="J2252" t="s">
        <v>1719</v>
      </c>
      <c r="O2252" t="inlineStr">
        <is>
          <t>28th</t>
        </is>
      </c>
    </row>
    <row r="2253" spans="1:23">
      <c r="A2253">
        <v>29</v>
      </c>
      <c r="B2253">
        <v>9</v>
      </c>
      <c r="C2253">
        <v>2015</v>
      </c>
      <c r="D2253" s="3" t="s">
        <f>B2253&amp;"/"&amp;A2253&amp;"/"&amp;C2253</f>
        <v>2447</v>
      </c>
      <c r="E2253">
        <v>0.91666666666666663</v>
      </c>
      <c r="F2253" t="str">
        <f>I2253&amp;" "&amp;J2253&amp;" "&amp;K2253&amp;" "&amp;L2253&amp;" "&amp;M2253&amp;" "&amp;N2253</f>
        <v>Test center    </v>
      </c>
      <c r="G2253" t="s">
        <f>TEXT(D2253,"mmm dd")</f>
        <v>1771</v>
      </c>
      <c r="I2253" t="inlineStr">
        <is>
          <t>Test</t>
        </is>
      </c>
      <c r="J2253" t="s">
        <v>2239</v>
      </c>
    </row>
    <row r="2254" spans="1:23">
      <c r="A2254">
        <v>29</v>
      </c>
      <c r="B2254">
        <v>9</v>
      </c>
      <c r="C2254">
        <v>2015</v>
      </c>
      <c r="D2254" s="3" t="s">
        <f>B2254&amp;"/"&amp;A2254&amp;"/"&amp;C2254</f>
        <v>2447</v>
      </c>
      <c r="E2254">
        <v>0.83333333333333337</v>
      </c>
      <c r="F2254" t="s">
        <f>I2254&amp;" "&amp;J2254&amp;" "&amp;K2254&amp;" "&amp;L2254&amp;" "&amp;M2254&amp;" "&amp;N2254</f>
        <v>2432</v>
      </c>
      <c r="G2254" t="s">
        <f>TEXT(D2254,"mmm dd")</f>
        <v>1771</v>
      </c>
      <c r="I2254" t="s">
        <v>1606</v>
      </c>
      <c r="J2254" t="s">
        <v>493</v>
      </c>
      <c r="K2254" t="s">
        <v>2362</v>
      </c>
    </row>
    <row r="2255" spans="1:23">
      <c r="A2255">
        <v>29</v>
      </c>
      <c r="B2255">
        <v>9</v>
      </c>
      <c r="C2255">
        <v>2015</v>
      </c>
      <c r="D2255" s="3" t="s">
        <f>B2255&amp;"/"&amp;A2255&amp;"/"&amp;C2255</f>
        <v>2447</v>
      </c>
      <c r="E2255">
        <v>0.5</v>
      </c>
      <c r="F2255" t="s">
        <f>I2255&amp;" "&amp;J2255&amp;" "&amp;K2255&amp;" "&amp;L2255&amp;" "&amp;M2255&amp;" "&amp;N2255</f>
        <v>2424</v>
      </c>
      <c r="G2255" t="s">
        <f>TEXT(D2255,"mmm dd")</f>
        <v>1771</v>
      </c>
      <c r="I2255" t="s">
        <v>2425</v>
      </c>
      <c r="J2255" t="s">
        <v>110</v>
      </c>
      <c r="K2255" t="s">
        <v>2426</v>
      </c>
    </row>
    <row r="2256" spans="1:23">
      <c r="A2256">
        <v>6</v>
      </c>
      <c r="B2256">
        <v>10</v>
      </c>
      <c r="C2256">
        <v>2015</v>
      </c>
      <c r="D2256" s="3" t="str">
        <f>B2256&amp;"/"&amp;A2256&amp;"/"&amp;C2256</f>
        <v>10/6/2015</v>
      </c>
      <c r="E2256" t="s">
        <v>42</v>
      </c>
      <c r="F2256" t="str">
        <f>I2256&amp;" "&amp;J2256&amp;" "&amp;K2256&amp;" "&amp;L2256&amp;" "&amp;M2256&amp;" "&amp;N2256</f>
        <v>Sally surgery    </v>
      </c>
      <c r="G2256" t="s">
        <f>TEXT(D2256,"mmm dd")</f>
        <v>1615</v>
      </c>
      <c r="I2256" t="inlineStr">
        <is>
          <t>Sally</t>
        </is>
      </c>
      <c r="J2256" t="s">
        <v>1448</v>
      </c>
    </row>
    <row r="2257" spans="1:23">
      <c r="A2257">
        <v>7</v>
      </c>
      <c r="B2257">
        <v>10</v>
      </c>
      <c r="C2257">
        <v>2015</v>
      </c>
      <c r="D2257" s="3" t="str">
        <f>B2257&amp;"/"&amp;A2257&amp;"/"&amp;C2257</f>
        <v>10/7/2015</v>
      </c>
      <c r="E2257">
        <v>0.75</v>
      </c>
      <c r="F2257" t="str">
        <f>I2257&amp;" "&amp;J2257&amp;" "&amp;K2257&amp;" "&amp;L2257&amp;" "&amp;M2257&amp;" "&amp;N2257</f>
        <v>Lunch with the bishop  </v>
      </c>
      <c r="G2257" t="s">
        <f>TEXT(D2257,"mmm dd")</f>
        <v>1399</v>
      </c>
      <c r="I2257" t="s">
        <v>813</v>
      </c>
      <c r="J2257" t="s">
        <v>755</v>
      </c>
      <c r="K2257" t="s">
        <v>139</v>
      </c>
      <c r="L2257" t="s">
        <v>592</v>
      </c>
    </row>
    <row r="2258" spans="1:23">
      <c r="A2258">
        <v>8</v>
      </c>
      <c r="B2258">
        <v>10</v>
      </c>
      <c r="C2258">
        <v>2015</v>
      </c>
      <c r="D2258" s="3" t="str">
        <f>B2258&amp;"/"&amp;A2258&amp;"/"&amp;C2258</f>
        <v>10/8/2015</v>
      </c>
      <c r="E2258">
        <v>0.6875</v>
      </c>
      <c r="F2258" t="str">
        <f>I2258&amp;" "&amp;J2258&amp;" "&amp;K2258&amp;" "&amp;L2258&amp;" "&amp;M2258&amp;" "&amp;N2258</f>
        <v>Jacob Parker exam   </v>
      </c>
      <c r="G2258" t="s">
        <f>TEXT(D2258,"mmm dd")</f>
        <v>1617</v>
      </c>
      <c r="I2258" t="inlineStr">
        <is>
          <t>Jacob</t>
        </is>
      </c>
      <c r="J2258" t="s">
        <v>2448</v>
      </c>
      <c r="K2258" t="s">
        <v>2290</v>
      </c>
    </row>
    <row r="2259" spans="1:23">
      <c r="A2259">
        <v>9</v>
      </c>
      <c r="B2259">
        <v>10</v>
      </c>
      <c r="C2259">
        <v>2015</v>
      </c>
      <c r="D2259" s="3" t="s">
        <f>B2259&amp;"/"&amp;A2259&amp;"/"&amp;C2259</f>
        <v>2449</v>
      </c>
      <c r="E2259">
        <v>0.70833333333333337</v>
      </c>
      <c r="F2259" t="str">
        <f>I2259&amp;" "&amp;J2259&amp;" "&amp;K2259&amp;" "&amp;L2259&amp;" "&amp;M2259&amp;" "&amp;N2259</f>
        <v>Josephine exam    </v>
      </c>
      <c r="G2259" t="s">
        <f>TEXT(D2259,"mmm dd")</f>
        <v>924</v>
      </c>
      <c r="I2259" t="inlineStr">
        <is>
          <t>Josephine</t>
        </is>
      </c>
      <c r="J2259" t="s">
        <v>2290</v>
      </c>
    </row>
    <row r="2260" spans="1:23">
      <c r="A2260">
        <v>9</v>
      </c>
      <c r="B2260">
        <v>10</v>
      </c>
      <c r="C2260">
        <v>2015</v>
      </c>
      <c r="D2260" s="3" t="s">
        <f>B2260&amp;"/"&amp;A2260&amp;"/"&amp;C2260</f>
        <v>2449</v>
      </c>
      <c r="E2260">
        <v>0.79166666666666663</v>
      </c>
      <c r="F2260" t="s">
        <f>I2260&amp;" "&amp;J2260&amp;" "&amp;K2260&amp;" "&amp;L2260&amp;" "&amp;M2260&amp;" "&amp;N2260</f>
        <v>2416</v>
      </c>
      <c r="G2260" t="s">
        <f>TEXT(D2260,"mmm dd")</f>
        <v>924</v>
      </c>
      <c r="I2260" t="s">
        <v>2417</v>
      </c>
    </row>
    <row r="2261" spans="1:23">
      <c r="A2261">
        <v>9</v>
      </c>
      <c r="B2261">
        <v>10</v>
      </c>
      <c r="C2261">
        <v>2015</v>
      </c>
      <c r="D2261" s="3" t="s">
        <f>B2261&amp;"/"&amp;A2261&amp;"/"&amp;C2261</f>
        <v>2449</v>
      </c>
      <c r="E2261">
        <v>0.70833333333333337</v>
      </c>
      <c r="F2261" t="str">
        <f>I2261&amp;" "&amp;J2261&amp;" "&amp;K2261&amp;" "&amp;L2261&amp;" "&amp;M2261&amp;" "&amp;N2261</f>
        <v>Desiree to see   </v>
      </c>
      <c r="G2261" t="s">
        <f>TEXT(D2261,"mmm dd")</f>
        <v>924</v>
      </c>
      <c r="I2261" t="inlineStr">
        <is>
          <t>Desiree</t>
        </is>
      </c>
      <c r="J2261" t="s">
        <v>449</v>
      </c>
      <c r="K2261" t="s">
        <v>1954</v>
      </c>
    </row>
    <row r="2262" spans="1:23">
      <c r="A2262">
        <v>9</v>
      </c>
      <c r="B2262">
        <v>10</v>
      </c>
      <c r="C2262">
        <v>2015</v>
      </c>
      <c r="D2262" s="3" t="s">
        <f>B2262&amp;"/"&amp;A2262&amp;"/"&amp;C2262</f>
        <v>2449</v>
      </c>
      <c r="E2262">
        <v>0.79166666666666663</v>
      </c>
      <c r="F2262" t="s">
        <f>I2262&amp;" "&amp;J2262&amp;" "&amp;K2262&amp;" "&amp;L2262&amp;" "&amp;M2262&amp;" "&amp;N2262</f>
        <v>2418</v>
      </c>
      <c r="G2262" t="s">
        <f>TEXT(D2262,"mmm dd")</f>
        <v>924</v>
      </c>
      <c r="I2262" t="s">
        <v>2419</v>
      </c>
      <c r="J2262" t="s">
        <v>755</v>
      </c>
      <c r="K2262" t="s">
        <v>2420</v>
      </c>
      <c r="N2262" t="s">
        <v>2421</v>
      </c>
    </row>
    <row r="2263" spans="1:23">
      <c r="A2263">
        <v>13</v>
      </c>
      <c r="B2263">
        <v>10</v>
      </c>
      <c r="C2263">
        <v>2015</v>
      </c>
      <c r="D2263" s="3" t="str">
        <f>B2263&amp;"/"&amp;A2263&amp;"/"&amp;C2263</f>
        <v>10/13/2015</v>
      </c>
      <c r="E2263">
        <v>0.875</v>
      </c>
      <c r="F2263" t="str">
        <f>I2263&amp;" "&amp;J2263&amp;" "&amp;K2263&amp;" "&amp;L2263&amp;" "&amp;M2263&amp;" "&amp;N2263</f>
        <v>Stephen Sutton exam   </v>
      </c>
      <c r="G2263" t="s">
        <f>TEXT(D2263,"mmm dd")</f>
        <v>1775</v>
      </c>
      <c r="I2263" t="inlineStr">
        <is>
          <t>Stephen</t>
        </is>
      </c>
      <c r="J2263" t="inlineStr">
        <is>
          <t>Sutton</t>
        </is>
      </c>
      <c r="K2263" t="s">
        <v>2290</v>
      </c>
    </row>
    <row r="2264" spans="1:23">
      <c r="A2264">
        <v>15</v>
      </c>
      <c r="B2264">
        <v>10</v>
      </c>
      <c r="C2264">
        <v>2015</v>
      </c>
      <c r="D2264" s="3" t="str">
        <f>B2264&amp;"/"&amp;A2264&amp;"/"&amp;C2264</f>
        <v>10/15/2015</v>
      </c>
      <c r="E2264">
        <v>0.8125</v>
      </c>
      <c r="F2264" t="str">
        <f>I2264&amp;" "&amp;J2264&amp;" "&amp;K2264&amp;" "&amp;L2264&amp;" "&amp;M2264&amp;" "&amp;N2264</f>
        <v>Phil Relg Dept meeting  </v>
      </c>
      <c r="G2264" t="s">
        <f>TEXT(D2264,"mmm dd")</f>
        <v>942</v>
      </c>
      <c r="I2264" t="s">
        <v>2335</v>
      </c>
      <c r="J2264" t="s">
        <v>2450</v>
      </c>
      <c r="K2264" t="s">
        <v>867</v>
      </c>
      <c r="L2264" t="s">
        <v>842</v>
      </c>
    </row>
    <row r="2265" spans="1:23">
      <c r="A2265">
        <v>16</v>
      </c>
      <c r="B2265">
        <v>10</v>
      </c>
      <c r="C2265">
        <v>2015</v>
      </c>
      <c r="D2265" s="3" t="s">
        <f>B2265&amp;"/"&amp;A2265&amp;"/"&amp;C2265</f>
        <v>2451</v>
      </c>
      <c r="E2265">
        <v>0.875</v>
      </c>
      <c r="F2265" t="s">
        <f>I2265&amp;" "&amp;J2265&amp;" "&amp;K2265&amp;" "&amp;L2265&amp;" "&amp;M2265&amp;" "&amp;N2265</f>
        <v>2452</v>
      </c>
      <c r="G2265" t="s">
        <f>TEXT(D2265,"mmm dd")</f>
        <v>1404</v>
      </c>
      <c r="I2265" t="s">
        <v>2453</v>
      </c>
    </row>
    <row r="2266" spans="1:23">
      <c r="A2266">
        <v>16</v>
      </c>
      <c r="B2266">
        <v>10</v>
      </c>
      <c r="C2266">
        <v>2015</v>
      </c>
      <c r="D2266" s="3" t="s">
        <f>B2266&amp;"/"&amp;A2266&amp;"/"&amp;C2266</f>
        <v>2451</v>
      </c>
      <c r="E2266">
        <v>0.6875</v>
      </c>
      <c r="F2266" t="s">
        <f>I2266&amp;" "&amp;J2266&amp;" "&amp;K2266&amp;" "&amp;L2266&amp;" "&amp;M2266&amp;" "&amp;N2266</f>
        <v>2416</v>
      </c>
      <c r="G2266" t="s">
        <f>TEXT(D2266,"mmm dd")</f>
        <v>1404</v>
      </c>
      <c r="I2266" t="s">
        <v>2417</v>
      </c>
    </row>
    <row r="2267" spans="1:23">
      <c r="A2267">
        <v>17</v>
      </c>
      <c r="B2267">
        <v>10</v>
      </c>
      <c r="C2267">
        <v>2015</v>
      </c>
      <c r="D2267" s="3" t="s">
        <f>B2267&amp;"/"&amp;A2267&amp;"/"&amp;C2267</f>
        <v>2454</v>
      </c>
      <c r="E2267">
        <v>0.71875</v>
      </c>
      <c r="F2267" t="str">
        <f>I2267&amp;" "&amp;J2267&amp;" "&amp;K2267&amp;" "&amp;L2267&amp;" "&amp;M2267&amp;" "&amp;N2267</f>
        <v>Fly to Las Cruces  </v>
      </c>
      <c r="G2267" t="s">
        <f>TEXT(D2267,"mmm dd")</f>
        <v>949</v>
      </c>
      <c r="I2267" t="s">
        <v>519</v>
      </c>
      <c r="J2267" t="s">
        <v>449</v>
      </c>
      <c r="K2267" t="s">
        <v>2225</v>
      </c>
      <c r="L2267" t="s">
        <v>2226</v>
      </c>
    </row>
    <row r="2268" spans="1:23">
      <c r="A2268">
        <v>17</v>
      </c>
      <c r="B2268">
        <v>10</v>
      </c>
      <c r="C2268">
        <v>2015</v>
      </c>
      <c r="D2268" s="3" t="s">
        <f>B2268&amp;"/"&amp;A2268&amp;"/"&amp;C2268</f>
        <v>2454</v>
      </c>
      <c r="E2268">
        <v>1.0208333333333333</v>
      </c>
      <c r="F2268" t="str">
        <f>I2268&amp;" "&amp;J2268&amp;" "&amp;K2268&amp;" "&amp;L2268&amp;" "&amp;M2268&amp;" "&amp;N2268</f>
        <v>arr El Paso (CT)  </v>
      </c>
      <c r="G2268" t="s">
        <f>TEXT(D2268,"mmm dd")</f>
        <v>949</v>
      </c>
      <c r="I2268" t="s">
        <v>2286</v>
      </c>
      <c r="J2268" t="s">
        <v>2455</v>
      </c>
      <c r="K2268" t="s">
        <v>2456</v>
      </c>
      <c r="L2268" t="s">
        <v>2457</v>
      </c>
    </row>
    <row r="2269" spans="1:23">
      <c r="A2269">
        <v>17</v>
      </c>
      <c r="B2269">
        <v>10</v>
      </c>
      <c r="C2269">
        <v>2015</v>
      </c>
      <c r="D2269" s="3" t="s">
        <f>B2269&amp;"/"&amp;A2269&amp;"/"&amp;C2269</f>
        <v>2454</v>
      </c>
      <c r="E2269">
        <v>0.58333333333333337</v>
      </c>
      <c r="F2269" t="str">
        <f>I2269&amp;" "&amp;J2269&amp;" "&amp;K2269&amp;" "&amp;L2269&amp;" "&amp;M2269&amp;" "&amp;N2269</f>
        <v>Leave for airport   </v>
      </c>
      <c r="G2269" t="s">
        <f>TEXT(D2269,"mmm dd")</f>
        <v>949</v>
      </c>
      <c r="I2269" t="s">
        <v>2229</v>
      </c>
      <c r="J2269" t="s">
        <v>439</v>
      </c>
      <c r="K2269" t="s">
        <v>1477</v>
      </c>
    </row>
    <row r="2270" spans="1:23">
      <c r="A2270">
        <v>20</v>
      </c>
      <c r="B2270">
        <v>10</v>
      </c>
      <c r="C2270">
        <v>2015</v>
      </c>
      <c r="D2270" s="3" t="s">
        <f>B2270&amp;"/"&amp;A2270&amp;"/"&amp;C2270</f>
        <v>2458</v>
      </c>
      <c r="E2270">
        <v>1.0798611111111112</v>
      </c>
      <c r="F2270" t="str">
        <f>I2270&amp;" "&amp;J2270&amp;" "&amp;K2270&amp;" "&amp;L2270&amp;" "&amp;M2270&amp;" "&amp;N2270</f>
        <v>arr Charlotte (ET)   </v>
      </c>
      <c r="G2270" t="s">
        <f>TEXT(D2270,"mmm dd")</f>
        <v>1408</v>
      </c>
      <c r="I2270" t="s">
        <v>2286</v>
      </c>
      <c r="J2270" t="s">
        <v>2372</v>
      </c>
      <c r="K2270" t="inlineStr">
        <is>
          <t>(ET)</t>
        </is>
      </c>
    </row>
    <row r="2271" spans="1:23">
      <c r="A2271">
        <v>20</v>
      </c>
      <c r="B2271">
        <v>10</v>
      </c>
      <c r="C2271">
        <v>2015</v>
      </c>
      <c r="D2271" s="3" t="s">
        <f>B2271&amp;"/"&amp;A2271&amp;"/"&amp;C2271</f>
        <v>2458</v>
      </c>
      <c r="E2271">
        <v>0.86458333333333337</v>
      </c>
      <c r="F2271" t="str">
        <f>I2271&amp;" "&amp;J2271&amp;" "&amp;K2271&amp;" "&amp;L2271&amp;" "&amp;M2271&amp;" "&amp;N2271</f>
        <v>leave El Paso (CT)  </v>
      </c>
      <c r="G2271" t="s">
        <f>TEXT(D2271,"mmm dd")</f>
        <v>1408</v>
      </c>
      <c r="I2271" t="s">
        <v>2459</v>
      </c>
      <c r="J2271" t="s">
        <v>2455</v>
      </c>
      <c r="K2271" t="s">
        <v>2456</v>
      </c>
      <c r="L2271" t="s">
        <v>2457</v>
      </c>
    </row>
    <row r="2272" spans="1:23">
      <c r="A2272">
        <v>23</v>
      </c>
      <c r="B2272">
        <v>10</v>
      </c>
      <c r="C2272">
        <v>2015</v>
      </c>
      <c r="D2272" s="3" t="str">
        <f>B2272&amp;"/"&amp;A2272&amp;"/"&amp;C2272</f>
        <v>10/23/2015</v>
      </c>
      <c r="E2272">
        <v>0.875</v>
      </c>
      <c r="F2272" t="s">
        <f>I2272&amp;" "&amp;J2272&amp;" "&amp;K2272&amp;" "&amp;L2272&amp;" "&amp;M2272&amp;" "&amp;N2272</f>
        <v>2452</v>
      </c>
      <c r="G2272" t="s">
        <f>TEXT(D2272,"mmm dd")</f>
        <v>953</v>
      </c>
      <c r="I2272" t="s">
        <v>2453</v>
      </c>
    </row>
    <row r="2273" spans="1:23">
      <c r="A2273">
        <v>26</v>
      </c>
      <c r="B2273">
        <v>10</v>
      </c>
      <c r="C2273">
        <v>2015</v>
      </c>
      <c r="D2273" s="3" t="str">
        <f>B2273&amp;"/"&amp;A2273&amp;"/"&amp;C2273</f>
        <v>10/26/2015</v>
      </c>
      <c r="E2273">
        <v>1.0833333333333333</v>
      </c>
      <c r="F2273" t="str">
        <f>I2273&amp;" "&amp;J2273&amp;" "&amp;K2273&amp;" "&amp;L2273&amp;" "&amp;M2273&amp;" "&amp;N2273</f>
        <v>“What’s in Your Water”  </v>
      </c>
      <c r="G2273" t="s">
        <f>TEXT(D2273,"mmm dd")</f>
        <v>1633</v>
      </c>
      <c r="I2273" t="inlineStr">
        <is>
          <t>“What’s</t>
        </is>
      </c>
      <c r="J2273" t="s">
        <v>372</v>
      </c>
      <c r="K2273" t="inlineStr">
        <is>
          <t>Your</t>
        </is>
      </c>
      <c r="L2273" t="inlineStr">
        <is>
          <t>Water”</t>
        </is>
      </c>
    </row>
    <row r="2274" spans="1:23">
      <c r="A2274">
        <v>27</v>
      </c>
      <c r="B2274">
        <v>10</v>
      </c>
      <c r="C2274">
        <v>2015</v>
      </c>
      <c r="D2274" s="3" t="str">
        <f>B2274&amp;"/"&amp;A2274&amp;"/"&amp;C2274</f>
        <v>10/27/2015</v>
      </c>
      <c r="E2274">
        <v>0.66666666666666663</v>
      </c>
      <c r="F2274" t="str">
        <f>I2274&amp;" "&amp;J2274&amp;" "&amp;K2274&amp;" "&amp;L2274&amp;" "&amp;M2274&amp;" "&amp;N2274</f>
        <v>Dr Skin    </v>
      </c>
      <c r="G2274" t="s">
        <f>TEXT(D2274,"mmm dd")</f>
        <v>1781</v>
      </c>
      <c r="I2274" t="s">
        <v>1791</v>
      </c>
      <c r="J2274" t="inlineStr">
        <is>
          <t>Skin</t>
        </is>
      </c>
    </row>
    <row r="2275" spans="1:23">
      <c r="A2275">
        <v>28</v>
      </c>
      <c r="B2275">
        <v>10</v>
      </c>
      <c r="C2275">
        <v>2015</v>
      </c>
      <c r="D2275" s="3" t="str">
        <f>B2275&amp;"/"&amp;A2275&amp;"/"&amp;C2275</f>
        <v>10/28/2015</v>
      </c>
      <c r="E2275">
        <v>0.91666666666666663</v>
      </c>
      <c r="F2275" t="str">
        <f>I2275&amp;" "&amp;J2275&amp;" "&amp;K2275&amp;" "&amp;L2275&amp;" "&amp;M2275&amp;" "&amp;N2275</f>
        <v>Rules for Writers get cf. email</v>
      </c>
      <c r="G2275" t="s">
        <f>TEXT(D2275,"mmm dd")</f>
        <v>959</v>
      </c>
      <c r="I2275" t="inlineStr">
        <is>
          <t>Rules</t>
        </is>
      </c>
      <c r="J2275" t="s">
        <v>439</v>
      </c>
      <c r="K2275" t="inlineStr">
        <is>
          <t>Writers</t>
        </is>
      </c>
      <c r="L2275" t="s">
        <v>2460</v>
      </c>
      <c r="M2275" t="inlineStr">
        <is>
          <t>cf.</t>
        </is>
      </c>
      <c r="N2275" t="s">
        <v>2247</v>
      </c>
    </row>
    <row r="2276" spans="1:23">
      <c r="A2276">
        <v>30</v>
      </c>
      <c r="B2276">
        <v>10</v>
      </c>
      <c r="C2276">
        <v>2015</v>
      </c>
      <c r="D2276" s="3" t="s">
        <f>B2276&amp;"/"&amp;A2276&amp;"/"&amp;C2276</f>
        <v>2461</v>
      </c>
      <c r="E2276">
        <v>0.875</v>
      </c>
      <c r="F2276" t="s">
        <f>I2276&amp;" "&amp;J2276&amp;" "&amp;K2276&amp;" "&amp;L2276&amp;" "&amp;M2276&amp;" "&amp;N2276</f>
        <v>2452</v>
      </c>
      <c r="G2276" t="s">
        <f>TEXT(D2276,"mmm dd")</f>
        <v>967</v>
      </c>
      <c r="I2276" t="s">
        <v>2453</v>
      </c>
    </row>
    <row r="2277" spans="1:23">
      <c r="A2277">
        <v>30</v>
      </c>
      <c r="B2277">
        <v>10</v>
      </c>
      <c r="C2277">
        <v>2015</v>
      </c>
      <c r="D2277" s="3" t="s">
        <f>B2277&amp;"/"&amp;A2277&amp;"/"&amp;C2277</f>
        <v>2461</v>
      </c>
      <c r="E2277">
        <v>0.66666666666666663</v>
      </c>
      <c r="F2277" t="s">
        <f>I2277&amp;" "&amp;J2277&amp;" "&amp;K2277&amp;" "&amp;L2277&amp;" "&amp;M2277&amp;" "&amp;N2277</f>
        <v>2416</v>
      </c>
      <c r="G2277" t="s">
        <f>TEXT(D2277,"mmm dd")</f>
        <v>967</v>
      </c>
      <c r="I2277" t="s">
        <v>2417</v>
      </c>
    </row>
    <row r="2278" spans="1:23">
      <c r="A2278">
        <v>30</v>
      </c>
      <c r="B2278">
        <v>10</v>
      </c>
      <c r="C2278">
        <v>2015</v>
      </c>
      <c r="D2278" s="3" t="s">
        <f>B2278&amp;"/"&amp;A2278&amp;"/"&amp;C2278</f>
        <v>2461</v>
      </c>
      <c r="E2278">
        <v>0.66666666666666663</v>
      </c>
      <c r="F2278" t="s">
        <f>I2278&amp;" "&amp;J2278&amp;" "&amp;K2278&amp;" "&amp;L2278&amp;" "&amp;M2278&amp;" "&amp;N2278</f>
        <v>2418</v>
      </c>
      <c r="G2278" t="s">
        <f>TEXT(D2278,"mmm dd")</f>
        <v>967</v>
      </c>
      <c r="I2278" t="s">
        <v>2419</v>
      </c>
      <c r="J2278" t="s">
        <v>755</v>
      </c>
      <c r="K2278" t="s">
        <v>2420</v>
      </c>
      <c r="N2278" t="s">
        <v>2421</v>
      </c>
    </row>
    <row r="2279" spans="1:23">
      <c r="A2279">
        <v>1</v>
      </c>
      <c r="B2279">
        <v>11</v>
      </c>
      <c r="C2279">
        <v>2015</v>
      </c>
      <c r="D2279" s="3" t="str">
        <f>B2279&amp;"/"&amp;A2279&amp;"/"&amp;C2279</f>
        <v>11/1/2015</v>
      </c>
      <c r="E2279">
        <v>0.83333333333333337</v>
      </c>
      <c r="F2279" t="str">
        <f>I2279&amp;" "&amp;J2279&amp;" "&amp;K2279&amp;" "&amp;L2279&amp;" "&amp;M2279&amp;" "&amp;N2279</f>
        <v>Work at office   </v>
      </c>
      <c r="G2279" t="s">
        <f>TEXT(D2279,"mmm dd")</f>
        <v>978</v>
      </c>
      <c r="I2279" t="s">
        <v>1663</v>
      </c>
      <c r="J2279" t="s">
        <v>53</v>
      </c>
      <c r="K2279" t="s">
        <v>2148</v>
      </c>
    </row>
    <row r="2280" spans="1:23">
      <c r="A2280">
        <v>2</v>
      </c>
      <c r="B2280">
        <v>11</v>
      </c>
      <c r="C2280">
        <v>2015</v>
      </c>
      <c r="D2280" s="3" t="str">
        <f>B2280&amp;"/"&amp;A2280&amp;"/"&amp;C2280</f>
        <v>11/2/2015</v>
      </c>
      <c r="E2280">
        <v>0.97916666666666663</v>
      </c>
      <c r="F2280" t="str">
        <f>I2280&amp;" "&amp;J2280&amp;" "&amp;K2280&amp;" "&amp;L2280&amp;" "&amp;M2280&amp;" "&amp;N2280</f>
        <v>Faculty meet with President  </v>
      </c>
      <c r="G2280" t="s">
        <f>TEXT(D2280,"mmm dd")</f>
        <v>32</v>
      </c>
      <c r="I2280" t="s">
        <v>496</v>
      </c>
      <c r="J2280" t="s">
        <v>1210</v>
      </c>
      <c r="K2280" t="s">
        <v>755</v>
      </c>
      <c r="L2280" t="s">
        <v>2085</v>
      </c>
    </row>
    <row r="2281" spans="1:23">
      <c r="A2281">
        <v>3</v>
      </c>
      <c r="B2281">
        <v>11</v>
      </c>
      <c r="C2281">
        <v>2015</v>
      </c>
      <c r="D2281" s="3" t="s">
        <f>B2281&amp;"/"&amp;A2281&amp;"/"&amp;C2281</f>
        <v>2462</v>
      </c>
      <c r="E2281" t="s">
        <v>42</v>
      </c>
      <c r="F2281" t="s">
        <f>I2281&amp;" "&amp;J2281&amp;" "&amp;K2281&amp;" "&amp;L2281&amp;" "&amp;M2281&amp;" "&amp;N2281</f>
        <v>2463</v>
      </c>
      <c r="G2281" t="s">
        <f>TEXT(D2281,"mmm dd")</f>
        <v>33</v>
      </c>
      <c r="I2281" t="s">
        <v>2464</v>
      </c>
      <c r="J2281" t="s">
        <v>2465</v>
      </c>
      <c r="K2281" t="s">
        <v>319</v>
      </c>
    </row>
    <row r="2282" spans="1:23">
      <c r="A2282">
        <v>5</v>
      </c>
      <c r="B2282">
        <v>11</v>
      </c>
      <c r="C2282">
        <v>2015</v>
      </c>
      <c r="D2282" s="3" t="s">
        <f>B2282&amp;"/"&amp;A2282&amp;"/"&amp;C2282</f>
        <v>2466</v>
      </c>
      <c r="E2282">
        <v>0.85416666666666663</v>
      </c>
      <c r="F2282" t="s">
        <f>I2282&amp;" "&amp;J2282&amp;" "&amp;K2282&amp;" "&amp;L2282&amp;" "&amp;M2282&amp;" "&amp;N2282</f>
        <v>2416</v>
      </c>
      <c r="G2282" t="s">
        <f>TEXT(D2282,"mmm dd")</f>
        <v>35</v>
      </c>
      <c r="I2282" t="s">
        <v>2417</v>
      </c>
    </row>
    <row r="2283" spans="1:23">
      <c r="A2283">
        <v>5</v>
      </c>
      <c r="B2283">
        <v>11</v>
      </c>
      <c r="C2283">
        <v>2015</v>
      </c>
      <c r="D2283" s="3" t="s">
        <f>B2283&amp;"/"&amp;A2283&amp;"/"&amp;C2283</f>
        <v>2466</v>
      </c>
      <c r="E2283">
        <v>0.85416666666666663</v>
      </c>
      <c r="F2283" t="s">
        <f>I2283&amp;" "&amp;J2283&amp;" "&amp;K2283&amp;" "&amp;L2283&amp;" "&amp;M2283&amp;" "&amp;N2283</f>
        <v>2418</v>
      </c>
      <c r="G2283" t="s">
        <f>TEXT(D2283,"mmm dd")</f>
        <v>35</v>
      </c>
      <c r="I2283" t="s">
        <v>2419</v>
      </c>
      <c r="J2283" t="s">
        <v>755</v>
      </c>
      <c r="K2283" t="s">
        <v>2420</v>
      </c>
      <c r="N2283" t="s">
        <v>2421</v>
      </c>
    </row>
    <row r="2284" spans="1:23">
      <c r="A2284">
        <v>6</v>
      </c>
      <c r="B2284">
        <v>11</v>
      </c>
      <c r="C2284">
        <v>2015</v>
      </c>
      <c r="D2284" s="3" t="str">
        <f>B2284&amp;"/"&amp;A2284&amp;"/"&amp;C2284</f>
        <v>11/6/2015</v>
      </c>
      <c r="E2284">
        <v>0.72916666666666663</v>
      </c>
      <c r="F2284" t="str">
        <f>I2284&amp;" "&amp;J2284&amp;" "&amp;K2284&amp;" "&amp;L2284&amp;" "&amp;M2284&amp;" "&amp;N2284</f>
        <v>Meet with President   </v>
      </c>
      <c r="G2284" t="s">
        <f>TEXT(D2284,"mmm dd")</f>
        <v>1645</v>
      </c>
      <c r="I2284" t="s">
        <v>300</v>
      </c>
      <c r="J2284" t="s">
        <v>755</v>
      </c>
      <c r="K2284" t="s">
        <v>2085</v>
      </c>
    </row>
    <row r="2285" spans="1:23">
      <c r="A2285">
        <v>8</v>
      </c>
      <c r="B2285">
        <v>11</v>
      </c>
      <c r="C2285">
        <v>2015</v>
      </c>
      <c r="D2285" s="3" t="str">
        <f>B2285&amp;"/"&amp;A2285&amp;"/"&amp;C2285</f>
        <v>11/8/2015</v>
      </c>
      <c r="E2285">
        <v>0.66666666666666663</v>
      </c>
      <c r="F2285" t="s">
        <f>I2285&amp;" "&amp;J2285&amp;" "&amp;K2285&amp;" "&amp;L2285&amp;" "&amp;M2285&amp;" "&amp;N2285</f>
        <v>2467</v>
      </c>
      <c r="G2285" t="s">
        <f>TEXT(D2285,"mmm dd")</f>
        <v>36</v>
      </c>
      <c r="I2285" t="s">
        <v>2468</v>
      </c>
      <c r="J2285" t="s">
        <v>53</v>
      </c>
      <c r="K2285" t="s">
        <v>2119</v>
      </c>
      <c r="L2285" t="s">
        <v>2469</v>
      </c>
    </row>
    <row r="2286" spans="1:23">
      <c r="A2286">
        <v>13</v>
      </c>
      <c r="B2286">
        <v>11</v>
      </c>
      <c r="C2286">
        <v>2015</v>
      </c>
      <c r="D2286" s="3" t="str">
        <f>B2286&amp;"/"&amp;A2286&amp;"/"&amp;C2286</f>
        <v>11/13/2015</v>
      </c>
      <c r="E2286">
        <v>0.91666666666666663</v>
      </c>
      <c r="F2286" t="s">
        <f>I2286&amp;" "&amp;J2286&amp;" "&amp;K2286&amp;" "&amp;L2286&amp;" "&amp;M2286&amp;" "&amp;N2286</f>
        <v>2452</v>
      </c>
      <c r="G2286" t="s">
        <f>TEXT(D2286,"mmm dd")</f>
        <v>37</v>
      </c>
      <c r="I2286" t="s">
        <v>2453</v>
      </c>
    </row>
    <row r="2287" spans="1:23">
      <c r="A2287">
        <v>15</v>
      </c>
      <c r="B2287">
        <v>11</v>
      </c>
      <c r="C2287">
        <v>2015</v>
      </c>
      <c r="D2287" s="3" t="str">
        <f>B2287&amp;"/"&amp;A2287&amp;"/"&amp;C2287</f>
        <v>11/15/2015</v>
      </c>
      <c r="E2287">
        <v>0.64583333333333337</v>
      </c>
      <c r="F2287" t="s">
        <f>I2287&amp;" "&amp;J2287&amp;" "&amp;K2287&amp;" "&amp;L2287&amp;" "&amp;M2287&amp;" "&amp;N2287</f>
        <v>2470</v>
      </c>
      <c r="G2287" t="s">
        <f>TEXT(D2287,"mmm dd")</f>
        <v>1012</v>
      </c>
      <c r="I2287" t="s">
        <v>2468</v>
      </c>
      <c r="J2287" t="s">
        <v>53</v>
      </c>
      <c r="K2287" t="s">
        <v>218</v>
      </c>
      <c r="L2287" t="s">
        <v>2471</v>
      </c>
    </row>
    <row r="2288" spans="1:23">
      <c r="A2288">
        <v>20</v>
      </c>
      <c r="B2288">
        <v>11</v>
      </c>
      <c r="C2288">
        <v>2015</v>
      </c>
      <c r="D2288" s="3" t="s">
        <f>B2288&amp;"/"&amp;A2288&amp;"/"&amp;C2288</f>
        <v>2472</v>
      </c>
      <c r="E2288">
        <v>0.79166666666666663</v>
      </c>
      <c r="F2288" t="str">
        <f>I2288&amp;" "&amp;J2288&amp;" "&amp;K2288&amp;" "&amp;L2288&amp;" "&amp;M2288&amp;" "&amp;N2288</f>
        <v>rescheduled RELG 101 exam  </v>
      </c>
      <c r="G2288" t="s">
        <f>TEXT(D2288,"mmm dd")</f>
        <v>1030</v>
      </c>
      <c r="I2288" t="s">
        <v>1352</v>
      </c>
      <c r="J2288" t="s">
        <v>2357</v>
      </c>
      <c r="K2288">
        <v>101</v>
      </c>
      <c r="L2288" t="s">
        <v>2290</v>
      </c>
    </row>
    <row r="2289" spans="1:23">
      <c r="A2289">
        <v>20</v>
      </c>
      <c r="B2289">
        <v>11</v>
      </c>
      <c r="C2289">
        <v>2015</v>
      </c>
      <c r="D2289" s="3" t="s">
        <f>B2289&amp;"/"&amp;A2289&amp;"/"&amp;C2289</f>
        <v>2472</v>
      </c>
      <c r="E2289">
        <v>0.91666666666666663</v>
      </c>
      <c r="F2289" t="s">
        <f>I2289&amp;" "&amp;J2289&amp;" "&amp;K2289&amp;" "&amp;L2289&amp;" "&amp;M2289&amp;" "&amp;N2289</f>
        <v>2452</v>
      </c>
      <c r="G2289" t="s">
        <f>TEXT(D2289,"mmm dd")</f>
        <v>1030</v>
      </c>
      <c r="I2289" t="s">
        <v>2453</v>
      </c>
      <c r="O2289" t="s">
        <v>897</v>
      </c>
    </row>
    <row r="2290" spans="1:23">
      <c r="A2290">
        <v>22</v>
      </c>
      <c r="B2290">
        <v>11</v>
      </c>
      <c r="C2290">
        <v>2015</v>
      </c>
      <c r="D2290" s="3" t="str">
        <f>B2290&amp;"/"&amp;A2290&amp;"/"&amp;C2290</f>
        <v>11/22/2015</v>
      </c>
      <c r="E2290">
        <v>0.64583333333333337</v>
      </c>
      <c r="F2290" t="s">
        <f>I2290&amp;" "&amp;J2290&amp;" "&amp;K2290&amp;" "&amp;L2290&amp;" "&amp;M2290&amp;" "&amp;N2290</f>
        <v>2470</v>
      </c>
      <c r="G2290" t="s">
        <f>TEXT(D2290,"mmm dd")</f>
        <v>1428</v>
      </c>
      <c r="I2290" t="s">
        <v>2468</v>
      </c>
      <c r="J2290" t="s">
        <v>53</v>
      </c>
      <c r="K2290" t="s">
        <v>218</v>
      </c>
      <c r="L2290" t="s">
        <v>2471</v>
      </c>
    </row>
    <row r="2291" spans="1:23">
      <c r="A2291">
        <v>24</v>
      </c>
      <c r="B2291">
        <v>11</v>
      </c>
      <c r="C2291">
        <v>2015</v>
      </c>
      <c r="D2291" s="3" t="s">
        <f>B2291&amp;"/"&amp;A2291&amp;"/"&amp;C2291</f>
        <v>2473</v>
      </c>
      <c r="E2291">
        <v>0.125</v>
      </c>
      <c r="F2291" t="str">
        <f>I2291&amp;" "&amp;J2291&amp;" "&amp;K2291&amp;" "&amp;L2291&amp;" "&amp;M2291&amp;" "&amp;N2291</f>
        <v>Bridge at St Paul's  </v>
      </c>
      <c r="G2291" t="s">
        <f>TEXT(D2291,"mmm dd")</f>
        <v>1039</v>
      </c>
      <c r="I2291" t="inlineStr">
        <is>
          <t>Bridge</t>
        </is>
      </c>
      <c r="J2291" t="s">
        <v>53</v>
      </c>
      <c r="K2291" t="s">
        <v>1796</v>
      </c>
      <c r="L2291" t="s">
        <v>2471</v>
      </c>
    </row>
    <row r="2292" spans="1:23">
      <c r="A2292">
        <v>24</v>
      </c>
      <c r="B2292">
        <v>11</v>
      </c>
      <c r="C2292">
        <v>2015</v>
      </c>
      <c r="D2292" s="3" t="s">
        <f>B2292&amp;"/"&amp;A2292&amp;"/"&amp;C2292</f>
        <v>2473</v>
      </c>
      <c r="E2292">
        <v>0.79166666666666663</v>
      </c>
      <c r="F2292" t="str">
        <f>I2292&amp;" "&amp;J2292&amp;" "&amp;K2292&amp;" "&amp;L2292&amp;" "&amp;M2292&amp;" "&amp;N2292</f>
        <v>313 exam alternatives time  </v>
      </c>
      <c r="G2292" t="s">
        <f>TEXT(D2292,"mmm dd")</f>
        <v>1039</v>
      </c>
      <c r="I2292">
        <v>313</v>
      </c>
      <c r="J2292" t="s">
        <v>2290</v>
      </c>
      <c r="K2292" t="inlineStr">
        <is>
          <t>alternatives</t>
        </is>
      </c>
      <c r="L2292" t="s">
        <v>2068</v>
      </c>
    </row>
    <row r="2293" spans="1:23">
      <c r="A2293">
        <v>1</v>
      </c>
      <c r="B2293">
        <v>12</v>
      </c>
      <c r="C2293">
        <v>2015</v>
      </c>
      <c r="D2293" s="3" t="s">
        <f>B2293&amp;"/"&amp;A2293&amp;"/"&amp;C2293</f>
        <v>2474</v>
      </c>
      <c r="E2293">
        <v>0.8125</v>
      </c>
      <c r="F2293" t="s">
        <f>I2293&amp;" "&amp;J2293&amp;" "&amp;K2293&amp;" "&amp;L2293&amp;" "&amp;M2293&amp;" "&amp;N2293</f>
        <v>2416</v>
      </c>
      <c r="G2293" t="s">
        <f>TEXT(D2293,"mmm dd")</f>
        <v>1437</v>
      </c>
      <c r="I2293" t="s">
        <v>2417</v>
      </c>
    </row>
    <row r="2294" spans="1:23">
      <c r="A2294">
        <v>1</v>
      </c>
      <c r="B2294">
        <v>12</v>
      </c>
      <c r="C2294">
        <v>2015</v>
      </c>
      <c r="D2294" s="3" t="s">
        <f>B2294&amp;"/"&amp;A2294&amp;"/"&amp;C2294</f>
        <v>2474</v>
      </c>
      <c r="E2294">
        <v>0.8125</v>
      </c>
      <c r="F2294" t="s">
        <f>I2294&amp;" "&amp;J2294&amp;" "&amp;K2294&amp;" "&amp;L2294&amp;" "&amp;M2294&amp;" "&amp;N2294</f>
        <v>2418</v>
      </c>
      <c r="G2294" t="s">
        <f>TEXT(D2294,"mmm dd")</f>
        <v>1437</v>
      </c>
      <c r="I2294" t="s">
        <v>2419</v>
      </c>
      <c r="J2294" t="s">
        <v>755</v>
      </c>
      <c r="K2294" t="s">
        <v>2420</v>
      </c>
      <c r="N2294" t="s">
        <v>2421</v>
      </c>
    </row>
    <row r="2295" spans="1:23">
      <c r="A2295">
        <v>4</v>
      </c>
      <c r="B2295">
        <v>12</v>
      </c>
      <c r="C2295">
        <v>2015</v>
      </c>
      <c r="D2295" s="3" t="str">
        <f>B2295&amp;"/"&amp;A2295&amp;"/"&amp;C2295</f>
        <v>12/4/2015</v>
      </c>
      <c r="E2295">
        <v>0.91666666666666663</v>
      </c>
      <c r="F2295" t="s">
        <f>I2295&amp;" "&amp;J2295&amp;" "&amp;K2295&amp;" "&amp;L2295&amp;" "&amp;M2295&amp;" "&amp;N2295</f>
        <v>2452</v>
      </c>
      <c r="G2295" t="s">
        <f>TEXT(D2295,"mmm dd")</f>
        <v>1057</v>
      </c>
      <c r="I2295" t="s">
        <v>2453</v>
      </c>
    </row>
    <row r="2296" spans="1:23">
      <c r="A2296">
        <v>8</v>
      </c>
      <c r="B2296">
        <v>12</v>
      </c>
      <c r="C2296">
        <v>2015</v>
      </c>
      <c r="D2296" s="3" t="str">
        <f>B2296&amp;"/"&amp;A2296&amp;"/"&amp;C2296</f>
        <v>12/8/2015</v>
      </c>
      <c r="E2296">
        <v>0.6875</v>
      </c>
      <c r="F2296" t="s">
        <f>I2296&amp;" "&amp;J2296&amp;" "&amp;K2296&amp;" "&amp;L2296&amp;" "&amp;M2296&amp;" "&amp;N2296</f>
        <v>2452</v>
      </c>
      <c r="G2296" t="s">
        <f>TEXT(D2296,"mmm dd")</f>
        <v>2154</v>
      </c>
      <c r="I2296" t="s">
        <v>2453</v>
      </c>
    </row>
    <row r="2297" spans="1:23">
      <c r="A2297">
        <v>9</v>
      </c>
      <c r="B2297">
        <v>12</v>
      </c>
      <c r="C2297">
        <v>2015</v>
      </c>
      <c r="D2297" s="3" t="str">
        <f>B2297&amp;"/"&amp;A2297&amp;"/"&amp;C2297</f>
        <v>12/9/2015</v>
      </c>
      <c r="E2297">
        <v>0.8125</v>
      </c>
      <c r="F2297" t="str">
        <f>I2297&amp;" "&amp;J2297&amp;" "&amp;K2297&amp;" "&amp;L2297&amp;" "&amp;M2297&amp;" "&amp;N2297</f>
        <v>Final Exam RELG 101  </v>
      </c>
      <c r="G2297" t="s">
        <f>TEXT(D2297,"mmm dd")</f>
        <v>1064</v>
      </c>
      <c r="I2297" t="s">
        <v>1763</v>
      </c>
      <c r="J2297" t="s">
        <v>2313</v>
      </c>
      <c r="K2297" t="s">
        <v>2357</v>
      </c>
      <c r="L2297">
        <v>101</v>
      </c>
    </row>
    <row r="2298" spans="1:23">
      <c r="A2298">
        <v>11</v>
      </c>
      <c r="B2298">
        <v>12</v>
      </c>
      <c r="C2298">
        <v>2015</v>
      </c>
      <c r="D2298" s="3" t="s">
        <f>B2298&amp;"/"&amp;A2298&amp;"/"&amp;C2298</f>
        <v>2475</v>
      </c>
      <c r="E2298">
        <v>1.1041666666666667</v>
      </c>
      <c r="F2298" t="str">
        <f>I2298&amp;" "&amp;J2298&amp;" "&amp;K2298&amp;" "&amp;L2298&amp;" "&amp;M2298&amp;" "&amp;N2298</f>
        <v>Final Exam RELG 313  </v>
      </c>
      <c r="G2298" t="s">
        <f>TEXT(D2298,"mmm dd")</f>
        <v>1455</v>
      </c>
      <c r="I2298" t="s">
        <v>1763</v>
      </c>
      <c r="J2298" t="s">
        <v>2313</v>
      </c>
      <c r="K2298" t="s">
        <v>2357</v>
      </c>
      <c r="L2298">
        <v>313</v>
      </c>
    </row>
    <row r="2299" spans="1:23">
      <c r="A2299">
        <v>11</v>
      </c>
      <c r="B2299">
        <v>12</v>
      </c>
      <c r="C2299">
        <v>2015</v>
      </c>
      <c r="D2299" s="3" t="s">
        <f>B2299&amp;"/"&amp;A2299&amp;"/"&amp;C2299</f>
        <v>2475</v>
      </c>
      <c r="E2299">
        <v>0.8125</v>
      </c>
      <c r="F2299" t="s">
        <f>I2299&amp;" "&amp;J2299&amp;" "&amp;K2299&amp;" "&amp;L2299&amp;" "&amp;M2299&amp;" "&amp;N2299</f>
        <v>2384</v>
      </c>
      <c r="G2299" t="s">
        <f>TEXT(D2299,"mmm dd")</f>
        <v>1455</v>
      </c>
      <c r="I2299" t="s">
        <v>2375</v>
      </c>
    </row>
    <row r="2300" spans="1:23">
      <c r="A2300">
        <v>14</v>
      </c>
      <c r="B2300">
        <v>12</v>
      </c>
      <c r="C2300">
        <v>2015</v>
      </c>
      <c r="D2300" s="3" t="str">
        <f>B2300&amp;"/"&amp;A2300&amp;"/"&amp;C2300</f>
        <v>12/14/2015</v>
      </c>
      <c r="E2300">
        <v>0.83333333333333337</v>
      </c>
      <c r="F2300" t="s">
        <f>I2300&amp;" "&amp;J2300&amp;" "&amp;K2300&amp;" "&amp;L2300&amp;" "&amp;M2300&amp;" "&amp;N2300</f>
        <v>2427</v>
      </c>
      <c r="G2300" t="s">
        <f>TEXT(D2300,"mmm dd")</f>
        <v>1079</v>
      </c>
      <c r="I2300" t="s">
        <v>1409</v>
      </c>
    </row>
    <row r="2301" spans="1:23">
      <c r="A2301">
        <v>15</v>
      </c>
      <c r="B2301">
        <v>12</v>
      </c>
      <c r="C2301">
        <v>2015</v>
      </c>
      <c r="D2301" s="3" t="str">
        <f>B2301&amp;"/"&amp;A2301&amp;"/"&amp;C2301</f>
        <v>12/15/2015</v>
      </c>
      <c r="E2301">
        <v>0.8125</v>
      </c>
      <c r="F2301" t="str">
        <f>I2301&amp;" "&amp;J2301&amp;" "&amp;K2301&amp;" "&amp;L2301&amp;" "&amp;M2301&amp;" "&amp;N2301</f>
        <v>Final Exam RELG 317  </v>
      </c>
      <c r="G2301" t="s">
        <f>TEXT(D2301,"mmm dd")</f>
        <v>1088</v>
      </c>
      <c r="I2301" t="s">
        <v>1763</v>
      </c>
      <c r="J2301" t="s">
        <v>2313</v>
      </c>
      <c r="K2301" t="s">
        <v>2357</v>
      </c>
      <c r="L2301">
        <v>317</v>
      </c>
    </row>
    <row r="2302" spans="1:23">
      <c r="A2302">
        <v>19</v>
      </c>
      <c r="B2302">
        <v>12</v>
      </c>
      <c r="C2302">
        <v>2015</v>
      </c>
      <c r="D2302" s="3" t="s">
        <f>B2302&amp;"/"&amp;A2302&amp;"/"&amp;C2302</f>
        <v>2476</v>
      </c>
      <c r="E2302" t="s">
        <v>42</v>
      </c>
      <c r="F2302" t="s">
        <f>I2302&amp;" "&amp;J2302&amp;" "&amp;K2302&amp;" "&amp;L2302&amp;" "&amp;M2302&amp;" "&amp;N2302</f>
        <v>2477</v>
      </c>
      <c r="G2302" t="s">
        <f>TEXT(D2302,"mmm dd")</f>
        <v>1114</v>
      </c>
      <c r="I2302" t="s">
        <v>162</v>
      </c>
      <c r="J2302" t="inlineStr">
        <is>
          <t>Detailer</t>
        </is>
      </c>
      <c r="K2302" t="s">
        <v>319</v>
      </c>
    </row>
    <row r="2303" spans="1:23">
      <c r="A2303">
        <v>21</v>
      </c>
      <c r="B2303">
        <v>12</v>
      </c>
      <c r="C2303">
        <v>2015</v>
      </c>
      <c r="D2303" s="3" t="str">
        <f>B2303&amp;"/"&amp;A2303&amp;"/"&amp;C2303</f>
        <v>12/21/2015</v>
      </c>
      <c r="E2303" t="s">
        <v>42</v>
      </c>
      <c r="F2303" t="str">
        <f>I2303&amp;" "&amp;J2303&amp;" "&amp;K2303&amp;" "&amp;L2303&amp;" "&amp;M2303&amp;" "&amp;N2303</f>
        <v>arr Honolulu    </v>
      </c>
      <c r="G2303" t="s">
        <f>TEXT(D2303,"mmm dd")</f>
        <v>1127</v>
      </c>
      <c r="I2303" t="s">
        <v>2286</v>
      </c>
      <c r="J2303" t="s">
        <v>609</v>
      </c>
    </row>
    <row r="2304" spans="1:23">
      <c r="A2304">
        <v>22</v>
      </c>
      <c r="B2304">
        <v>12</v>
      </c>
      <c r="C2304">
        <v>2015</v>
      </c>
      <c r="D2304" s="3" t="s">
        <f>B2304&amp;"/"&amp;A2304&amp;"/"&amp;C2304</f>
        <v>2478</v>
      </c>
      <c r="E2304">
        <v>0.91666666666666663</v>
      </c>
      <c r="F2304" t="str">
        <f>I2304&amp;" "&amp;J2304&amp;" "&amp;K2304&amp;" "&amp;L2304&amp;" "&amp;M2304&amp;" "&amp;N2304</f>
        <v>Albertson gift card   </v>
      </c>
      <c r="G2304" t="s">
        <f>TEXT(D2304,"mmm dd")</f>
        <v>1670</v>
      </c>
      <c r="I2304" t="inlineStr">
        <is>
          <t>Albertson</t>
        </is>
      </c>
      <c r="J2304" t="s">
        <v>2479</v>
      </c>
      <c r="K2304" t="s">
        <v>2480</v>
      </c>
    </row>
    <row r="2305" spans="1:23">
      <c r="A2305">
        <v>22</v>
      </c>
      <c r="B2305">
        <v>12</v>
      </c>
      <c r="C2305">
        <v>2015</v>
      </c>
      <c r="D2305" s="3" t="s">
        <f>B2305&amp;"/"&amp;A2305&amp;"/"&amp;C2305</f>
        <v>2478</v>
      </c>
      <c r="E2305">
        <v>0.5</v>
      </c>
      <c r="F2305" t="s">
        <f>I2305&amp;" "&amp;J2305&amp;" "&amp;K2305&amp;" "&amp;L2305&amp;" "&amp;M2305&amp;" "&amp;N2305</f>
        <v>2424</v>
      </c>
      <c r="G2305" t="s">
        <f>TEXT(D2305,"mmm dd")</f>
        <v>1670</v>
      </c>
      <c r="I2305" t="s">
        <v>2425</v>
      </c>
      <c r="J2305" t="s">
        <v>110</v>
      </c>
      <c r="K2305" t="s">
        <v>2426</v>
      </c>
    </row>
    <row r="2306" spans="1:23">
      <c r="A2306">
        <v>23</v>
      </c>
      <c r="B2306">
        <v>12</v>
      </c>
      <c r="C2306">
        <v>2015</v>
      </c>
      <c r="D2306" s="3" t="str">
        <f>B2306&amp;"/"&amp;A2306&amp;"/"&amp;C2306</f>
        <v>12/23/2015</v>
      </c>
      <c r="E2306">
        <v>1.0416666666666667</v>
      </c>
      <c r="F2306" t="str">
        <f>I2306&amp;" "&amp;J2306&amp;" "&amp;K2306&amp;" "&amp;L2306&amp;" "&amp;M2306&amp;" "&amp;N2306</f>
        <v>Lunch with Murray &amp; Young MI</v>
      </c>
      <c r="G2306" t="s">
        <f>TEXT(D2306,"mmm dd")</f>
        <v>1129</v>
      </c>
      <c r="I2306" t="s">
        <v>813</v>
      </c>
      <c r="J2306" t="s">
        <v>755</v>
      </c>
      <c r="K2306" t="s">
        <v>1008</v>
      </c>
      <c r="L2306" t="s">
        <v>73</v>
      </c>
      <c r="M2306" t="s">
        <v>2329</v>
      </c>
      <c r="N2306" t="inlineStr">
        <is>
          <t>MI</t>
        </is>
      </c>
    </row>
    <row r="2307" spans="1:23">
      <c r="A2307">
        <v>24</v>
      </c>
      <c r="B2307">
        <v>12</v>
      </c>
      <c r="C2307">
        <v>2015</v>
      </c>
      <c r="D2307" s="3" t="str">
        <f>B2307&amp;"/"&amp;A2307&amp;"/"&amp;C2307</f>
        <v>12/24/2015</v>
      </c>
      <c r="E2307">
        <v>1.0208333333333333</v>
      </c>
      <c r="F2307" t="str">
        <f>I2307&amp;" "&amp;J2307&amp;" "&amp;K2307&amp;" "&amp;L2307&amp;" "&amp;M2307&amp;" "&amp;N2307</f>
        <v>Lunch Barb &amp; Ethan  </v>
      </c>
      <c r="G2307" t="s">
        <f>TEXT(D2307,"mmm dd")</f>
        <v>1467</v>
      </c>
      <c r="I2307" t="s">
        <v>813</v>
      </c>
      <c r="J2307" t="s">
        <v>1707</v>
      </c>
      <c r="K2307" t="s">
        <v>73</v>
      </c>
      <c r="L2307" t="s">
        <v>1769</v>
      </c>
    </row>
    <row r="2308" spans="1:23">
      <c r="A2308">
        <v>25</v>
      </c>
      <c r="B2308">
        <v>12</v>
      </c>
      <c r="C2308">
        <v>2015</v>
      </c>
      <c r="D2308" s="3" t="str">
        <f>B2308&amp;"/"&amp;A2308&amp;"/"&amp;C2308</f>
        <v>12/25/2015</v>
      </c>
      <c r="E2308">
        <v>0.35416666666666669</v>
      </c>
      <c r="F2308" t="str">
        <f>I2308&amp;" "&amp;J2308&amp;" "&amp;K2308&amp;" "&amp;L2308&amp;" "&amp;M2308&amp;" "&amp;N2308</f>
        <v>Mass MRO    </v>
      </c>
      <c r="G2308" t="s">
        <f>TEXT(D2308,"mmm dd")</f>
        <v>1468</v>
      </c>
      <c r="I2308" t="s">
        <v>1273</v>
      </c>
      <c r="J2308" t="inlineStr">
        <is>
          <t>MRO</t>
        </is>
      </c>
    </row>
    <row r="2309" spans="1:23">
      <c r="A2309">
        <v>29</v>
      </c>
      <c r="B2309">
        <v>12</v>
      </c>
      <c r="C2309">
        <v>2015</v>
      </c>
      <c r="D2309" s="3" t="s">
        <f>B2309&amp;"/"&amp;A2309&amp;"/"&amp;C2309</f>
        <v>2481</v>
      </c>
      <c r="E2309">
        <v>1.0625</v>
      </c>
      <c r="F2309" t="str">
        <f>I2309&amp;" "&amp;J2309&amp;" "&amp;K2309&amp;" "&amp;L2309&amp;" "&amp;M2309&amp;" "&amp;N2309</f>
        <v>Buchwalders     </v>
      </c>
      <c r="G2309" t="s">
        <f>TEXT(D2309,"mmm dd")</f>
        <v>2482</v>
      </c>
      <c r="I2309" t="inlineStr">
        <is>
          <t>Buchwalders</t>
        </is>
      </c>
    </row>
    <row r="2310" spans="1:23">
      <c r="A2310">
        <v>29</v>
      </c>
      <c r="B2310">
        <v>12</v>
      </c>
      <c r="C2310">
        <v>2015</v>
      </c>
      <c r="D2310" s="3" t="s">
        <f>B2310&amp;"/"&amp;A2310&amp;"/"&amp;C2310</f>
        <v>2481</v>
      </c>
      <c r="E2310">
        <v>0.5</v>
      </c>
      <c r="F2310" t="s">
        <f>I2310&amp;" "&amp;J2310&amp;" "&amp;K2310&amp;" "&amp;L2310&amp;" "&amp;M2310&amp;" "&amp;N2310</f>
        <v>2424</v>
      </c>
      <c r="G2310" t="s">
        <f>TEXT(D2310,"mmm dd")</f>
        <v>2482</v>
      </c>
      <c r="I2310" t="s">
        <v>2425</v>
      </c>
      <c r="J2310" t="s">
        <v>110</v>
      </c>
      <c r="K2310" t="s">
        <v>2426</v>
      </c>
    </row>
    <row r="2311" spans="1:23">
      <c r="A2311">
        <v>4</v>
      </c>
      <c r="B2311">
        <v>1</v>
      </c>
      <c r="C2311">
        <v>2016</v>
      </c>
      <c r="D2311" s="3" t="s">
        <f>B2311&amp;"/"&amp;A2311&amp;"/"&amp;C2311</f>
        <v>2483</v>
      </c>
      <c r="E2311" t="s">
        <v>42</v>
      </c>
      <c r="F2311" t="s">
        <f>I2311&amp;" "&amp;J2311&amp;" "&amp;K2311&amp;" "&amp;L2311&amp;" "&amp;M2311&amp;" "&amp;N2311</f>
        <v>2484</v>
      </c>
      <c r="G2311" t="s">
        <f>TEXT(D2311,"mmm dd")</f>
        <v>1677</v>
      </c>
      <c r="I2311" t="s">
        <v>2255</v>
      </c>
      <c r="J2311" t="s">
        <v>319</v>
      </c>
    </row>
    <row r="2312" spans="1:23">
      <c r="A2312">
        <v>5</v>
      </c>
      <c r="B2312">
        <v>1</v>
      </c>
      <c r="C2312">
        <v>2016</v>
      </c>
      <c r="D2312" s="3" t="str">
        <f>B2312&amp;"/"&amp;A2312&amp;"/"&amp;C2312</f>
        <v>1/5/2016</v>
      </c>
      <c r="E2312">
        <v>0.5</v>
      </c>
      <c r="F2312" t="s">
        <f>I2312&amp;" "&amp;J2312&amp;" "&amp;K2312&amp;" "&amp;L2312&amp;" "&amp;M2312&amp;" "&amp;N2312</f>
        <v>2424</v>
      </c>
      <c r="G2312" t="s">
        <f>TEXT(D2312,"mmm dd")</f>
        <v>2485</v>
      </c>
      <c r="I2312" t="s">
        <v>2425</v>
      </c>
      <c r="J2312" t="s">
        <v>110</v>
      </c>
      <c r="K2312" t="s">
        <v>2426</v>
      </c>
    </row>
    <row r="2313" spans="1:23">
      <c r="A2313">
        <v>6</v>
      </c>
      <c r="B2313">
        <v>1</v>
      </c>
      <c r="C2313">
        <v>2016</v>
      </c>
      <c r="D2313" s="3" t="str">
        <f>B2313&amp;"/"&amp;A2313&amp;"/"&amp;C2313</f>
        <v>1/6/2016</v>
      </c>
      <c r="E2313">
        <v>0.4548611111111111</v>
      </c>
      <c r="F2313" t="str">
        <f>I2313&amp;" "&amp;J2313&amp;" "&amp;K2313&amp;" "&amp;L2313&amp;" "&amp;M2313&amp;" "&amp;N2313</f>
        <v>leave Honolulu    </v>
      </c>
      <c r="G2313" t="s">
        <f>TEXT(D2313,"mmm dd")</f>
        <v>1142</v>
      </c>
      <c r="I2313" t="s">
        <v>2459</v>
      </c>
      <c r="J2313" t="s">
        <v>609</v>
      </c>
    </row>
    <row r="2314" spans="1:23">
      <c r="A2314">
        <v>11</v>
      </c>
      <c r="B2314">
        <v>1</v>
      </c>
      <c r="C2314">
        <v>2016</v>
      </c>
      <c r="D2314" s="3" t="s">
        <f>B2314&amp;"/"&amp;A2314&amp;"/"&amp;C2314</f>
        <v>2486</v>
      </c>
      <c r="E2314">
        <v>0.52083333333333337</v>
      </c>
      <c r="F2314" t="s">
        <f>I2314&amp;" "&amp;J2314&amp;" "&amp;K2314&amp;" "&amp;L2314&amp;" "&amp;M2314&amp;" "&amp;N2314</f>
        <v>2487</v>
      </c>
      <c r="G2314" t="s">
        <f>TEXT(D2314,"mmm dd")</f>
        <v>1152</v>
      </c>
      <c r="I2314" t="s">
        <v>2357</v>
      </c>
      <c r="J2314">
        <v>101</v>
      </c>
      <c r="K2314">
        <v>1</v>
      </c>
    </row>
    <row r="2315" spans="1:23">
      <c r="A2315">
        <v>11</v>
      </c>
      <c r="B2315">
        <v>1</v>
      </c>
      <c r="C2315">
        <v>2016</v>
      </c>
      <c r="D2315" s="3" t="s">
        <f>B2315&amp;"/"&amp;A2315&amp;"/"&amp;C2315</f>
        <v>2486</v>
      </c>
      <c r="E2315">
        <v>0.64583333333333337</v>
      </c>
      <c r="F2315" t="s">
        <f>I2315&amp;" "&amp;J2315&amp;" "&amp;K2315&amp;" "&amp;L2315&amp;" "&amp;M2315&amp;" "&amp;N2315</f>
        <v>2488</v>
      </c>
      <c r="G2315" t="s">
        <f>TEXT(D2315,"mmm dd")</f>
        <v>1152</v>
      </c>
      <c r="I2315" t="s">
        <v>2357</v>
      </c>
      <c r="J2315">
        <v>101</v>
      </c>
      <c r="K2315">
        <v>2</v>
      </c>
    </row>
    <row r="2316" spans="1:23">
      <c r="A2316">
        <v>12</v>
      </c>
      <c r="B2316">
        <v>1</v>
      </c>
      <c r="C2316">
        <v>2016</v>
      </c>
      <c r="D2316" s="3" t="s">
        <f>B2316&amp;"/"&amp;A2316&amp;"/"&amp;C2316</f>
        <v>2489</v>
      </c>
      <c r="E2316">
        <v>0.77083333333333337</v>
      </c>
      <c r="F2316" t="s">
        <f>I2316&amp;" "&amp;J2316&amp;" "&amp;K2316&amp;" "&amp;L2316&amp;" "&amp;M2316&amp;" "&amp;N2316</f>
        <v>2452</v>
      </c>
      <c r="G2316" t="s">
        <f>TEXT(D2316,"mmm dd")</f>
        <v>1478</v>
      </c>
      <c r="I2316" t="s">
        <v>2453</v>
      </c>
    </row>
    <row r="2317" spans="1:23">
      <c r="A2317">
        <v>12</v>
      </c>
      <c r="B2317">
        <v>1</v>
      </c>
      <c r="C2317">
        <v>2016</v>
      </c>
      <c r="D2317" s="3" t="s">
        <f>B2317&amp;"/"&amp;A2317&amp;"/"&amp;C2317</f>
        <v>2489</v>
      </c>
      <c r="E2317">
        <v>0.64583333333333337</v>
      </c>
      <c r="F2317" t="str">
        <f>I2317&amp;" "&amp;J2317&amp;" "&amp;K2317&amp;" "&amp;L2317&amp;" "&amp;M2317&amp;" "&amp;N2317</f>
        <v>RELG 220 1   </v>
      </c>
      <c r="G2317" t="s">
        <f>TEXT(D2317,"mmm dd")</f>
        <v>1478</v>
      </c>
      <c r="I2317" t="s">
        <v>2357</v>
      </c>
      <c r="J2317">
        <v>220</v>
      </c>
      <c r="K2317">
        <v>1</v>
      </c>
    </row>
    <row r="2318" spans="1:23">
      <c r="A2318">
        <v>19</v>
      </c>
      <c r="B2318">
        <v>1</v>
      </c>
      <c r="C2318">
        <v>2016</v>
      </c>
      <c r="D2318" s="3" t="s">
        <f>B2318&amp;"/"&amp;A2318&amp;"/"&amp;C2318</f>
        <v>2490</v>
      </c>
      <c r="E2318">
        <v>0.79166666666666663</v>
      </c>
      <c r="F2318" t="str">
        <f>I2318&amp;" "&amp;J2318&amp;" "&amp;K2318&amp;" "&amp;L2318&amp;" "&amp;M2318&amp;" "&amp;N2318</f>
        <v>HMXP incorporating Common Book  </v>
      </c>
      <c r="G2318" t="s">
        <f>TEXT(D2318,"mmm dd")</f>
        <v>1481</v>
      </c>
      <c r="I2318" t="s">
        <v>2453</v>
      </c>
      <c r="J2318" t="inlineStr">
        <is>
          <t>incorporating</t>
        </is>
      </c>
      <c r="K2318" t="s">
        <v>2491</v>
      </c>
      <c r="L2318" t="s">
        <v>2492</v>
      </c>
    </row>
    <row r="2319" spans="1:23">
      <c r="A2319">
        <v>19</v>
      </c>
      <c r="B2319">
        <v>1</v>
      </c>
      <c r="C2319">
        <v>2016</v>
      </c>
      <c r="D2319" s="3" t="s">
        <f>B2319&amp;"/"&amp;A2319&amp;"/"&amp;C2319</f>
        <v>2490</v>
      </c>
      <c r="E2319">
        <v>0.58333333333333337</v>
      </c>
      <c r="F2319" t="s">
        <f>I2319&amp;" "&amp;J2319&amp;" "&amp;K2319&amp;" "&amp;L2319&amp;" "&amp;M2319&amp;" "&amp;N2319</f>
        <v>2432</v>
      </c>
      <c r="G2319" t="s">
        <f>TEXT(D2319,"mmm dd")</f>
        <v>1481</v>
      </c>
      <c r="I2319" t="s">
        <v>1606</v>
      </c>
      <c r="J2319" t="s">
        <v>493</v>
      </c>
      <c r="K2319" t="s">
        <v>2362</v>
      </c>
    </row>
    <row r="2320" spans="1:23">
      <c r="A2320">
        <v>20</v>
      </c>
      <c r="B2320">
        <v>1</v>
      </c>
      <c r="C2320">
        <v>2016</v>
      </c>
      <c r="D2320" s="3" t="str">
        <f>B2320&amp;"/"&amp;A2320&amp;"/"&amp;C2320</f>
        <v>1/20/2016</v>
      </c>
      <c r="E2320">
        <v>0.70833333333333337</v>
      </c>
      <c r="F2320" t="s">
        <f>I2320&amp;" "&amp;J2320&amp;" "&amp;K2320&amp;" "&amp;L2320&amp;" "&amp;M2320&amp;" "&amp;N2320</f>
        <v>2429</v>
      </c>
      <c r="G2320" t="s">
        <f>TEXT(D2320,"mmm dd")</f>
        <v>1482</v>
      </c>
      <c r="I2320" t="s">
        <v>1606</v>
      </c>
      <c r="J2320" t="s">
        <v>493</v>
      </c>
      <c r="K2320" t="s">
        <v>2430</v>
      </c>
    </row>
    <row r="2321" spans="1:23">
      <c r="A2321">
        <v>27</v>
      </c>
      <c r="B2321">
        <v>1</v>
      </c>
      <c r="C2321">
        <v>2016</v>
      </c>
      <c r="D2321" s="3" t="str">
        <f>B2321&amp;"/"&amp;A2321&amp;"/"&amp;C2321</f>
        <v>1/27/2016</v>
      </c>
      <c r="E2321">
        <v>0.125</v>
      </c>
      <c r="F2321" t="str">
        <f>I2321&amp;" "&amp;J2321&amp;" "&amp;K2321&amp;" "&amp;L2321&amp;" "&amp;M2321&amp;" "&amp;N2321</f>
        <v>Common Book Presentation   </v>
      </c>
      <c r="G2321" t="s">
        <f>TEXT(D2321,"mmm dd")</f>
        <v>1696</v>
      </c>
      <c r="I2321" t="s">
        <v>2491</v>
      </c>
      <c r="J2321" t="s">
        <v>2492</v>
      </c>
      <c r="K2321" t="s">
        <v>2246</v>
      </c>
    </row>
    <row r="2322" spans="1:23">
      <c r="A2322">
        <v>9</v>
      </c>
      <c r="B2322">
        <v>2</v>
      </c>
      <c r="C2322">
        <v>2016</v>
      </c>
      <c r="D2322" s="3" t="str">
        <f>B2322&amp;"/"&amp;A2322&amp;"/"&amp;C2322</f>
        <v>2/9/2016</v>
      </c>
      <c r="E2322">
        <v>0.79166666666666663</v>
      </c>
      <c r="F2322" t="str">
        <f>I2322&amp;" "&amp;J2322&amp;" "&amp;K2322&amp;" "&amp;L2322&amp;" "&amp;M2322&amp;" "&amp;N2322</f>
        <v>HMXP Prof Dev   </v>
      </c>
      <c r="G2322" t="s">
        <f>TEXT(D2322,"mmm dd")</f>
        <v>1504</v>
      </c>
      <c r="I2322" t="s">
        <v>2453</v>
      </c>
      <c r="J2322" t="inlineStr">
        <is>
          <t>Prof</t>
        </is>
      </c>
      <c r="K2322" t="inlineStr">
        <is>
          <t>Dev</t>
        </is>
      </c>
    </row>
    <row r="2323" spans="1:23">
      <c r="A2323">
        <v>10</v>
      </c>
      <c r="B2323">
        <v>2</v>
      </c>
      <c r="C2323">
        <v>2016</v>
      </c>
      <c r="D2323" s="3" t="str">
        <f>B2323&amp;"/"&amp;A2323&amp;"/"&amp;C2323</f>
        <v>2/10/2016</v>
      </c>
      <c r="E2323">
        <v>0.125</v>
      </c>
      <c r="F2323" t="str">
        <f>I2323&amp;" "&amp;J2323&amp;" "&amp;K2323&amp;" "&amp;L2323&amp;" "&amp;M2323&amp;" "&amp;N2323</f>
        <v>Islam lecture    </v>
      </c>
      <c r="G2323" t="s">
        <f>TEXT(D2323,"mmm dd")</f>
        <v>1190</v>
      </c>
      <c r="I2323" t="inlineStr">
        <is>
          <t>Islam</t>
        </is>
      </c>
      <c r="J2323" t="s">
        <v>1823</v>
      </c>
    </row>
    <row r="2324" spans="1:23">
      <c r="A2324">
        <v>11</v>
      </c>
      <c r="B2324">
        <v>2</v>
      </c>
      <c r="C2324">
        <v>2016</v>
      </c>
      <c r="D2324" s="3" t="str">
        <f>B2324&amp;"/"&amp;A2324&amp;"/"&amp;C2324</f>
        <v>2/11/2016</v>
      </c>
      <c r="E2324">
        <v>0.79166666666666663</v>
      </c>
      <c r="F2324" t="str">
        <f>I2324&amp;" "&amp;J2324&amp;" "&amp;K2324&amp;" "&amp;L2324&amp;" "&amp;M2324&amp;" "&amp;N2324</f>
        <v>Dylan 101 2   </v>
      </c>
      <c r="G2324" t="s">
        <f>TEXT(D2324,"mmm dd")</f>
        <v>1509</v>
      </c>
      <c r="I2324" t="s">
        <v>2493</v>
      </c>
      <c r="J2324">
        <v>101</v>
      </c>
      <c r="K2324">
        <v>2</v>
      </c>
    </row>
    <row r="2325" spans="1:23">
      <c r="A2325">
        <v>12</v>
      </c>
      <c r="B2325">
        <v>2</v>
      </c>
      <c r="C2325">
        <v>2016</v>
      </c>
      <c r="D2325" s="3" t="str">
        <f>B2325&amp;"/"&amp;A2325&amp;"/"&amp;C2325</f>
        <v>2/12/2016</v>
      </c>
      <c r="E2325">
        <v>0.875</v>
      </c>
      <c r="F2325" t="str">
        <f>I2325&amp;" "&amp;J2325&amp;" "&amp;K2325&amp;" "&amp;L2325&amp;" "&amp;M2325&amp;" "&amp;N2325</f>
        <v>Adam Glover (HMXP)   </v>
      </c>
      <c r="G2325" t="s">
        <f>TEXT(D2325,"mmm dd")</f>
        <v>1194</v>
      </c>
      <c r="I2325" t="inlineStr">
        <is>
          <t>Adam</t>
        </is>
      </c>
      <c r="J2325" t="inlineStr">
        <is>
          <t>Glover</t>
        </is>
      </c>
      <c r="K2325" t="inlineStr">
        <is>
          <t>(HMXP)</t>
        </is>
      </c>
    </row>
    <row r="2326" spans="1:23">
      <c r="A2326">
        <v>13</v>
      </c>
      <c r="B2326">
        <v>2</v>
      </c>
      <c r="C2326">
        <v>2016</v>
      </c>
      <c r="D2326" s="3" t="str">
        <f>B2326&amp;"/"&amp;A2326&amp;"/"&amp;C2326</f>
        <v>2/13/2016</v>
      </c>
      <c r="E2326">
        <v>0.9375</v>
      </c>
      <c r="F2326" t="str">
        <f>I2326&amp;" "&amp;J2326&amp;" "&amp;K2326&amp;" "&amp;L2326&amp;" "&amp;M2326&amp;" "&amp;N2326</f>
        <v>Bertha hair cut   </v>
      </c>
      <c r="G2326" t="s">
        <f>TEXT(D2326,"mmm dd")</f>
        <v>1198</v>
      </c>
      <c r="I2326" t="s">
        <v>2494</v>
      </c>
      <c r="J2326" t="s">
        <v>1802</v>
      </c>
      <c r="K2326" t="s">
        <v>2348</v>
      </c>
    </row>
    <row r="2327" spans="1:23">
      <c r="A2327">
        <v>14</v>
      </c>
      <c r="B2327">
        <v>2</v>
      </c>
      <c r="C2327">
        <v>2016</v>
      </c>
      <c r="D2327" s="3" t="str">
        <f>B2327&amp;"/"&amp;A2327&amp;"/"&amp;C2327</f>
        <v>2/14/2016</v>
      </c>
      <c r="E2327">
        <v>0.66666666666666663</v>
      </c>
      <c r="F2327" t="str">
        <f>I2327&amp;" "&amp;J2327&amp;" "&amp;K2327&amp;" "&amp;L2327&amp;" "&amp;M2327&amp;" "&amp;N2327</f>
        <v>St. Paul's Supply   </v>
      </c>
      <c r="G2327" t="s">
        <f>TEXT(D2327,"mmm dd")</f>
        <v>2180</v>
      </c>
      <c r="I2327" t="s">
        <v>218</v>
      </c>
      <c r="J2327" t="s">
        <v>2471</v>
      </c>
      <c r="K2327" t="s">
        <v>2468</v>
      </c>
    </row>
    <row r="2328" spans="1:23">
      <c r="A2328">
        <v>16</v>
      </c>
      <c r="B2328">
        <v>2</v>
      </c>
      <c r="C2328">
        <v>2016</v>
      </c>
      <c r="D2328" s="3" t="str">
        <f>B2328&amp;"/"&amp;A2328&amp;"/"&amp;C2328</f>
        <v>2/16/2016</v>
      </c>
      <c r="E2328">
        <v>0.79166666666666663</v>
      </c>
      <c r="F2328" t="str">
        <f>I2328&amp;" "&amp;J2328&amp;" "&amp;K2328&amp;" "&amp;L2328&amp;" "&amp;M2328&amp;" "&amp;N2328</f>
        <v>Bryce for makeup exam  </v>
      </c>
      <c r="G2328" t="s">
        <f>TEXT(D2328,"mmm dd")</f>
        <v>1201</v>
      </c>
      <c r="I2328" t="inlineStr">
        <is>
          <t>Bryce</t>
        </is>
      </c>
      <c r="J2328" t="s">
        <v>439</v>
      </c>
      <c r="K2328" t="s">
        <v>2495</v>
      </c>
      <c r="L2328" t="s">
        <v>2290</v>
      </c>
    </row>
    <row r="2329" spans="1:23">
      <c r="A2329">
        <v>22</v>
      </c>
      <c r="B2329">
        <v>2</v>
      </c>
      <c r="C2329">
        <v>2016</v>
      </c>
      <c r="D2329" s="3" t="str">
        <f>B2329&amp;"/"&amp;A2329&amp;"/"&amp;C2329</f>
        <v>2/22/2016</v>
      </c>
      <c r="E2329">
        <v>0.91666666666666663</v>
      </c>
      <c r="F2329" t="str">
        <f>I2329&amp;" "&amp;J2329&amp;" "&amp;K2329&amp;" "&amp;L2329&amp;" "&amp;M2329&amp;" "&amp;N2329</f>
        <v>Ben Cunn. to complete exam (or</v>
      </c>
      <c r="G2329" t="s">
        <f>TEXT(D2329,"mmm dd")</f>
        <v>1213</v>
      </c>
      <c r="I2329" t="s">
        <v>2496</v>
      </c>
      <c r="J2329" t="inlineStr">
        <is>
          <t>Cunn.</t>
        </is>
      </c>
      <c r="K2329" t="s">
        <v>449</v>
      </c>
      <c r="L2329" t="inlineStr">
        <is>
          <t>complete</t>
        </is>
      </c>
      <c r="M2329" t="s">
        <v>2290</v>
      </c>
      <c r="N2329" t="inlineStr">
        <is>
          <t>(or</t>
        </is>
      </c>
    </row>
    <row r="2330" spans="1:23">
      <c r="A2330">
        <v>23</v>
      </c>
      <c r="B2330">
        <v>2</v>
      </c>
      <c r="C2330">
        <v>2016</v>
      </c>
      <c r="D2330" s="3" t="s">
        <f>B2330&amp;"/"&amp;A2330&amp;"/"&amp;C2330</f>
        <v>2497</v>
      </c>
      <c r="E2330">
        <v>0.54166666666666663</v>
      </c>
      <c r="F2330" t="s">
        <f>I2330&amp;" "&amp;J2330&amp;" "&amp;K2330&amp;" "&amp;L2330&amp;" "&amp;M2330&amp;" "&amp;N2330</f>
        <v>2432</v>
      </c>
      <c r="G2330" t="s">
        <f>TEXT(D2330,"mmm dd")</f>
        <v>1532</v>
      </c>
      <c r="I2330" t="s">
        <v>1606</v>
      </c>
      <c r="J2330" t="s">
        <v>493</v>
      </c>
      <c r="K2330" t="s">
        <v>2362</v>
      </c>
    </row>
    <row r="2331" spans="1:23">
      <c r="A2331">
        <v>23</v>
      </c>
      <c r="B2331">
        <v>2</v>
      </c>
      <c r="C2331">
        <v>2016</v>
      </c>
      <c r="D2331" s="3" t="s">
        <f>B2331&amp;"/"&amp;A2331&amp;"/"&amp;C2331</f>
        <v>2497</v>
      </c>
      <c r="E2331">
        <v>0.5</v>
      </c>
      <c r="F2331" t="s">
        <f>I2331&amp;" "&amp;J2331&amp;" "&amp;K2331&amp;" "&amp;L2331&amp;" "&amp;M2331&amp;" "&amp;N2331</f>
        <v>2424</v>
      </c>
      <c r="G2331" t="s">
        <f>TEXT(D2331,"mmm dd")</f>
        <v>1532</v>
      </c>
      <c r="I2331" t="s">
        <v>2425</v>
      </c>
      <c r="J2331" t="s">
        <v>110</v>
      </c>
      <c r="K2331" t="s">
        <v>2426</v>
      </c>
    </row>
    <row r="2332" spans="1:23">
      <c r="A2332">
        <v>24</v>
      </c>
      <c r="B2332">
        <v>2</v>
      </c>
      <c r="C2332">
        <v>2016</v>
      </c>
      <c r="D2332" s="3" t="str">
        <f>B2332&amp;"/"&amp;A2332&amp;"/"&amp;C2332</f>
        <v>2/24/2016</v>
      </c>
      <c r="E2332">
        <v>0.95833333333333337</v>
      </c>
      <c r="F2332" t="str">
        <f>I2332&amp;" "&amp;J2332&amp;" "&amp;K2332&amp;" "&amp;L2332&amp;" "&amp;M2332&amp;" "&amp;N2332</f>
        <v>Post 101 presentations   </v>
      </c>
      <c r="G2332" t="s">
        <f>TEXT(D2332,"mmm dd")</f>
        <v>2498</v>
      </c>
      <c r="I2332" t="s">
        <v>2499</v>
      </c>
      <c r="J2332">
        <v>101</v>
      </c>
      <c r="K2332" t="inlineStr">
        <is>
          <t>presentations</t>
        </is>
      </c>
    </row>
    <row r="2333" spans="1:23">
      <c r="A2333">
        <v>25</v>
      </c>
      <c r="B2333">
        <v>2</v>
      </c>
      <c r="C2333">
        <v>2016</v>
      </c>
      <c r="D2333" s="3" t="s">
        <f>B2333&amp;"/"&amp;A2333&amp;"/"&amp;C2333</f>
        <v>2500</v>
      </c>
      <c r="E2333">
        <v>0.79166666666666663</v>
      </c>
      <c r="F2333" t="str">
        <f>I2333&amp;" "&amp;J2333&amp;" "&amp;K2333&amp;" "&amp;L2333&amp;" "&amp;M2333&amp;" "&amp;N2333</f>
        <v>HMXP on genes influence  </v>
      </c>
      <c r="G2333" t="s">
        <f>TEXT(D2333,"mmm dd")</f>
        <v>1216</v>
      </c>
      <c r="I2333" t="s">
        <v>2453</v>
      </c>
      <c r="J2333" t="s">
        <v>1449</v>
      </c>
      <c r="K2333" t="s">
        <v>2501</v>
      </c>
      <c r="L2333" t="s">
        <v>2502</v>
      </c>
    </row>
    <row r="2334" spans="1:23">
      <c r="A2334">
        <v>25</v>
      </c>
      <c r="B2334">
        <v>2</v>
      </c>
      <c r="C2334">
        <v>2016</v>
      </c>
      <c r="D2334" s="3" t="s">
        <f>B2334&amp;"/"&amp;A2334&amp;"/"&amp;C2334</f>
        <v>2500</v>
      </c>
      <c r="E2334">
        <v>0.91666666666666663</v>
      </c>
      <c r="F2334" t="str">
        <f>I2334&amp;" "&amp;J2334&amp;" "&amp;K2334&amp;" "&amp;L2334&amp;" "&amp;M2334&amp;" "&amp;N2334</f>
        <v>HMXP address on genes influence </v>
      </c>
      <c r="G2334" t="s">
        <f>TEXT(D2334,"mmm dd")</f>
        <v>1216</v>
      </c>
      <c r="I2334" t="s">
        <v>2453</v>
      </c>
      <c r="J2334" t="inlineStr">
        <is>
          <t>address</t>
        </is>
      </c>
      <c r="K2334" t="s">
        <v>1449</v>
      </c>
      <c r="L2334" t="s">
        <v>2501</v>
      </c>
      <c r="M2334" t="s">
        <v>2502</v>
      </c>
    </row>
    <row r="2335" spans="1:23">
      <c r="A2335">
        <v>29</v>
      </c>
      <c r="B2335">
        <v>2</v>
      </c>
      <c r="C2335">
        <v>2016</v>
      </c>
      <c r="D2335" s="3" t="str">
        <f>B2335&amp;"/"&amp;A2335&amp;"/"&amp;C2335</f>
        <v>2/29/2016</v>
      </c>
      <c r="E2335">
        <v>0.97916666666666663</v>
      </c>
      <c r="F2335" t="str">
        <f>I2335&amp;" "&amp;J2335&amp;" "&amp;K2335&amp;" "&amp;L2335&amp;" "&amp;M2335&amp;" "&amp;N2335</f>
        <v>Coffee with Janice   </v>
      </c>
      <c r="G2335" t="s">
        <f>TEXT(D2335,"mmm dd")</f>
        <v>1860</v>
      </c>
      <c r="I2335" t="inlineStr">
        <is>
          <t>Coffee</t>
        </is>
      </c>
      <c r="J2335" t="s">
        <v>755</v>
      </c>
      <c r="K2335" t="s">
        <v>2503</v>
      </c>
    </row>
    <row r="2336" spans="1:23">
      <c r="A2336">
        <v>1</v>
      </c>
      <c r="B2336">
        <v>3</v>
      </c>
      <c r="C2336">
        <v>2016</v>
      </c>
      <c r="D2336" s="3" t="s">
        <f>B2336&amp;"/"&amp;A2336&amp;"/"&amp;C2336</f>
        <v>2504</v>
      </c>
      <c r="E2336">
        <v>0.79166666666666663</v>
      </c>
      <c r="F2336" t="str">
        <f>I2336&amp;" "&amp;J2336&amp;" "&amp;K2336&amp;" "&amp;L2336&amp;" "&amp;M2336&amp;" "&amp;N2336</f>
        <v>Meagan Cathy    </v>
      </c>
      <c r="G2336" t="s">
        <f>TEXT(D2336,"mmm dd")</f>
        <v>2183</v>
      </c>
      <c r="I2336" t="inlineStr">
        <is>
          <t>Meagan</t>
        </is>
      </c>
      <c r="J2336" t="s">
        <v>1779</v>
      </c>
    </row>
    <row r="2337" spans="1:23">
      <c r="A2337">
        <v>1</v>
      </c>
      <c r="B2337">
        <v>3</v>
      </c>
      <c r="C2337">
        <v>2016</v>
      </c>
      <c r="D2337" s="3" t="s">
        <f>B2337&amp;"/"&amp;A2337&amp;"/"&amp;C2337</f>
        <v>2504</v>
      </c>
      <c r="E2337">
        <v>0.79166666666666663</v>
      </c>
      <c r="F2337" t="str">
        <f>I2337&amp;" "&amp;J2337&amp;" "&amp;K2337&amp;" "&amp;L2337&amp;" "&amp;M2337&amp;" "&amp;N2337</f>
        <v>Jamalica Cathcart    </v>
      </c>
      <c r="G2337" t="s">
        <f>TEXT(D2337,"mmm dd")</f>
        <v>2183</v>
      </c>
      <c r="I2337" t="inlineStr">
        <is>
          <t>Jamalica</t>
        </is>
      </c>
      <c r="J2337" t="inlineStr">
        <is>
          <t>Cathcart</t>
        </is>
      </c>
    </row>
    <row r="2338" spans="1:23">
      <c r="A2338">
        <v>5</v>
      </c>
      <c r="B2338">
        <v>3</v>
      </c>
      <c r="C2338">
        <v>2016</v>
      </c>
      <c r="D2338" s="3" t="s">
        <f>B2338&amp;"/"&amp;A2338&amp;"/"&amp;C2338</f>
        <v>2505</v>
      </c>
      <c r="E2338">
        <v>1</v>
      </c>
      <c r="F2338" t="str">
        <f>I2338&amp;" "&amp;J2338&amp;" "&amp;K2338&amp;" "&amp;L2338&amp;" "&amp;M2338&amp;" "&amp;N2338</f>
        <v>Neighborhood meeting    </v>
      </c>
      <c r="G2338" t="s">
        <f>TEXT(D2338,"mmm dd")</f>
        <v>1235</v>
      </c>
      <c r="I2338" t="s">
        <v>102</v>
      </c>
      <c r="J2338" t="s">
        <v>842</v>
      </c>
    </row>
    <row r="2339" spans="1:23">
      <c r="A2339">
        <v>5</v>
      </c>
      <c r="B2339">
        <v>3</v>
      </c>
      <c r="C2339">
        <v>2016</v>
      </c>
      <c r="D2339" s="3" t="s">
        <f>B2339&amp;"/"&amp;A2339&amp;"/"&amp;C2339</f>
        <v>2505</v>
      </c>
      <c r="E2339">
        <v>0.83333333333333337</v>
      </c>
      <c r="F2339" t="str">
        <f>I2339&amp;" "&amp;J2339&amp;" "&amp;K2339&amp;" "&amp;L2339&amp;" "&amp;M2339&amp;" "&amp;N2339</f>
        <v>Publix open house   </v>
      </c>
      <c r="G2339" t="s">
        <f>TEXT(D2339,"mmm dd")</f>
        <v>1235</v>
      </c>
      <c r="I2339" t="s">
        <v>2506</v>
      </c>
      <c r="J2339" t="s">
        <v>2235</v>
      </c>
      <c r="K2339" t="s">
        <v>726</v>
      </c>
    </row>
    <row r="2340" spans="1:23">
      <c r="A2340">
        <v>12</v>
      </c>
      <c r="B2340">
        <v>3</v>
      </c>
      <c r="C2340">
        <v>2016</v>
      </c>
      <c r="D2340" s="3" t="s">
        <f>B2340&amp;"/"&amp;A2340&amp;"/"&amp;C2340</f>
        <v>2507</v>
      </c>
      <c r="E2340">
        <v>0.70833333333333337</v>
      </c>
      <c r="F2340" t="str">
        <f>I2340&amp;" "&amp;J2340&amp;" "&amp;K2340&amp;" "&amp;L2340&amp;" "&amp;M2340&amp;" "&amp;N2340</f>
        <v>Call Bertha haircut   </v>
      </c>
      <c r="G2340" t="s">
        <f>TEXT(D2340,"mmm dd")</f>
        <v>1244</v>
      </c>
      <c r="I2340" t="s">
        <v>1028</v>
      </c>
      <c r="J2340" t="s">
        <v>2494</v>
      </c>
      <c r="K2340" t="s">
        <v>1625</v>
      </c>
    </row>
    <row r="2341" spans="1:23">
      <c r="A2341">
        <v>12</v>
      </c>
      <c r="B2341">
        <v>3</v>
      </c>
      <c r="C2341">
        <v>2016</v>
      </c>
      <c r="D2341" s="3" t="s">
        <f>B2341&amp;"/"&amp;A2341&amp;"/"&amp;C2341</f>
        <v>2507</v>
      </c>
      <c r="E2341">
        <v>0.97916666666666663</v>
      </c>
      <c r="F2341" t="s">
        <f>I2341&amp;" "&amp;J2341&amp;" "&amp;K2341&amp;" "&amp;L2341&amp;" "&amp;M2341&amp;" "&amp;N2341</f>
        <v>2384</v>
      </c>
      <c r="G2341" t="s">
        <f>TEXT(D2341,"mmm dd")</f>
        <v>1244</v>
      </c>
      <c r="I2341" t="s">
        <v>2375</v>
      </c>
    </row>
    <row r="2342" spans="1:23">
      <c r="A2342">
        <v>22</v>
      </c>
      <c r="B2342">
        <v>3</v>
      </c>
      <c r="C2342">
        <v>2016</v>
      </c>
      <c r="D2342" s="3" t="s">
        <f>B2342&amp;"/"&amp;A2342&amp;"/"&amp;C2342</f>
        <v>2508</v>
      </c>
      <c r="E2342">
        <v>0.61458333333333337</v>
      </c>
      <c r="F2342" t="str">
        <f>I2342&amp;" "&amp;J2342&amp;" "&amp;K2342&amp;" "&amp;L2342&amp;" "&amp;M2342&amp;" "&amp;N2342</f>
        <v>Carolina periodontist    </v>
      </c>
      <c r="G2342" t="s">
        <f>TEXT(D2342,"mmm dd")</f>
        <v>1886</v>
      </c>
      <c r="I2342" t="s">
        <v>2509</v>
      </c>
      <c r="J2342" t="s">
        <v>2510</v>
      </c>
    </row>
    <row r="2343" spans="1:23">
      <c r="A2343">
        <v>22</v>
      </c>
      <c r="B2343">
        <v>3</v>
      </c>
      <c r="C2343">
        <v>2016</v>
      </c>
      <c r="D2343" s="3" t="s">
        <f>B2343&amp;"/"&amp;A2343&amp;"/"&amp;C2343</f>
        <v>2508</v>
      </c>
      <c r="E2343">
        <v>0.5</v>
      </c>
      <c r="F2343" t="s">
        <f>I2343&amp;" "&amp;J2343&amp;" "&amp;K2343&amp;" "&amp;L2343&amp;" "&amp;M2343&amp;" "&amp;N2343</f>
        <v>2424</v>
      </c>
      <c r="G2343" t="s">
        <f>TEXT(D2343,"mmm dd")</f>
        <v>1886</v>
      </c>
      <c r="I2343" t="s">
        <v>2425</v>
      </c>
      <c r="J2343" t="s">
        <v>110</v>
      </c>
      <c r="K2343" t="s">
        <v>2426</v>
      </c>
    </row>
    <row r="2344" spans="1:23">
      <c r="A2344">
        <v>25</v>
      </c>
      <c r="B2344">
        <v>3</v>
      </c>
      <c r="C2344">
        <v>2016</v>
      </c>
      <c r="D2344" s="3" t="str">
        <f>B2344&amp;"/"&amp;A2344&amp;"/"&amp;C2344</f>
        <v>3/25/2016</v>
      </c>
      <c r="E2344">
        <v>0.66666666666666663</v>
      </c>
      <c r="F2344" t="str">
        <f>I2344&amp;" "&amp;J2344&amp;" "&amp;K2344&amp;" "&amp;L2344&amp;" "&amp;M2344&amp;" "&amp;N2344</f>
        <v>Exam for    </v>
      </c>
      <c r="G2344" t="s">
        <f>TEXT(D2344,"mmm dd")</f>
        <v>1559</v>
      </c>
      <c r="I2344" t="s">
        <v>2313</v>
      </c>
      <c r="J2344" t="s">
        <v>439</v>
      </c>
    </row>
    <row r="2345" spans="1:23">
      <c r="A2345">
        <v>26</v>
      </c>
      <c r="B2345">
        <v>3</v>
      </c>
      <c r="C2345">
        <v>2016</v>
      </c>
      <c r="D2345" s="3" t="str">
        <f>B2345&amp;"/"&amp;A2345&amp;"/"&amp;C2345</f>
        <v>3/26/2016</v>
      </c>
      <c r="E2345">
        <v>1.0833333333333333</v>
      </c>
      <c r="F2345" t="str">
        <f>I2345&amp;" "&amp;J2345&amp;" "&amp;K2345&amp;" "&amp;L2345&amp;" "&amp;M2345&amp;" "&amp;N2345</f>
        <v>Preach @ Easter Vigil  </v>
      </c>
      <c r="G2345" t="s">
        <f>TEXT(D2345,"mmm dd")</f>
        <v>1560</v>
      </c>
      <c r="I2345" t="s">
        <v>2441</v>
      </c>
      <c r="J2345" t="s">
        <v>48</v>
      </c>
      <c r="K2345" t="s">
        <v>1568</v>
      </c>
      <c r="L2345" t="s">
        <v>2511</v>
      </c>
    </row>
    <row r="2346" spans="1:23">
      <c r="A2346">
        <v>29</v>
      </c>
      <c r="B2346">
        <v>3</v>
      </c>
      <c r="C2346">
        <v>2016</v>
      </c>
      <c r="D2346" s="3" t="str">
        <f>B2346&amp;"/"&amp;A2346&amp;"/"&amp;C2346</f>
        <v>3/29/2016</v>
      </c>
      <c r="E2346">
        <v>0.9375</v>
      </c>
      <c r="F2346" t="str">
        <f>I2346&amp;" "&amp;J2346&amp;" "&amp;K2346&amp;" "&amp;L2346&amp;" "&amp;M2346&amp;" "&amp;N2346</f>
        <v>Katarina Observation in HMXP  </v>
      </c>
      <c r="G2346" t="s">
        <f>TEXT(D2346,"mmm dd")</f>
        <v>1897</v>
      </c>
      <c r="I2346" t="inlineStr">
        <is>
          <t>Katarina</t>
        </is>
      </c>
      <c r="J2346" t="inlineStr">
        <is>
          <t>Observation</t>
        </is>
      </c>
      <c r="K2346" t="s">
        <v>372</v>
      </c>
      <c r="L2346" t="s">
        <v>2453</v>
      </c>
    </row>
    <row r="2347" spans="1:23">
      <c r="A2347">
        <v>1</v>
      </c>
      <c r="B2347">
        <v>4</v>
      </c>
      <c r="C2347">
        <v>2016</v>
      </c>
      <c r="D2347" s="3" t="str">
        <f>B2347&amp;"/"&amp;A2347&amp;"/"&amp;C2347</f>
        <v>4/1/2016</v>
      </c>
      <c r="E2347">
        <v>0.70833333333333337</v>
      </c>
      <c r="F2347" t="str">
        <f>I2347&amp;" "&amp;J2347&amp;" "&amp;K2347&amp;" "&amp;L2347&amp;" "&amp;M2347&amp;" "&amp;N2347</f>
        <v>Chacon re. Judaism &amp; Evil (10ish)</v>
      </c>
      <c r="G2347" t="s">
        <f>TEXT(D2347,"mmm dd")</f>
        <v>43</v>
      </c>
      <c r="I2347" t="s">
        <v>2512</v>
      </c>
      <c r="J2347" t="s">
        <v>633</v>
      </c>
      <c r="K2347" t="inlineStr">
        <is>
          <t>Judaism</t>
        </is>
      </c>
      <c r="L2347" t="s">
        <v>73</v>
      </c>
      <c r="M2347" t="inlineStr">
        <is>
          <t>Evil</t>
        </is>
      </c>
      <c r="N2347" t="inlineStr">
        <is>
          <t>(10ish)</t>
        </is>
      </c>
    </row>
    <row r="2348" spans="1:23">
      <c r="A2348">
        <v>4</v>
      </c>
      <c r="B2348">
        <v>4</v>
      </c>
      <c r="C2348">
        <v>2016</v>
      </c>
      <c r="D2348" s="3" t="str">
        <f>B2348&amp;"/"&amp;A2348&amp;"/"&amp;C2348</f>
        <v>4/4/2016</v>
      </c>
      <c r="E2348">
        <v>0.9375</v>
      </c>
      <c r="F2348" t="str">
        <f>I2348&amp;" "&amp;J2348&amp;" "&amp;K2348&amp;" "&amp;L2348&amp;" "&amp;M2348&amp;" "&amp;N2348</f>
        <v>Relg Phil meeting   </v>
      </c>
      <c r="G2348" t="s">
        <f>TEXT(D2348,"mmm dd")</f>
        <v>91</v>
      </c>
      <c r="I2348" t="s">
        <v>2450</v>
      </c>
      <c r="J2348" t="s">
        <v>2335</v>
      </c>
      <c r="K2348" t="s">
        <v>842</v>
      </c>
    </row>
    <row r="2349" spans="1:23">
      <c r="A2349">
        <v>5</v>
      </c>
      <c r="B2349">
        <v>4</v>
      </c>
      <c r="C2349">
        <v>2016</v>
      </c>
      <c r="D2349" s="3" t="str">
        <f>B2349&amp;"/"&amp;A2349&amp;"/"&amp;C2349</f>
        <v>4/5/2016</v>
      </c>
      <c r="E2349">
        <v>0.66666666666666663</v>
      </c>
      <c r="F2349" t="str">
        <f>I2349&amp;" "&amp;J2349&amp;" "&amp;K2349&amp;" "&amp;L2349&amp;" "&amp;M2349&amp;" "&amp;N2349</f>
        <v>Deep cleaning Matthews   </v>
      </c>
      <c r="G2349" t="s">
        <f>TEXT(D2349,"mmm dd")</f>
        <v>108</v>
      </c>
      <c r="I2349" t="inlineStr">
        <is>
          <t>Deep</t>
        </is>
      </c>
      <c r="J2349" t="s">
        <v>2035</v>
      </c>
      <c r="K2349" t="s">
        <v>2513</v>
      </c>
    </row>
    <row r="2350" spans="1:23">
      <c r="A2350">
        <v>6</v>
      </c>
      <c r="B2350">
        <v>4</v>
      </c>
      <c r="C2350">
        <v>2016</v>
      </c>
      <c r="D2350" s="3" t="s">
        <f>B2350&amp;"/"&amp;A2350&amp;"/"&amp;C2350</f>
        <v>2514</v>
      </c>
      <c r="E2350">
        <v>0.79166666666666663</v>
      </c>
      <c r="F2350" t="str">
        <f>I2350&amp;" "&amp;J2350&amp;" "&amp;K2350&amp;" "&amp;L2350&amp;" "&amp;M2350&amp;" "&amp;N2350</f>
        <v>Clericus with Bp. Waldo  </v>
      </c>
      <c r="G2350" t="s">
        <f>TEXT(D2350,"mmm dd")</f>
        <v>118</v>
      </c>
      <c r="I2350" t="s">
        <v>1409</v>
      </c>
      <c r="J2350" t="s">
        <v>755</v>
      </c>
      <c r="K2350" t="s">
        <v>2515</v>
      </c>
      <c r="L2350" t="s">
        <v>2516</v>
      </c>
    </row>
    <row r="2351" spans="1:23">
      <c r="A2351">
        <v>6</v>
      </c>
      <c r="B2351">
        <v>4</v>
      </c>
      <c r="C2351">
        <v>2016</v>
      </c>
      <c r="D2351" s="3" t="s">
        <f>B2351&amp;"/"&amp;A2351&amp;"/"&amp;C2351</f>
        <v>2514</v>
      </c>
      <c r="E2351">
        <v>0.875</v>
      </c>
      <c r="F2351" t="str">
        <f>I2351&amp;" "&amp;J2351&amp;" "&amp;K2351&amp;" "&amp;L2351&amp;" "&amp;M2351&amp;" "&amp;N2351</f>
        <v>Ryan Kerr for 220 exam </v>
      </c>
      <c r="G2351" t="s">
        <f>TEXT(D2351,"mmm dd")</f>
        <v>118</v>
      </c>
      <c r="I2351" t="s">
        <v>1405</v>
      </c>
      <c r="J2351" t="inlineStr">
        <is>
          <t>Kerr</t>
        </is>
      </c>
      <c r="K2351" t="s">
        <v>439</v>
      </c>
      <c r="L2351">
        <v>220</v>
      </c>
      <c r="M2351" t="s">
        <v>2290</v>
      </c>
    </row>
    <row r="2352" spans="1:23">
      <c r="A2352">
        <v>7</v>
      </c>
      <c r="B2352">
        <v>4</v>
      </c>
      <c r="C2352">
        <v>2016</v>
      </c>
      <c r="D2352" s="3" t="str">
        <f>B2352&amp;"/"&amp;A2352&amp;"/"&amp;C2352</f>
        <v>4/7/2016</v>
      </c>
      <c r="E2352">
        <v>0.75</v>
      </c>
      <c r="F2352" t="str">
        <f>I2352&amp;" "&amp;J2352&amp;" "&amp;K2352&amp;" "&amp;L2352&amp;" "&amp;M2352&amp;" "&amp;N2352</f>
        <v>Dylan for exam   </v>
      </c>
      <c r="G2352" t="s">
        <f>TEXT(D2352,"mmm dd")</f>
        <v>125</v>
      </c>
      <c r="I2352" t="s">
        <v>2493</v>
      </c>
      <c r="J2352" t="s">
        <v>439</v>
      </c>
      <c r="K2352" t="s">
        <v>2290</v>
      </c>
    </row>
    <row r="2353" spans="1:23">
      <c r="A2353">
        <v>14</v>
      </c>
      <c r="B2353">
        <v>4</v>
      </c>
      <c r="C2353">
        <v>2016</v>
      </c>
      <c r="D2353" s="3" t="str">
        <f>B2353&amp;"/"&amp;A2353&amp;"/"&amp;C2353</f>
        <v>4/14/2016</v>
      </c>
      <c r="E2353">
        <v>0.14583333333333334</v>
      </c>
      <c r="F2353" t="str">
        <f>I2353&amp;" "&amp;J2353&amp;" "&amp;K2353&amp;" "&amp;L2353&amp;" "&amp;M2353&amp;" "&amp;N2353</f>
        <v>Keynote     </v>
      </c>
      <c r="G2353" t="s">
        <f>TEXT(D2353,"mmm dd")</f>
        <v>1576</v>
      </c>
      <c r="I2353" t="s">
        <v>1785</v>
      </c>
    </row>
    <row r="2354" spans="1:23">
      <c r="A2354">
        <v>22</v>
      </c>
      <c r="B2354">
        <v>4</v>
      </c>
      <c r="C2354">
        <v>2016</v>
      </c>
      <c r="D2354" s="3" t="s">
        <f>B2354&amp;"/"&amp;A2354&amp;"/"&amp;C2354</f>
        <v>2517</v>
      </c>
      <c r="E2354" t="s">
        <v>42</v>
      </c>
      <c r="F2354" t="str">
        <f>I2354&amp;" "&amp;J2354&amp;" "&amp;K2354&amp;" "&amp;L2354&amp;" "&amp;M2354&amp;" "&amp;N2354</f>
        <v>Passover begins    </v>
      </c>
      <c r="G2354" t="s">
        <f>TEXT(D2354,"mmm dd")</f>
        <v>215</v>
      </c>
      <c r="I2354" t="s">
        <v>2518</v>
      </c>
      <c r="J2354" t="s">
        <v>1600</v>
      </c>
    </row>
    <row r="2355" spans="1:23">
      <c r="A2355">
        <v>22</v>
      </c>
      <c r="B2355">
        <v>4</v>
      </c>
      <c r="C2355">
        <v>2016</v>
      </c>
      <c r="D2355" s="3" t="s">
        <f>B2355&amp;"/"&amp;A2355&amp;"/"&amp;C2355</f>
        <v>2517</v>
      </c>
      <c r="E2355">
        <v>0.70833333333333337</v>
      </c>
      <c r="F2355" t="str">
        <f>I2355&amp;" "&amp;J2355&amp;" "&amp;K2355&amp;" "&amp;L2355&amp;" "&amp;M2355&amp;" "&amp;N2355</f>
        <v>Meet Parker re letter  </v>
      </c>
      <c r="G2355" t="s">
        <f>TEXT(D2355,"mmm dd")</f>
        <v>215</v>
      </c>
      <c r="I2355" t="s">
        <v>300</v>
      </c>
      <c r="J2355" t="s">
        <v>2448</v>
      </c>
      <c r="K2355" t="s">
        <v>594</v>
      </c>
      <c r="L2355" t="s">
        <v>1111</v>
      </c>
    </row>
    <row r="2356" spans="1:23">
      <c r="A2356">
        <v>23</v>
      </c>
      <c r="B2356">
        <v>4</v>
      </c>
      <c r="C2356">
        <v>2016</v>
      </c>
      <c r="D2356" s="3" t="str">
        <f>B2356&amp;"/"&amp;A2356&amp;"/"&amp;C2356</f>
        <v>4/23/2016</v>
      </c>
      <c r="E2356">
        <v>0.89583333333333337</v>
      </c>
      <c r="F2356" t="str">
        <f>I2356&amp;" "&amp;J2356&amp;" "&amp;K2356&amp;" "&amp;L2356&amp;" "&amp;M2356&amp;" "&amp;N2356</f>
        <v>His Hers haircut   </v>
      </c>
      <c r="G2356" t="s">
        <f>TEXT(D2356,"mmm dd")</f>
        <v>221</v>
      </c>
      <c r="I2356" t="s">
        <v>2519</v>
      </c>
      <c r="J2356" t="s">
        <v>2520</v>
      </c>
      <c r="K2356" t="s">
        <v>1625</v>
      </c>
    </row>
    <row r="2357" spans="1:23">
      <c r="A2357">
        <v>26</v>
      </c>
      <c r="B2357">
        <v>4</v>
      </c>
      <c r="C2357">
        <v>2016</v>
      </c>
      <c r="D2357" s="3" t="str">
        <f>B2357&amp;"/"&amp;A2357&amp;"/"&amp;C2357</f>
        <v>4/26/2016</v>
      </c>
      <c r="E2357">
        <v>0.66666666666666663</v>
      </c>
      <c r="F2357" t="str">
        <f>I2357&amp;" "&amp;J2357&amp;" "&amp;K2357&amp;" "&amp;L2357&amp;" "&amp;M2357&amp;" "&amp;N2357</f>
        <v>clergy group    </v>
      </c>
      <c r="G2357" t="s">
        <f>TEXT(D2357,"mmm dd")</f>
        <v>232</v>
      </c>
      <c r="I2357" t="s">
        <v>2426</v>
      </c>
      <c r="J2357" t="s">
        <v>110</v>
      </c>
    </row>
    <row r="2358" spans="1:23">
      <c r="A2358">
        <v>27</v>
      </c>
      <c r="B2358">
        <v>4</v>
      </c>
      <c r="C2358">
        <v>2016</v>
      </c>
      <c r="D2358" s="3" t="str">
        <f>B2358&amp;"/"&amp;A2358&amp;"/"&amp;C2358</f>
        <v>4/27/2016</v>
      </c>
      <c r="E2358">
        <v>0.77083333333333337</v>
      </c>
      <c r="F2358" t="str">
        <f>I2358&amp;" "&amp;J2358&amp;" "&amp;K2358&amp;" "&amp;L2358&amp;" "&amp;M2358&amp;" "&amp;N2358</f>
        <v>RELG 101 2 Final  </v>
      </c>
      <c r="G2358" t="s">
        <f>TEXT(D2358,"mmm dd")</f>
        <v>234</v>
      </c>
      <c r="I2358" t="s">
        <v>2357</v>
      </c>
      <c r="J2358">
        <v>101</v>
      </c>
      <c r="K2358">
        <v>2</v>
      </c>
      <c r="L2358" t="s">
        <v>1763</v>
      </c>
    </row>
    <row r="2359" spans="1:23">
      <c r="A2359">
        <v>28</v>
      </c>
      <c r="B2359">
        <v>4</v>
      </c>
      <c r="C2359">
        <v>2016</v>
      </c>
      <c r="D2359" s="3" t="str">
        <f>B2359&amp;"/"&amp;A2359&amp;"/"&amp;C2359</f>
        <v>4/28/2016</v>
      </c>
      <c r="E2359">
        <v>0.77083333333333337</v>
      </c>
      <c r="F2359" t="str">
        <f>I2359&amp;" "&amp;J2359&amp;" "&amp;K2359&amp;" "&amp;L2359&amp;" "&amp;M2359&amp;" "&amp;N2359</f>
        <v>RELG 220 Final   </v>
      </c>
      <c r="G2359" t="s">
        <f>TEXT(D2359,"mmm dd")</f>
        <v>236</v>
      </c>
      <c r="I2359" t="s">
        <v>2357</v>
      </c>
      <c r="J2359">
        <v>220</v>
      </c>
      <c r="K2359" t="s">
        <v>1763</v>
      </c>
    </row>
    <row r="2360" spans="1:23">
      <c r="A2360">
        <v>29</v>
      </c>
      <c r="B2360">
        <v>4</v>
      </c>
      <c r="C2360">
        <v>2016</v>
      </c>
      <c r="D2360" s="3" t="str">
        <f>B2360&amp;"/"&amp;A2360&amp;"/"&amp;C2360</f>
        <v>4/29/2016</v>
      </c>
      <c r="E2360">
        <v>0.91666666666666663</v>
      </c>
      <c r="F2360" t="str">
        <f>I2360&amp;" "&amp;J2360&amp;" "&amp;K2360&amp;" "&amp;L2360&amp;" "&amp;M2360&amp;" "&amp;N2360</f>
        <v>HMXP Final    </v>
      </c>
      <c r="G2360" t="s">
        <f>TEXT(D2360,"mmm dd")</f>
        <v>239</v>
      </c>
      <c r="I2360" t="s">
        <v>2453</v>
      </c>
      <c r="J2360" t="s">
        <v>1763</v>
      </c>
    </row>
    <row r="2361" spans="1:23">
      <c r="A2361">
        <v>3</v>
      </c>
      <c r="B2361">
        <v>5</v>
      </c>
      <c r="C2361">
        <v>2016</v>
      </c>
      <c r="D2361" s="3" t="s">
        <f>B2361&amp;"/"&amp;A2361&amp;"/"&amp;C2361</f>
        <v>2521</v>
      </c>
      <c r="E2361">
        <v>0.70833333333333337</v>
      </c>
      <c r="F2361" t="str">
        <f>I2361&amp;" "&amp;J2361&amp;" "&amp;K2361&amp;" "&amp;L2361&amp;" "&amp;M2361&amp;" "&amp;N2361</f>
        <v>Meet Rich Chacon   </v>
      </c>
      <c r="G2361" t="s">
        <f>TEXT(D2361,"mmm dd")</f>
        <v>262</v>
      </c>
      <c r="I2361" t="s">
        <v>300</v>
      </c>
      <c r="J2361" t="inlineStr">
        <is>
          <t>Rich</t>
        </is>
      </c>
      <c r="K2361" t="s">
        <v>2512</v>
      </c>
    </row>
    <row r="2362" spans="1:23">
      <c r="A2362">
        <v>3</v>
      </c>
      <c r="B2362">
        <v>5</v>
      </c>
      <c r="C2362">
        <v>2016</v>
      </c>
      <c r="D2362" s="3" t="s">
        <f>B2362&amp;"/"&amp;A2362&amp;"/"&amp;C2362</f>
        <v>2521</v>
      </c>
      <c r="E2362">
        <v>0.77083333333333337</v>
      </c>
      <c r="F2362" t="str">
        <f>I2362&amp;" "&amp;J2362&amp;" "&amp;K2362&amp;" "&amp;L2362&amp;" "&amp;M2362&amp;" "&amp;N2362</f>
        <v>RELG 101 1 Final  </v>
      </c>
      <c r="G2362" t="s">
        <f>TEXT(D2362,"mmm dd")</f>
        <v>262</v>
      </c>
      <c r="I2362" t="s">
        <v>2357</v>
      </c>
      <c r="J2362">
        <v>101</v>
      </c>
      <c r="K2362">
        <v>1</v>
      </c>
      <c r="L2362" t="s">
        <v>1763</v>
      </c>
    </row>
    <row r="2363" spans="1:23">
      <c r="A2363">
        <v>12</v>
      </c>
      <c r="B2363">
        <v>5</v>
      </c>
      <c r="C2363">
        <v>2016</v>
      </c>
      <c r="D2363" s="3" t="str">
        <f>B2363&amp;"/"&amp;A2363&amp;"/"&amp;C2363</f>
        <v>5/12/2016</v>
      </c>
      <c r="E2363">
        <v>0.70833333333333337</v>
      </c>
      <c r="F2363" t="str">
        <f>I2363&amp;" "&amp;J2363&amp;" "&amp;K2363&amp;" "&amp;L2363&amp;" "&amp;M2363&amp;" "&amp;N2363</f>
        <v>Relg Dept meeting &amp; lunch </v>
      </c>
      <c r="G2363" t="s">
        <f>TEXT(D2363,"mmm dd")</f>
        <v>317</v>
      </c>
      <c r="I2363" t="s">
        <v>2450</v>
      </c>
      <c r="J2363" t="s">
        <v>867</v>
      </c>
      <c r="K2363" t="s">
        <v>842</v>
      </c>
      <c r="L2363" t="s">
        <v>73</v>
      </c>
      <c r="M2363" t="s">
        <v>440</v>
      </c>
    </row>
    <row r="2364" spans="1:23">
      <c r="A2364">
        <v>18</v>
      </c>
      <c r="B2364">
        <v>5</v>
      </c>
      <c r="C2364">
        <v>2016</v>
      </c>
      <c r="D2364" s="3" t="str">
        <f>B2364&amp;"/"&amp;A2364&amp;"/"&amp;C2364</f>
        <v>5/18/2016</v>
      </c>
      <c r="E2364" t="s">
        <v>42</v>
      </c>
      <c r="F2364" t="str">
        <f>I2364&amp;" "&amp;J2364&amp;" "&amp;K2364&amp;" "&amp;L2364&amp;" "&amp;M2364&amp;" "&amp;N2364</f>
        <v>Stay at Fairway Forest  </v>
      </c>
      <c r="G2364" t="s">
        <f>TEXT(D2364,"mmm dd")</f>
        <v>339</v>
      </c>
      <c r="I2364" t="s">
        <v>2398</v>
      </c>
      <c r="J2364" t="s">
        <v>53</v>
      </c>
      <c r="K2364" t="inlineStr">
        <is>
          <t>Fairway</t>
        </is>
      </c>
      <c r="L2364" t="inlineStr">
        <is>
          <t>Forest</t>
        </is>
      </c>
    </row>
    <row r="2365" spans="1:23">
      <c r="A2365">
        <v>23</v>
      </c>
      <c r="B2365">
        <v>5</v>
      </c>
      <c r="C2365">
        <v>2016</v>
      </c>
      <c r="D2365" s="3" t="s">
        <f>B2365&amp;"/"&amp;A2365&amp;"/"&amp;C2365</f>
        <v>2522</v>
      </c>
      <c r="E2365">
        <v>0.66666666666666663</v>
      </c>
      <c r="F2365" t="str">
        <f>I2365&amp;" "&amp;J2365&amp;" "&amp;K2365&amp;" "&amp;L2365&amp;" "&amp;M2365&amp;" "&amp;N2365</f>
        <v>Periodontist     </v>
      </c>
      <c r="G2365" t="s">
        <f>TEXT(D2365,"mmm dd")</f>
        <v>360</v>
      </c>
      <c r="I2365" t="s">
        <v>2523</v>
      </c>
    </row>
    <row r="2366" spans="1:23">
      <c r="A2366">
        <v>23</v>
      </c>
      <c r="B2366">
        <v>5</v>
      </c>
      <c r="C2366">
        <v>2016</v>
      </c>
      <c r="D2366" s="3" t="s">
        <f>B2366&amp;"/"&amp;A2366&amp;"/"&amp;C2366</f>
        <v>2522</v>
      </c>
      <c r="E2366" t="s">
        <v>42</v>
      </c>
      <c r="F2366" t="s">
        <f>I2366&amp;" "&amp;J2366&amp;" "&amp;K2366&amp;" "&amp;L2366&amp;" "&amp;M2366&amp;" "&amp;N2366</f>
        <v>2524</v>
      </c>
      <c r="G2366" t="s">
        <f>TEXT(D2366,"mmm dd")</f>
        <v>360</v>
      </c>
      <c r="I2366" t="inlineStr">
        <is>
          <t>T's</t>
        </is>
      </c>
      <c r="J2366" t="s">
        <v>2381</v>
      </c>
      <c r="K2366" t="s">
        <v>372</v>
      </c>
      <c r="L2366">
        <v>2015</v>
      </c>
    </row>
    <row r="2367" spans="1:23">
      <c r="A2367">
        <v>24</v>
      </c>
      <c r="B2367">
        <v>5</v>
      </c>
      <c r="C2367">
        <v>2016</v>
      </c>
      <c r="D2367" s="3" t="str">
        <f>B2367&amp;"/"&amp;A2367&amp;"/"&amp;C2367</f>
        <v>5/24/2016</v>
      </c>
      <c r="E2367">
        <v>0.66666666666666663</v>
      </c>
      <c r="F2367" t="s">
        <f>I2367&amp;" "&amp;J2367&amp;" "&amp;K2367&amp;" "&amp;L2367&amp;" "&amp;M2367&amp;" "&amp;N2367</f>
        <v>2525</v>
      </c>
      <c r="G2367" t="s">
        <f>TEXT(D2367,"mmm dd")</f>
        <v>367</v>
      </c>
      <c r="I2367" t="s">
        <v>46</v>
      </c>
      <c r="J2367" t="s">
        <v>110</v>
      </c>
    </row>
    <row r="2368" spans="1:23">
      <c r="A2368">
        <v>28</v>
      </c>
      <c r="B2368">
        <v>5</v>
      </c>
      <c r="C2368">
        <v>2016</v>
      </c>
      <c r="D2368" s="3" t="str">
        <f>B2368&amp;"/"&amp;A2368&amp;"/"&amp;C2368</f>
        <v>5/28/2016</v>
      </c>
      <c r="E2368">
        <v>0.875</v>
      </c>
      <c r="F2368" t="str">
        <f>I2368&amp;" "&amp;J2368&amp;" "&amp;K2368&amp;" "&amp;L2368&amp;" "&amp;M2368&amp;" "&amp;N2368</f>
        <v>Jimmy Costco hearing   </v>
      </c>
      <c r="G2368" t="s">
        <f>TEXT(D2368,"mmm dd")</f>
        <v>393</v>
      </c>
      <c r="I2368" t="inlineStr">
        <is>
          <t>Jimmy</t>
        </is>
      </c>
      <c r="J2368" t="s">
        <v>1826</v>
      </c>
      <c r="K2368" t="s">
        <v>1835</v>
      </c>
    </row>
    <row r="2369" spans="1:23">
      <c r="A2369">
        <v>2</v>
      </c>
      <c r="B2369">
        <v>6</v>
      </c>
      <c r="C2369">
        <v>2016</v>
      </c>
      <c r="D2369" s="3" t="str">
        <f>B2369&amp;"/"&amp;A2369&amp;"/"&amp;C2369</f>
        <v>6/2/2016</v>
      </c>
      <c r="E2369">
        <v>0.68055555555555558</v>
      </c>
      <c r="F2369" t="str">
        <f>I2369&amp;" "&amp;J2369&amp;" "&amp;K2369&amp;" "&amp;L2369&amp;" "&amp;M2369&amp;" "&amp;N2369</f>
        <v>Dr. Jackson    </v>
      </c>
      <c r="G2369" t="s">
        <f>TEXT(D2369,"mmm dd")</f>
        <v>430</v>
      </c>
      <c r="I2369" t="s">
        <v>847</v>
      </c>
      <c r="J2369" t="s">
        <v>368</v>
      </c>
    </row>
    <row r="2370" spans="1:23">
      <c r="A2370">
        <v>3</v>
      </c>
      <c r="B2370">
        <v>6</v>
      </c>
      <c r="C2370">
        <v>2016</v>
      </c>
      <c r="D2370" s="3" t="str">
        <f>B2370&amp;"/"&amp;A2370&amp;"/"&amp;C2370</f>
        <v>6/3/2016</v>
      </c>
      <c r="E2370">
        <v>0.875</v>
      </c>
      <c r="F2370" t="str">
        <f>I2370&amp;" "&amp;J2370&amp;" "&amp;K2370&amp;" "&amp;L2370&amp;" "&amp;M2370&amp;" "&amp;N2370</f>
        <v>Berth His Hers haircut  </v>
      </c>
      <c r="G2370" t="s">
        <f>TEXT(D2370,"mmm dd")</f>
        <v>434</v>
      </c>
      <c r="I2370" t="inlineStr">
        <is>
          <t>Berth</t>
        </is>
      </c>
      <c r="J2370" t="s">
        <v>2519</v>
      </c>
      <c r="K2370" t="s">
        <v>2520</v>
      </c>
      <c r="L2370" t="s">
        <v>1625</v>
      </c>
    </row>
    <row r="2371" spans="1:23">
      <c r="A2371">
        <v>9</v>
      </c>
      <c r="B2371">
        <v>6</v>
      </c>
      <c r="C2371">
        <v>2016</v>
      </c>
      <c r="D2371" s="3" t="str">
        <f>B2371&amp;"/"&amp;A2371&amp;"/"&amp;C2371</f>
        <v>6/9/2016</v>
      </c>
      <c r="E2371">
        <v>1</v>
      </c>
      <c r="F2371" t="str">
        <f>I2371&amp;" "&amp;J2371&amp;" "&amp;K2371&amp;" "&amp;L2371&amp;" "&amp;M2371&amp;" "&amp;N2371</f>
        <v>Arr El Paso   </v>
      </c>
      <c r="G2371" t="s">
        <f>TEXT(D2371,"mmm dd")</f>
        <v>467</v>
      </c>
      <c r="I2371" t="inlineStr">
        <is>
          <t>Arr</t>
        </is>
      </c>
      <c r="J2371" t="s">
        <v>2455</v>
      </c>
      <c r="K2371" t="s">
        <v>2456</v>
      </c>
    </row>
    <row r="2372" spans="1:23">
      <c r="A2372">
        <v>15</v>
      </c>
      <c r="B2372">
        <v>6</v>
      </c>
      <c r="C2372">
        <v>2016</v>
      </c>
      <c r="D2372" s="3" t="str">
        <f>B2372&amp;"/"&amp;A2372&amp;"/"&amp;C2372</f>
        <v>6/15/2016</v>
      </c>
      <c r="E2372">
        <v>0.70833333333333337</v>
      </c>
      <c r="F2372" t="str">
        <f>I2372&amp;" "&amp;J2372&amp;" "&amp;K2372&amp;" "&amp;L2372&amp;" "&amp;M2372&amp;" "&amp;N2372</f>
        <v>Drop car off   </v>
      </c>
      <c r="G2372" t="s">
        <f>TEXT(D2372,"mmm dd")</f>
        <v>533</v>
      </c>
      <c r="I2372" t="s">
        <v>1510</v>
      </c>
      <c r="J2372" t="s">
        <v>2062</v>
      </c>
      <c r="K2372" t="s">
        <v>1511</v>
      </c>
    </row>
    <row r="2373" spans="1:23">
      <c r="A2373">
        <v>17</v>
      </c>
      <c r="B2373">
        <v>6</v>
      </c>
      <c r="C2373">
        <v>2016</v>
      </c>
      <c r="D2373" s="3" t="str">
        <f>B2373&amp;"/"&amp;A2373&amp;"/"&amp;C2373</f>
        <v>6/17/2016</v>
      </c>
      <c r="E2373">
        <v>0.3125</v>
      </c>
      <c r="F2373" t="str">
        <f>I2373&amp;" "&amp;J2373&amp;" "&amp;K2373&amp;" "&amp;L2373&amp;" "&amp;M2373&amp;" "&amp;N2373</f>
        <v>arr. CLT    </v>
      </c>
      <c r="G2373" t="s">
        <f>TEXT(D2373,"mmm dd")</f>
        <v>556</v>
      </c>
      <c r="I2373" t="s">
        <v>2324</v>
      </c>
      <c r="J2373" t="s">
        <v>2366</v>
      </c>
    </row>
    <row r="2374" spans="1:23">
      <c r="A2374">
        <v>20</v>
      </c>
      <c r="B2374">
        <v>6</v>
      </c>
      <c r="C2374">
        <v>2016</v>
      </c>
      <c r="D2374" s="3" t="str">
        <f>B2374&amp;"/"&amp;A2374&amp;"/"&amp;C2374</f>
        <v>6/20/2016</v>
      </c>
      <c r="E2374">
        <v>0.69444444444444442</v>
      </c>
      <c r="F2374" t="str">
        <f>I2374&amp;" "&amp;J2374&amp;" "&amp;K2374&amp;" "&amp;L2374&amp;" "&amp;M2374&amp;" "&amp;N2374</f>
        <v>dr kessler ent   </v>
      </c>
      <c r="G2374" t="s">
        <f>TEXT(D2374,"mmm dd")</f>
        <v>566</v>
      </c>
      <c r="I2374" t="inlineStr">
        <is>
          <t>dr</t>
        </is>
      </c>
      <c r="J2374" t="inlineStr">
        <is>
          <t>kessler</t>
        </is>
      </c>
      <c r="K2374" t="inlineStr">
        <is>
          <t>ent</t>
        </is>
      </c>
    </row>
    <row r="2375" spans="1:23">
      <c r="A2375">
        <v>22</v>
      </c>
      <c r="B2375">
        <v>6</v>
      </c>
      <c r="C2375">
        <v>2016</v>
      </c>
      <c r="D2375" s="3" t="str">
        <f>B2375&amp;"/"&amp;A2375&amp;"/"&amp;C2375</f>
        <v>6/22/2016</v>
      </c>
      <c r="E2375" t="s">
        <v>42</v>
      </c>
      <c r="F2375" t="s">
        <f>I2375&amp;" "&amp;J2375&amp;" "&amp;K2375&amp;" "&amp;L2375&amp;" "&amp;M2375&amp;" "&amp;N2375</f>
        <v>2526</v>
      </c>
      <c r="G2375" t="s">
        <f>TEXT(D2375,"mmm dd")</f>
        <v>574</v>
      </c>
      <c r="I2375" t="s">
        <v>2527</v>
      </c>
      <c r="J2375" t="s">
        <v>2528</v>
      </c>
      <c r="K2375" t="s">
        <v>2529</v>
      </c>
    </row>
    <row r="2376" spans="1:23">
      <c r="A2376">
        <v>6</v>
      </c>
      <c r="B2376">
        <v>7</v>
      </c>
      <c r="C2376">
        <v>2016</v>
      </c>
      <c r="D2376" s="3" t="s">
        <f>B2376&amp;"/"&amp;A2376&amp;"/"&amp;C2376</f>
        <v>2530</v>
      </c>
      <c r="E2376" t="s">
        <v>42</v>
      </c>
      <c r="F2376" t="s">
        <f>I2376&amp;" "&amp;J2376&amp;" "&amp;K2376&amp;" "&amp;L2376&amp;" "&amp;M2376&amp;" "&amp;N2376</f>
        <v>2531</v>
      </c>
      <c r="G2376" t="s">
        <f>TEXT(D2376,"mmm dd")</f>
        <v>22</v>
      </c>
      <c r="I2376" t="inlineStr">
        <is>
          <t>Amy's</t>
        </is>
      </c>
      <c r="J2376" t="s">
        <v>319</v>
      </c>
    </row>
    <row r="2377" spans="1:23">
      <c r="A2377">
        <v>24</v>
      </c>
      <c r="B2377">
        <v>7</v>
      </c>
      <c r="C2377">
        <v>2016</v>
      </c>
      <c r="D2377" s="3" t="s">
        <f>B2377&amp;"/"&amp;A2377&amp;"/"&amp;C2377</f>
        <v>2532</v>
      </c>
      <c r="E2377" t="s">
        <v>42</v>
      </c>
      <c r="F2377" t="str">
        <f>I2377&amp;" "&amp;J2377&amp;" "&amp;K2377&amp;" "&amp;L2377&amp;" "&amp;M2377&amp;" "&amp;N2377</f>
        <v>Stay at Scandic Hamburg Emporio </v>
      </c>
      <c r="G2377" t="s">
        <f>TEXT(D2377,"mmm dd")</f>
        <v>684</v>
      </c>
      <c r="I2377" t="s">
        <v>2398</v>
      </c>
      <c r="J2377" t="s">
        <v>53</v>
      </c>
      <c r="K2377" t="inlineStr">
        <is>
          <t>Scandic</t>
        </is>
      </c>
      <c r="L2377" t="s">
        <v>2533</v>
      </c>
      <c r="M2377" t="inlineStr">
        <is>
          <t>Emporio</t>
        </is>
      </c>
    </row>
    <row r="2378" spans="1:23">
      <c r="A2378">
        <v>24</v>
      </c>
      <c r="B2378">
        <v>7</v>
      </c>
      <c r="C2378">
        <v>2016</v>
      </c>
      <c r="D2378" s="3" t="s">
        <f>B2378&amp;"/"&amp;A2378&amp;"/"&amp;C2378</f>
        <v>2532</v>
      </c>
      <c r="E2378">
        <v>0.39930555555555558</v>
      </c>
      <c r="F2378" t="str">
        <f>I2378&amp;" "&amp;J2378&amp;" "&amp;K2378&amp;" "&amp;L2378&amp;" "&amp;M2378&amp;" "&amp;N2378</f>
        <v>Flight to Hamburg   </v>
      </c>
      <c r="G2378" t="s">
        <f>TEXT(D2378,"mmm dd")</f>
        <v>684</v>
      </c>
      <c r="I2378" t="s">
        <v>2365</v>
      </c>
      <c r="J2378" t="s">
        <v>449</v>
      </c>
      <c r="K2378" t="s">
        <v>2533</v>
      </c>
    </row>
    <row r="2379" spans="1:23">
      <c r="A2379">
        <v>31</v>
      </c>
      <c r="B2379">
        <v>7</v>
      </c>
      <c r="C2379">
        <v>2016</v>
      </c>
      <c r="D2379" s="3" t="str">
        <f>B2379&amp;"/"&amp;A2379&amp;"/"&amp;C2379</f>
        <v>7/31/2016</v>
      </c>
      <c r="E2379">
        <v>0.80555555555555558</v>
      </c>
      <c r="F2379" t="str">
        <f>I2379&amp;" "&amp;J2379&amp;" "&amp;K2379&amp;" "&amp;L2379&amp;" "&amp;M2379&amp;" "&amp;N2379</f>
        <v>Flight to Paris   </v>
      </c>
      <c r="G2379" t="s">
        <f>TEXT(D2379,"mmm dd")</f>
        <v>714</v>
      </c>
      <c r="I2379" t="s">
        <v>2365</v>
      </c>
      <c r="J2379" t="s">
        <v>449</v>
      </c>
      <c r="K2379" t="inlineStr">
        <is>
          <t>Paris</t>
        </is>
      </c>
    </row>
    <row r="2380" spans="1:23">
      <c r="A2380">
        <v>5</v>
      </c>
      <c r="B2380">
        <v>8</v>
      </c>
      <c r="C2380">
        <v>2016</v>
      </c>
      <c r="D2380" s="3" t="str">
        <f>B2380&amp;"/"&amp;A2380&amp;"/"&amp;C2380</f>
        <v>8/5/2016</v>
      </c>
      <c r="E2380">
        <v>0.64583333333333337</v>
      </c>
      <c r="F2380" t="str">
        <f>I2380&amp;" "&amp;J2380&amp;" "&amp;K2380&amp;" "&amp;L2380&amp;" "&amp;M2380&amp;" "&amp;N2380</f>
        <v>Brothers for ac   </v>
      </c>
      <c r="G2380" t="s">
        <f>TEXT(D2380,"mmm dd")</f>
        <v>1361</v>
      </c>
      <c r="I2380" t="s">
        <v>2534</v>
      </c>
      <c r="J2380" t="s">
        <v>439</v>
      </c>
      <c r="K2380" t="inlineStr">
        <is>
          <t>ac</t>
        </is>
      </c>
    </row>
    <row r="2381" spans="1:23">
      <c r="A2381">
        <v>6</v>
      </c>
      <c r="B2381">
        <v>8</v>
      </c>
      <c r="C2381">
        <v>2016</v>
      </c>
      <c r="D2381" s="3" t="str">
        <f>B2381&amp;"/"&amp;A2381&amp;"/"&amp;C2381</f>
        <v>8/6/2016</v>
      </c>
      <c r="E2381">
        <v>0.79166666666666663</v>
      </c>
      <c r="F2381" t="str">
        <f>I2381&amp;" "&amp;J2381&amp;" "&amp;K2381&amp;" "&amp;L2381&amp;" "&amp;M2381&amp;" "&amp;N2381</f>
        <v>Get vestments at St Paul's </v>
      </c>
      <c r="G2381" t="s">
        <f>TEXT(D2381,"mmm dd")</f>
        <v>1362</v>
      </c>
      <c r="I2381" t="s">
        <v>1332</v>
      </c>
      <c r="J2381" t="s">
        <v>2535</v>
      </c>
      <c r="K2381" t="s">
        <v>53</v>
      </c>
      <c r="L2381" t="s">
        <v>1796</v>
      </c>
      <c r="M2381" t="s">
        <v>2471</v>
      </c>
    </row>
    <row r="2382" spans="1:23">
      <c r="A2382">
        <v>7</v>
      </c>
      <c r="B2382">
        <v>8</v>
      </c>
      <c r="C2382">
        <v>2016</v>
      </c>
      <c r="D2382" s="3" t="str">
        <f>B2382&amp;"/"&amp;A2382&amp;"/"&amp;C2382</f>
        <v>8/7/2016</v>
      </c>
      <c r="E2382">
        <v>0.625</v>
      </c>
      <c r="F2382" t="str">
        <f>I2382&amp;" "&amp;J2382&amp;" "&amp;K2382&amp;" "&amp;L2382&amp;" "&amp;M2382&amp;" "&amp;N2382</f>
        <v>Preach at our Savior  </v>
      </c>
      <c r="G2382" t="s">
        <f>TEXT(D2382,"mmm dd")</f>
        <v>1605</v>
      </c>
      <c r="I2382" t="s">
        <v>2441</v>
      </c>
      <c r="J2382" t="s">
        <v>53</v>
      </c>
      <c r="K2382" t="s">
        <v>2339</v>
      </c>
      <c r="L2382" t="s">
        <v>2469</v>
      </c>
    </row>
    <row r="2383" spans="1:23">
      <c r="A2383">
        <v>8</v>
      </c>
      <c r="B2383">
        <v>8</v>
      </c>
      <c r="C2383">
        <v>2016</v>
      </c>
      <c r="D2383" s="3" t="str">
        <f>B2383&amp;"/"&amp;A2383&amp;"/"&amp;C2383</f>
        <v>8/8/2016</v>
      </c>
      <c r="E2383">
        <v>0.79166666666666663</v>
      </c>
      <c r="F2383" t="s">
        <f>I2383&amp;" "&amp;J2383&amp;" "&amp;K2383&amp;" "&amp;L2383&amp;" "&amp;M2383&amp;" "&amp;N2383</f>
        <v>2427</v>
      </c>
      <c r="G2383" t="s">
        <f>TEXT(D2383,"mmm dd")</f>
        <v>1366</v>
      </c>
      <c r="I2383" t="s">
        <v>1409</v>
      </c>
    </row>
    <row r="2384" spans="1:23">
      <c r="A2384">
        <v>9</v>
      </c>
      <c r="B2384">
        <v>8</v>
      </c>
      <c r="C2384">
        <v>2016</v>
      </c>
      <c r="D2384" s="3" t="s">
        <f>B2384&amp;"/"&amp;A2384&amp;"/"&amp;C2384</f>
        <v>2536</v>
      </c>
      <c r="E2384">
        <v>0.63194444444444442</v>
      </c>
      <c r="F2384" t="str">
        <f>I2384&amp;" "&amp;J2384&amp;" "&amp;K2384&amp;" "&amp;L2384&amp;" "&amp;M2384&amp;" "&amp;N2384</f>
        <v>Dr Kessler ENT   </v>
      </c>
      <c r="G2384" t="s">
        <f>TEXT(D2384,"mmm dd")</f>
        <v>729</v>
      </c>
      <c r="I2384" t="s">
        <v>1791</v>
      </c>
      <c r="J2384" t="inlineStr">
        <is>
          <t>Kessler</t>
        </is>
      </c>
      <c r="K2384" t="inlineStr">
        <is>
          <t>ENT</t>
        </is>
      </c>
    </row>
    <row r="2385" spans="1:23">
      <c r="A2385">
        <v>9</v>
      </c>
      <c r="B2385">
        <v>8</v>
      </c>
      <c r="C2385">
        <v>2016</v>
      </c>
      <c r="D2385" s="3" t="s">
        <f>B2385&amp;"/"&amp;A2385&amp;"/"&amp;C2385</f>
        <v>2536</v>
      </c>
      <c r="E2385">
        <v>0.84375</v>
      </c>
      <c r="F2385" t="str">
        <f>I2385&amp;" "&amp;J2385&amp;" "&amp;K2385&amp;" "&amp;L2385&amp;" "&amp;M2385&amp;" "&amp;N2385</f>
        <v>Murdoch and Geary dental  </v>
      </c>
      <c r="G2385" t="s">
        <f>TEXT(D2385,"mmm dd")</f>
        <v>729</v>
      </c>
      <c r="I2385" t="inlineStr">
        <is>
          <t>Murdoch</t>
        </is>
      </c>
      <c r="J2385" t="s">
        <v>135</v>
      </c>
      <c r="K2385" t="s">
        <v>2537</v>
      </c>
      <c r="L2385" t="inlineStr">
        <is>
          <t>dental</t>
        </is>
      </c>
    </row>
    <row r="2386" spans="1:23">
      <c r="A2386">
        <v>11</v>
      </c>
      <c r="B2386">
        <v>8</v>
      </c>
      <c r="C2386">
        <v>2016</v>
      </c>
      <c r="D2386" s="3" t="str">
        <f>B2386&amp;"/"&amp;A2386&amp;"/"&amp;C2386</f>
        <v>8/11/2016</v>
      </c>
      <c r="E2386">
        <v>0.625</v>
      </c>
      <c r="F2386" t="str">
        <f>I2386&amp;" "&amp;J2386&amp;" "&amp;K2386&amp;" "&amp;L2386&amp;" "&amp;M2386&amp;" "&amp;N2386</f>
        <v>HVAC     </v>
      </c>
      <c r="G2386" t="s">
        <f>TEXT(D2386,"mmm dd")</f>
        <v>744</v>
      </c>
      <c r="I2386" t="s">
        <v>2538</v>
      </c>
    </row>
    <row r="2387" spans="1:23">
      <c r="A2387">
        <v>16</v>
      </c>
      <c r="B2387">
        <v>8</v>
      </c>
      <c r="C2387">
        <v>2016</v>
      </c>
      <c r="D2387" s="3" t="str">
        <f>B2387&amp;"/"&amp;A2387&amp;"/"&amp;C2387</f>
        <v>8/16/2016</v>
      </c>
      <c r="E2387">
        <v>0.83333333333333337</v>
      </c>
      <c r="F2387" t="str">
        <f>I2387&amp;" "&amp;J2387&amp;" "&amp;K2387&amp;" "&amp;L2387&amp;" "&amp;M2387&amp;" "&amp;N2387</f>
        <v>Meet keith    </v>
      </c>
      <c r="G2387" t="s">
        <f>TEXT(D2387,"mmm dd")</f>
        <v>784</v>
      </c>
      <c r="I2387" t="s">
        <v>300</v>
      </c>
      <c r="J2387" t="inlineStr">
        <is>
          <t>keith</t>
        </is>
      </c>
    </row>
    <row r="2388" spans="1:23">
      <c r="A2388">
        <v>17</v>
      </c>
      <c r="B2388">
        <v>8</v>
      </c>
      <c r="C2388">
        <v>2016</v>
      </c>
      <c r="D2388" s="3" t="s">
        <f>B2388&amp;"/"&amp;A2388&amp;"/"&amp;C2388</f>
        <v>2539</v>
      </c>
      <c r="E2388">
        <v>0.66666666666666663</v>
      </c>
      <c r="F2388" t="str">
        <f>I2388&amp;" "&amp;J2388&amp;" "&amp;K2388&amp;" "&amp;L2388&amp;" "&amp;M2388&amp;" "&amp;N2388</f>
        <v>HughesNet installation (Direct TV)  </v>
      </c>
      <c r="G2388" t="s">
        <f>TEXT(D2388,"mmm dd")</f>
        <v>793</v>
      </c>
      <c r="I2388" t="inlineStr">
        <is>
          <t>HughesNet</t>
        </is>
      </c>
      <c r="J2388" t="s">
        <v>1367</v>
      </c>
      <c r="K2388" t="inlineStr">
        <is>
          <t>(Direct</t>
        </is>
      </c>
      <c r="L2388" t="inlineStr">
        <is>
          <t>TV)</t>
        </is>
      </c>
    </row>
    <row r="2389" spans="1:23">
      <c r="A2389">
        <v>17</v>
      </c>
      <c r="B2389">
        <v>8</v>
      </c>
      <c r="C2389">
        <v>2016</v>
      </c>
      <c r="D2389" s="3" t="s">
        <f>B2389&amp;"/"&amp;A2389&amp;"/"&amp;C2389</f>
        <v>2539</v>
      </c>
      <c r="E2389">
        <v>0.79166666666666663</v>
      </c>
      <c r="F2389" t="str">
        <f>I2389&amp;" "&amp;J2389&amp;" "&amp;K2389&amp;" "&amp;L2389&amp;" "&amp;M2389&amp;" "&amp;N2389</f>
        <v>DirectTV Installation    </v>
      </c>
      <c r="G2389" t="s">
        <f>TEXT(D2389,"mmm dd")</f>
        <v>793</v>
      </c>
      <c r="I2389" t="inlineStr">
        <is>
          <t>DirectTV</t>
        </is>
      </c>
      <c r="J2389" t="s">
        <v>1503</v>
      </c>
    </row>
    <row r="2390" spans="1:23">
      <c r="A2390">
        <v>23</v>
      </c>
      <c r="B2390">
        <v>8</v>
      </c>
      <c r="C2390">
        <v>2016</v>
      </c>
      <c r="D2390" s="3" t="str">
        <f>B2390&amp;"/"&amp;A2390&amp;"/"&amp;C2390</f>
        <v>8/23/2016</v>
      </c>
      <c r="E2390">
        <v>0.70833333333333337</v>
      </c>
      <c r="F2390" t="s">
        <f>I2390&amp;" "&amp;J2390&amp;" "&amp;K2390&amp;" "&amp;L2390&amp;" "&amp;M2390&amp;" "&amp;N2390</f>
        <v>2433</v>
      </c>
      <c r="G2390" t="s">
        <f>TEXT(D2390,"mmm dd")</f>
        <v>828</v>
      </c>
      <c r="I2390" t="s">
        <v>2357</v>
      </c>
      <c r="J2390">
        <v>313</v>
      </c>
    </row>
    <row r="2391" spans="1:23">
      <c r="A2391">
        <v>24</v>
      </c>
      <c r="B2391">
        <v>8</v>
      </c>
      <c r="C2391">
        <v>2016</v>
      </c>
      <c r="D2391" s="3" t="s">
        <f>B2391&amp;"/"&amp;A2391&amp;"/"&amp;C2391</f>
        <v>2540</v>
      </c>
      <c r="E2391">
        <v>0.52083333333333337</v>
      </c>
      <c r="F2391" t="s">
        <f>I2391&amp;" "&amp;J2391&amp;" "&amp;K2391&amp;" "&amp;L2391&amp;" "&amp;M2391&amp;" "&amp;N2391</f>
        <v>2487</v>
      </c>
      <c r="G2391" t="s">
        <f>TEXT(D2391,"mmm dd")</f>
        <v>1372</v>
      </c>
      <c r="I2391" t="s">
        <v>2357</v>
      </c>
      <c r="J2391">
        <v>101</v>
      </c>
      <c r="K2391">
        <v>1</v>
      </c>
    </row>
    <row r="2392" spans="1:23">
      <c r="A2392">
        <v>24</v>
      </c>
      <c r="B2392">
        <v>8</v>
      </c>
      <c r="C2392">
        <v>2016</v>
      </c>
      <c r="D2392" s="3" t="s">
        <f>B2392&amp;"/"&amp;A2392&amp;"/"&amp;C2392</f>
        <v>2540</v>
      </c>
      <c r="E2392">
        <v>0.70833333333333337</v>
      </c>
      <c r="F2392" t="s">
        <f>I2392&amp;" "&amp;J2392&amp;" "&amp;K2392&amp;" "&amp;L2392&amp;" "&amp;M2392&amp;" "&amp;N2392</f>
        <v>2488</v>
      </c>
      <c r="G2392" t="s">
        <f>TEXT(D2392,"mmm dd")</f>
        <v>1372</v>
      </c>
      <c r="I2392" t="s">
        <v>2357</v>
      </c>
      <c r="J2392">
        <v>101</v>
      </c>
      <c r="K2392">
        <v>2</v>
      </c>
    </row>
    <row r="2393" spans="1:23">
      <c r="A2393">
        <v>28</v>
      </c>
      <c r="B2393">
        <v>8</v>
      </c>
      <c r="C2393">
        <v>2016</v>
      </c>
      <c r="D2393" s="3" t="str">
        <f>B2393&amp;"/"&amp;A2393&amp;"/"&amp;C2393</f>
        <v>8/28/2016</v>
      </c>
      <c r="E2393">
        <v>0.83333333333333337</v>
      </c>
      <c r="F2393" t="str">
        <f>I2393&amp;" "&amp;J2393&amp;" "&amp;K2393&amp;" "&amp;L2393&amp;" "&amp;M2393&amp;" "&amp;N2393</f>
        <v>Safe guarding God's Children  </v>
      </c>
      <c r="G2393" t="s">
        <f>TEXT(D2393,"mmm dd")</f>
        <v>1375</v>
      </c>
      <c r="I2393" t="inlineStr">
        <is>
          <t>Safe</t>
        </is>
      </c>
      <c r="J2393" t="inlineStr">
        <is>
          <t>guarding</t>
        </is>
      </c>
      <c r="K2393" t="inlineStr">
        <is>
          <t>God's</t>
        </is>
      </c>
      <c r="L2393" t="inlineStr">
        <is>
          <t>Children</t>
        </is>
      </c>
    </row>
    <row r="2394" spans="1:23">
      <c r="A2394">
        <v>29</v>
      </c>
      <c r="B2394">
        <v>8</v>
      </c>
      <c r="C2394">
        <v>2016</v>
      </c>
      <c r="D2394" s="3" t="str">
        <f>B2394&amp;"/"&amp;A2394&amp;"/"&amp;C2394</f>
        <v>8/29/2016</v>
      </c>
      <c r="E2394">
        <v>0.89583333333333337</v>
      </c>
      <c r="F2394" t="str">
        <f>I2394&amp;" "&amp;J2394&amp;" "&amp;K2394&amp;" "&amp;L2394&amp;" "&amp;M2394&amp;" "&amp;N2394</f>
        <v>Phil Relg Dept Meeting  </v>
      </c>
      <c r="G2394" t="s">
        <f>TEXT(D2394,"mmm dd")</f>
        <v>841</v>
      </c>
      <c r="I2394" t="s">
        <v>2335</v>
      </c>
      <c r="J2394" t="s">
        <v>2450</v>
      </c>
      <c r="K2394" t="s">
        <v>867</v>
      </c>
      <c r="L2394" t="s">
        <v>898</v>
      </c>
    </row>
    <row r="2395" spans="1:23">
      <c r="A2395">
        <v>30</v>
      </c>
      <c r="B2395">
        <v>8</v>
      </c>
      <c r="C2395">
        <v>2016</v>
      </c>
      <c r="D2395" s="3" t="s">
        <f>B2395&amp;"/"&amp;A2395&amp;"/"&amp;C2395</f>
        <v>2541</v>
      </c>
      <c r="E2395">
        <v>0.70833333333333337</v>
      </c>
      <c r="F2395" t="str">
        <f>I2395&amp;" "&amp;J2395&amp;" "&amp;K2395&amp;" "&amp;L2395&amp;" "&amp;M2395&amp;" "&amp;N2395</f>
        <v>Leak Squad    </v>
      </c>
      <c r="G2395" t="s">
        <f>TEXT(D2395,"mmm dd")</f>
        <v>846</v>
      </c>
      <c r="I2395" t="inlineStr">
        <is>
          <t>Leak</t>
        </is>
      </c>
      <c r="J2395" t="inlineStr">
        <is>
          <t>Squad</t>
        </is>
      </c>
    </row>
    <row r="2396" spans="1:23">
      <c r="A2396">
        <v>30</v>
      </c>
      <c r="B2396">
        <v>8</v>
      </c>
      <c r="C2396">
        <v>2016</v>
      </c>
      <c r="D2396" s="3" t="s">
        <f>B2396&amp;"/"&amp;A2396&amp;"/"&amp;C2396</f>
        <v>2541</v>
      </c>
      <c r="E2396">
        <v>0.77083333333333337</v>
      </c>
      <c r="F2396" t="s">
        <f>I2396&amp;" "&amp;J2396&amp;" "&amp;K2396&amp;" "&amp;L2396&amp;" "&amp;M2396&amp;" "&amp;N2396</f>
        <v>2361</v>
      </c>
      <c r="G2396" t="s">
        <f>TEXT(D2396,"mmm dd")</f>
        <v>846</v>
      </c>
      <c r="I2396" t="s">
        <v>493</v>
      </c>
      <c r="J2396" t="s">
        <v>2362</v>
      </c>
    </row>
    <row r="2397" spans="1:23">
      <c r="A2397">
        <v>1</v>
      </c>
      <c r="B2397">
        <v>9</v>
      </c>
      <c r="C2397">
        <v>2016</v>
      </c>
      <c r="D2397" s="3" t="s">
        <f>B2397&amp;"/"&amp;A2397&amp;"/"&amp;C2397</f>
        <v>2542</v>
      </c>
      <c r="E2397">
        <v>0.64583333333333337</v>
      </c>
      <c r="F2397" t="str">
        <f>I2397&amp;" "&amp;J2397&amp;" "&amp;K2397&amp;" "&amp;L2397&amp;" "&amp;M2397&amp;" "&amp;N2397</f>
        <v>Brothers Repair time?   </v>
      </c>
      <c r="G2397" t="s">
        <f>TEXT(D2397,"mmm dd")</f>
        <v>2065</v>
      </c>
      <c r="I2397" t="s">
        <v>2534</v>
      </c>
      <c r="J2397" t="inlineStr">
        <is>
          <t>Repair</t>
        </is>
      </c>
      <c r="K2397" t="s">
        <v>537</v>
      </c>
    </row>
    <row r="2398" spans="1:23">
      <c r="A2398">
        <v>1</v>
      </c>
      <c r="B2398">
        <v>9</v>
      </c>
      <c r="C2398">
        <v>2016</v>
      </c>
      <c r="D2398" s="3" t="s">
        <f>B2398&amp;"/"&amp;A2398&amp;"/"&amp;C2398</f>
        <v>2542</v>
      </c>
      <c r="E2398">
        <v>0.58333333333333337</v>
      </c>
      <c r="F2398" t="s">
        <f>I2398&amp;" "&amp;J2398&amp;" "&amp;K2398&amp;" "&amp;L2398&amp;" "&amp;M2398&amp;" "&amp;N2398</f>
        <v>2361</v>
      </c>
      <c r="G2398" t="s">
        <f>TEXT(D2398,"mmm dd")</f>
        <v>2065</v>
      </c>
      <c r="I2398" t="s">
        <v>493</v>
      </c>
      <c r="J2398" t="s">
        <v>2362</v>
      </c>
    </row>
    <row r="2399" spans="1:23">
      <c r="A2399">
        <v>6</v>
      </c>
      <c r="B2399">
        <v>9</v>
      </c>
      <c r="C2399">
        <v>2016</v>
      </c>
      <c r="D2399" s="3" t="str">
        <f>B2399&amp;"/"&amp;A2399&amp;"/"&amp;C2399</f>
        <v>9/6/2016</v>
      </c>
      <c r="E2399">
        <v>0.64583333333333337</v>
      </c>
      <c r="F2399" t="str">
        <f>I2399&amp;" "&amp;J2399&amp;" "&amp;K2399&amp;" "&amp;L2399&amp;" "&amp;M2399&amp;" "&amp;N2399</f>
        <v>Scheduled Plumbing with Brothers  </v>
      </c>
      <c r="G2399" t="s">
        <f>TEXT(D2399,"mmm dd")</f>
        <v>860</v>
      </c>
      <c r="I2399" t="inlineStr">
        <is>
          <t>Scheduled</t>
        </is>
      </c>
      <c r="J2399" t="s">
        <v>2543</v>
      </c>
      <c r="K2399" t="s">
        <v>755</v>
      </c>
      <c r="L2399" t="s">
        <v>2534</v>
      </c>
    </row>
    <row r="2400" spans="1:23">
      <c r="A2400">
        <v>11</v>
      </c>
      <c r="B2400">
        <v>9</v>
      </c>
      <c r="C2400">
        <v>2016</v>
      </c>
      <c r="D2400" s="3" t="str">
        <f>B2400&amp;"/"&amp;A2400&amp;"/"&amp;C2400</f>
        <v>9/11/2016</v>
      </c>
      <c r="E2400">
        <v>0.70833333333333337</v>
      </c>
      <c r="F2400" t="s">
        <f>I2400&amp;" "&amp;J2400&amp;" "&amp;K2400&amp;" "&amp;L2400&amp;" "&amp;M2400&amp;" "&amp;N2400</f>
        <v>2544</v>
      </c>
      <c r="G2400" t="s">
        <f>TEXT(D2400,"mmm dd")</f>
        <v>1383</v>
      </c>
      <c r="I2400" t="s">
        <v>2468</v>
      </c>
      <c r="J2400" t="s">
        <v>53</v>
      </c>
      <c r="K2400" t="s">
        <v>1202</v>
      </c>
      <c r="L2400" t="s">
        <v>1739</v>
      </c>
    </row>
    <row r="2401" spans="1:23">
      <c r="A2401">
        <v>13</v>
      </c>
      <c r="B2401">
        <v>9</v>
      </c>
      <c r="C2401">
        <v>2016</v>
      </c>
      <c r="D2401" s="3" t="str">
        <f>B2401&amp;"/"&amp;A2401&amp;"/"&amp;C2401</f>
        <v>9/13/2016</v>
      </c>
      <c r="E2401">
        <v>1.1041666666666667</v>
      </c>
      <c r="F2401" t="str">
        <f>I2401&amp;" "&amp;J2401&amp;" "&amp;K2401&amp;" "&amp;L2401&amp;" "&amp;M2401&amp;" "&amp;N2401</f>
        <v>Interfaith dialogue    </v>
      </c>
      <c r="G2401" t="s">
        <f>TEXT(D2401,"mmm dd")</f>
        <v>866</v>
      </c>
      <c r="I2401" t="inlineStr">
        <is>
          <t>Interfaith</t>
        </is>
      </c>
      <c r="J2401" t="inlineStr">
        <is>
          <t>dialogue</t>
        </is>
      </c>
    </row>
    <row r="2402" spans="1:23">
      <c r="A2402">
        <v>18</v>
      </c>
      <c r="B2402">
        <v>9</v>
      </c>
      <c r="C2402">
        <v>2016</v>
      </c>
      <c r="D2402" s="3" t="str">
        <f>B2402&amp;"/"&amp;A2402&amp;"/"&amp;C2402</f>
        <v>9/18/2016</v>
      </c>
      <c r="E2402">
        <v>0.70833333333333337</v>
      </c>
      <c r="F2402" t="s">
        <f>I2402&amp;" "&amp;J2402&amp;" "&amp;K2402&amp;" "&amp;L2402&amp;" "&amp;M2402&amp;" "&amp;N2402</f>
        <v>2544</v>
      </c>
      <c r="G2402" t="s">
        <f>TEXT(D2402,"mmm dd")</f>
        <v>875</v>
      </c>
      <c r="I2402" t="s">
        <v>2468</v>
      </c>
      <c r="J2402" t="s">
        <v>53</v>
      </c>
      <c r="K2402" t="s">
        <v>1202</v>
      </c>
      <c r="L2402" t="s">
        <v>1739</v>
      </c>
    </row>
    <row r="2403" spans="1:23">
      <c r="A2403">
        <v>20</v>
      </c>
      <c r="B2403">
        <v>9</v>
      </c>
      <c r="C2403">
        <v>2016</v>
      </c>
      <c r="D2403" s="3" t="str">
        <f>B2403&amp;"/"&amp;A2403&amp;"/"&amp;C2403</f>
        <v>9/20/2016</v>
      </c>
      <c r="E2403">
        <v>0.5</v>
      </c>
      <c r="F2403" t="s">
        <f>I2403&amp;" "&amp;J2403&amp;" "&amp;K2403&amp;" "&amp;L2403&amp;" "&amp;M2403&amp;" "&amp;N2403</f>
        <v>2525</v>
      </c>
      <c r="G2403" t="s">
        <f>TEXT(D2403,"mmm dd")</f>
        <v>884</v>
      </c>
      <c r="I2403" t="s">
        <v>46</v>
      </c>
      <c r="J2403" t="s">
        <v>110</v>
      </c>
    </row>
    <row r="2404" spans="1:23">
      <c r="A2404">
        <v>21</v>
      </c>
      <c r="B2404">
        <v>9</v>
      </c>
      <c r="C2404">
        <v>2016</v>
      </c>
      <c r="D2404" s="3" t="str">
        <f>B2404&amp;"/"&amp;A2404&amp;"/"&amp;C2404</f>
        <v>9/21/2016</v>
      </c>
      <c r="E2404">
        <v>0.75</v>
      </c>
      <c r="F2404" t="s">
        <f>I2404&amp;" "&amp;J2404&amp;" "&amp;K2404&amp;" "&amp;L2404&amp;" "&amp;M2404&amp;" "&amp;N2404</f>
        <v>2228</v>
      </c>
      <c r="G2404" t="s">
        <f>TEXT(D2404,"mmm dd")</f>
        <v>890</v>
      </c>
      <c r="I2404" t="s">
        <v>1028</v>
      </c>
      <c r="J2404" t="s">
        <v>1719</v>
      </c>
    </row>
    <row r="2405" spans="1:23">
      <c r="A2405">
        <v>30</v>
      </c>
      <c r="B2405">
        <v>9</v>
      </c>
      <c r="C2405">
        <v>2016</v>
      </c>
      <c r="D2405" s="3" t="str">
        <f>B2405&amp;"/"&amp;A2405&amp;"/"&amp;C2405</f>
        <v>9/30/2016</v>
      </c>
      <c r="E2405">
        <v>0.75</v>
      </c>
      <c r="F2405" t="str">
        <f>I2405&amp;" "&amp;J2405&amp;" "&amp;K2405&amp;" "&amp;L2405&amp;" "&amp;M2405&amp;" "&amp;N2405</f>
        <v>Interview with Bp Hodges Copple of</v>
      </c>
      <c r="G2405" t="s">
        <f>TEXT(D2405,"mmm dd")</f>
        <v>916</v>
      </c>
      <c r="I2405" t="inlineStr">
        <is>
          <t>Interview</t>
        </is>
      </c>
      <c r="J2405" t="s">
        <v>755</v>
      </c>
      <c r="K2405" t="s">
        <v>1349</v>
      </c>
      <c r="L2405" t="inlineStr">
        <is>
          <t>Hodges</t>
        </is>
      </c>
      <c r="M2405" t="inlineStr">
        <is>
          <t>Copple</t>
        </is>
      </c>
      <c r="N2405" t="s">
        <v>86</v>
      </c>
    </row>
    <row r="2406" spans="1:23">
      <c r="A2406">
        <v>2</v>
      </c>
      <c r="B2406">
        <v>10</v>
      </c>
      <c r="C2406">
        <v>2016</v>
      </c>
      <c r="D2406" s="3" t="s">
        <f>B2406&amp;"/"&amp;A2406&amp;"/"&amp;C2406</f>
        <v>2545</v>
      </c>
      <c r="E2406">
        <v>1.0833333333333333</v>
      </c>
      <c r="F2406" t="str">
        <f>I2406&amp;" "&amp;J2406&amp;" "&amp;K2406&amp;" "&amp;L2406&amp;" "&amp;M2406&amp;" "&amp;N2406</f>
        <v>Prepare devotional    </v>
      </c>
      <c r="G2406" t="s">
        <f>TEXT(D2406,"mmm dd")</f>
        <v>2103</v>
      </c>
      <c r="I2406" t="s">
        <v>2248</v>
      </c>
      <c r="J2406" t="inlineStr">
        <is>
          <t>devotional</t>
        </is>
      </c>
    </row>
    <row r="2407" spans="1:23">
      <c r="A2407">
        <v>2</v>
      </c>
      <c r="B2407">
        <v>10</v>
      </c>
      <c r="C2407">
        <v>2016</v>
      </c>
      <c r="D2407" s="3" t="s">
        <f>B2407&amp;"/"&amp;A2407&amp;"/"&amp;C2407</f>
        <v>2545</v>
      </c>
      <c r="E2407">
        <v>0.67708333333333337</v>
      </c>
      <c r="F2407" t="s">
        <f>I2407&amp;" "&amp;J2407&amp;" "&amp;K2407&amp;" "&amp;L2407&amp;" "&amp;M2407&amp;" "&amp;N2407</f>
        <v>2546</v>
      </c>
      <c r="G2407" t="s">
        <f>TEXT(D2407,"mmm dd")</f>
        <v>2103</v>
      </c>
      <c r="I2407" t="s">
        <v>2468</v>
      </c>
      <c r="J2407" t="s">
        <v>53</v>
      </c>
      <c r="K2407" t="s">
        <v>2547</v>
      </c>
    </row>
    <row r="2408" spans="1:23">
      <c r="A2408">
        <v>3</v>
      </c>
      <c r="B2408">
        <v>10</v>
      </c>
      <c r="C2408">
        <v>2016</v>
      </c>
      <c r="D2408" s="3" t="s">
        <f>B2408&amp;"/"&amp;A2408&amp;"/"&amp;C2408</f>
        <v>2548</v>
      </c>
      <c r="E2408">
        <v>0.52083333333333337</v>
      </c>
      <c r="F2408" t="s">
        <f>I2408&amp;" "&amp;J2408&amp;" "&amp;K2408&amp;" "&amp;L2408&amp;" "&amp;M2408&amp;" "&amp;N2408</f>
        <v>2487</v>
      </c>
      <c r="G2408" t="s">
        <f>TEXT(D2408,"mmm dd")</f>
        <v>920</v>
      </c>
      <c r="I2408" t="s">
        <v>2357</v>
      </c>
      <c r="J2408">
        <v>101</v>
      </c>
      <c r="K2408">
        <v>1</v>
      </c>
    </row>
    <row r="2409" spans="1:23">
      <c r="A2409">
        <v>3</v>
      </c>
      <c r="B2409">
        <v>10</v>
      </c>
      <c r="C2409">
        <v>2016</v>
      </c>
      <c r="D2409" s="3" t="s">
        <f>B2409&amp;"/"&amp;A2409&amp;"/"&amp;C2409</f>
        <v>2548</v>
      </c>
      <c r="E2409">
        <v>0.70833333333333337</v>
      </c>
      <c r="F2409" t="s">
        <f>I2409&amp;" "&amp;J2409&amp;" "&amp;K2409&amp;" "&amp;L2409&amp;" "&amp;M2409&amp;" "&amp;N2409</f>
        <v>2488</v>
      </c>
      <c r="G2409" t="s">
        <f>TEXT(D2409,"mmm dd")</f>
        <v>920</v>
      </c>
      <c r="I2409" t="s">
        <v>2357</v>
      </c>
      <c r="J2409">
        <v>101</v>
      </c>
      <c r="K2409">
        <v>2</v>
      </c>
    </row>
    <row r="2410" spans="1:23">
      <c r="A2410">
        <v>4</v>
      </c>
      <c r="B2410">
        <v>10</v>
      </c>
      <c r="C2410">
        <v>2016</v>
      </c>
      <c r="D2410" s="3" t="str">
        <f>B2410&amp;"/"&amp;A2410&amp;"/"&amp;C2410</f>
        <v>10/4/2016</v>
      </c>
      <c r="E2410">
        <v>0.70833333333333337</v>
      </c>
      <c r="F2410" t="s">
        <f>I2410&amp;" "&amp;J2410&amp;" "&amp;K2410&amp;" "&amp;L2410&amp;" "&amp;M2410&amp;" "&amp;N2410</f>
        <v>2433</v>
      </c>
      <c r="G2410" t="s">
        <f>TEXT(D2410,"mmm dd")</f>
        <v>2111</v>
      </c>
      <c r="I2410" t="s">
        <v>2357</v>
      </c>
      <c r="J2410">
        <v>313</v>
      </c>
    </row>
    <row r="2411" spans="1:23">
      <c r="A2411">
        <v>5</v>
      </c>
      <c r="B2411">
        <v>10</v>
      </c>
      <c r="C2411">
        <v>2016</v>
      </c>
      <c r="D2411" s="3" t="s">
        <f>B2411&amp;"/"&amp;A2411&amp;"/"&amp;C2411</f>
        <v>2549</v>
      </c>
      <c r="E2411">
        <v>0.52083333333333337</v>
      </c>
      <c r="F2411" t="s">
        <f>I2411&amp;" "&amp;J2411&amp;" "&amp;K2411&amp;" "&amp;L2411&amp;" "&amp;M2411&amp;" "&amp;N2411</f>
        <v>2487</v>
      </c>
      <c r="G2411" t="s">
        <f>TEXT(D2411,"mmm dd")</f>
        <v>1612</v>
      </c>
      <c r="I2411" t="s">
        <v>2357</v>
      </c>
      <c r="J2411">
        <v>101</v>
      </c>
      <c r="K2411">
        <v>1</v>
      </c>
    </row>
    <row r="2412" spans="1:23">
      <c r="A2412">
        <v>5</v>
      </c>
      <c r="B2412">
        <v>10</v>
      </c>
      <c r="C2412">
        <v>2016</v>
      </c>
      <c r="D2412" s="3" t="s">
        <f>B2412&amp;"/"&amp;A2412&amp;"/"&amp;C2412</f>
        <v>2549</v>
      </c>
      <c r="E2412">
        <v>0.70833333333333337</v>
      </c>
      <c r="F2412" t="s">
        <f>I2412&amp;" "&amp;J2412&amp;" "&amp;K2412&amp;" "&amp;L2412&amp;" "&amp;M2412&amp;" "&amp;N2412</f>
        <v>2488</v>
      </c>
      <c r="G2412" t="s">
        <f>TEXT(D2412,"mmm dd")</f>
        <v>1612</v>
      </c>
      <c r="I2412" t="s">
        <v>2357</v>
      </c>
      <c r="J2412">
        <v>101</v>
      </c>
      <c r="K2412">
        <v>2</v>
      </c>
    </row>
    <row r="2413" spans="1:23">
      <c r="A2413">
        <v>6</v>
      </c>
      <c r="B2413">
        <v>10</v>
      </c>
      <c r="C2413">
        <v>2016</v>
      </c>
      <c r="D2413" s="3" t="str">
        <f>B2413&amp;"/"&amp;A2413&amp;"/"&amp;C2413</f>
        <v>10/6/2016</v>
      </c>
      <c r="E2413">
        <v>0.58333333333333337</v>
      </c>
      <c r="F2413" t="s">
        <f>I2413&amp;" "&amp;J2413&amp;" "&amp;K2413&amp;" "&amp;L2413&amp;" "&amp;M2413&amp;" "&amp;N2413</f>
        <v>2361</v>
      </c>
      <c r="G2413" t="s">
        <f>TEXT(D2413,"mmm dd")</f>
        <v>1615</v>
      </c>
      <c r="I2413" t="s">
        <v>493</v>
      </c>
      <c r="J2413" t="s">
        <v>2362</v>
      </c>
    </row>
    <row r="2414" spans="1:23">
      <c r="A2414">
        <v>9</v>
      </c>
      <c r="B2414">
        <v>10</v>
      </c>
      <c r="C2414">
        <v>2016</v>
      </c>
      <c r="D2414" s="3" t="str">
        <f>B2414&amp;"/"&amp;A2414&amp;"/"&amp;C2414</f>
        <v>10/9/2016</v>
      </c>
      <c r="E2414">
        <v>0.625</v>
      </c>
      <c r="F2414" t="s">
        <f>I2414&amp;" "&amp;J2414&amp;" "&amp;K2414&amp;" "&amp;L2414&amp;" "&amp;M2414&amp;" "&amp;N2414</f>
        <v>2546</v>
      </c>
      <c r="G2414" t="s">
        <f>TEXT(D2414,"mmm dd")</f>
        <v>924</v>
      </c>
      <c r="I2414" t="s">
        <v>2468</v>
      </c>
      <c r="J2414" t="s">
        <v>53</v>
      </c>
      <c r="K2414" t="s">
        <v>2547</v>
      </c>
    </row>
    <row r="2415" spans="1:23">
      <c r="A2415">
        <v>10</v>
      </c>
      <c r="B2415">
        <v>10</v>
      </c>
      <c r="C2415">
        <v>2016</v>
      </c>
      <c r="D2415" s="3" t="str">
        <f>B2415&amp;"/"&amp;A2415&amp;"/"&amp;C2415</f>
        <v>10/10/2016</v>
      </c>
      <c r="E2415">
        <v>0.52083333333333337</v>
      </c>
      <c r="F2415" t="s">
        <f>I2415&amp;" "&amp;J2415&amp;" "&amp;K2415&amp;" "&amp;L2415&amp;" "&amp;M2415&amp;" "&amp;N2415</f>
        <v>2487</v>
      </c>
      <c r="G2415" t="s">
        <f>TEXT(D2415,"mmm dd")</f>
        <v>1401</v>
      </c>
      <c r="I2415" t="s">
        <v>2357</v>
      </c>
      <c r="J2415">
        <v>101</v>
      </c>
      <c r="K2415">
        <v>1</v>
      </c>
    </row>
    <row r="2416" spans="1:23">
      <c r="A2416">
        <v>12</v>
      </c>
      <c r="B2416">
        <v>10</v>
      </c>
      <c r="C2416">
        <v>2016</v>
      </c>
      <c r="D2416" s="3" t="str">
        <f>B2416&amp;"/"&amp;A2416&amp;"/"&amp;C2416</f>
        <v>10/12/2016</v>
      </c>
      <c r="E2416" t="s">
        <v>42</v>
      </c>
      <c r="F2416" t="str">
        <f>I2416&amp;" "&amp;J2416&amp;" "&amp;K2416&amp;" "&amp;L2416&amp;" "&amp;M2416&amp;" "&amp;N2416</f>
        <v>Ariel get married Florida  </v>
      </c>
      <c r="G2416" t="s">
        <f>TEXT(D2416,"mmm dd")</f>
        <v>1619</v>
      </c>
      <c r="I2416" t="inlineStr">
        <is>
          <t>Ariel</t>
        </is>
      </c>
      <c r="J2416" t="s">
        <v>2460</v>
      </c>
      <c r="K2416" t="inlineStr">
        <is>
          <t>married</t>
        </is>
      </c>
      <c r="L2416" t="s">
        <v>1649</v>
      </c>
    </row>
    <row r="2417" spans="1:23">
      <c r="A2417">
        <v>13</v>
      </c>
      <c r="B2417">
        <v>10</v>
      </c>
      <c r="C2417">
        <v>2016</v>
      </c>
      <c r="D2417" s="3" t="str">
        <f>B2417&amp;"/"&amp;A2417&amp;"/"&amp;C2417</f>
        <v>10/13/2016</v>
      </c>
      <c r="E2417">
        <v>0.70833333333333337</v>
      </c>
      <c r="F2417" t="s">
        <f>I2417&amp;" "&amp;J2417&amp;" "&amp;K2417&amp;" "&amp;L2417&amp;" "&amp;M2417&amp;" "&amp;N2417</f>
        <v>2433</v>
      </c>
      <c r="G2417" t="s">
        <f>TEXT(D2417,"mmm dd")</f>
        <v>1775</v>
      </c>
      <c r="I2417" t="s">
        <v>2357</v>
      </c>
      <c r="J2417">
        <v>313</v>
      </c>
    </row>
    <row r="2418" spans="1:23">
      <c r="A2418">
        <v>16</v>
      </c>
      <c r="B2418">
        <v>10</v>
      </c>
      <c r="C2418">
        <v>2016</v>
      </c>
      <c r="D2418" s="3" t="str">
        <f>B2418&amp;"/"&amp;A2418&amp;"/"&amp;C2418</f>
        <v>10/16/2016</v>
      </c>
      <c r="E2418">
        <v>0.77083333333333337</v>
      </c>
      <c r="F2418" t="str">
        <f>I2418&amp;" "&amp;J2418&amp;" "&amp;K2418&amp;" "&amp;L2418&amp;" "&amp;M2418&amp;" "&amp;N2418</f>
        <v>Meet with Bishop's committee  </v>
      </c>
      <c r="G2418" t="s">
        <f>TEXT(D2418,"mmm dd")</f>
        <v>1404</v>
      </c>
      <c r="I2418" t="s">
        <v>300</v>
      </c>
      <c r="J2418" t="s">
        <v>755</v>
      </c>
      <c r="K2418" t="s">
        <v>2158</v>
      </c>
      <c r="L2418" t="s">
        <v>2084</v>
      </c>
    </row>
    <row r="2419" spans="1:23">
      <c r="A2419">
        <v>18</v>
      </c>
      <c r="B2419">
        <v>10</v>
      </c>
      <c r="C2419">
        <v>2016</v>
      </c>
      <c r="D2419" s="3" t="str">
        <f>B2419&amp;"/"&amp;A2419&amp;"/"&amp;C2419</f>
        <v>10/18/2016</v>
      </c>
      <c r="E2419">
        <v>0.6875</v>
      </c>
      <c r="F2419" t="str">
        <f>I2419&amp;" "&amp;J2419&amp;" "&amp;K2419&amp;" "&amp;L2419&amp;" "&amp;M2419&amp;" "&amp;N2419</f>
        <v>Visit Minnie Jackson   </v>
      </c>
      <c r="G2419" t="s">
        <f>TEXT(D2419,"mmm dd")</f>
        <v>1407</v>
      </c>
      <c r="I2419" t="s">
        <v>1252</v>
      </c>
      <c r="J2419" t="inlineStr">
        <is>
          <t>Minnie</t>
        </is>
      </c>
      <c r="K2419" t="s">
        <v>368</v>
      </c>
    </row>
    <row r="2420" spans="1:23">
      <c r="A2420">
        <v>19</v>
      </c>
      <c r="B2420">
        <v>10</v>
      </c>
      <c r="C2420">
        <v>2016</v>
      </c>
      <c r="D2420" s="3" t="s">
        <f>B2420&amp;"/"&amp;A2420&amp;"/"&amp;C2420</f>
        <v>2550</v>
      </c>
      <c r="E2420">
        <v>0.79166666666666663</v>
      </c>
      <c r="F2420" t="str">
        <f>I2420&amp;" "&amp;J2420&amp;" "&amp;K2420&amp;" "&amp;L2420&amp;" "&amp;M2420&amp;" "&amp;N2420</f>
        <v>Clericus with bishop   </v>
      </c>
      <c r="G2420" t="s">
        <f>TEXT(D2420,"mmm dd")</f>
        <v>1626</v>
      </c>
      <c r="I2420" t="s">
        <v>1409</v>
      </c>
      <c r="J2420" t="s">
        <v>755</v>
      </c>
      <c r="K2420" t="s">
        <v>592</v>
      </c>
    </row>
    <row r="2421" spans="1:23">
      <c r="A2421">
        <v>19</v>
      </c>
      <c r="B2421">
        <v>10</v>
      </c>
      <c r="C2421">
        <v>2016</v>
      </c>
      <c r="D2421" s="3" t="s">
        <f>B2421&amp;"/"&amp;A2421&amp;"/"&amp;C2421</f>
        <v>2550</v>
      </c>
      <c r="E2421">
        <v>0.9375</v>
      </c>
      <c r="F2421" t="str">
        <f>I2421&amp;" "&amp;J2421&amp;" "&amp;K2421&amp;" "&amp;L2421&amp;" "&amp;M2421&amp;" "&amp;N2421</f>
        <v>Yomira to take exam  </v>
      </c>
      <c r="G2421" t="s">
        <f>TEXT(D2421,"mmm dd")</f>
        <v>1626</v>
      </c>
      <c r="I2421" t="inlineStr">
        <is>
          <t>Yomira</t>
        </is>
      </c>
      <c r="J2421" t="s">
        <v>449</v>
      </c>
      <c r="K2421" t="s">
        <v>2346</v>
      </c>
      <c r="L2421" t="s">
        <v>2290</v>
      </c>
    </row>
    <row r="2422" spans="1:23">
      <c r="A2422">
        <v>22</v>
      </c>
      <c r="B2422">
        <v>10</v>
      </c>
      <c r="C2422">
        <v>2016</v>
      </c>
      <c r="D2422" s="3" t="str">
        <f>B2422&amp;"/"&amp;A2422&amp;"/"&amp;C2422</f>
        <v>10/22/2016</v>
      </c>
      <c r="E2422">
        <v>0.66666666666666663</v>
      </c>
      <c r="F2422" t="str">
        <f>I2422&amp;" "&amp;J2422&amp;" "&amp;K2422&amp;" "&amp;L2422&amp;" "&amp;M2422&amp;" "&amp;N2422</f>
        <v>Anti racism training NC (time) </v>
      </c>
      <c r="G2422" t="s">
        <f>TEXT(D2422,"mmm dd")</f>
        <v>1410</v>
      </c>
      <c r="I2422" t="inlineStr">
        <is>
          <t>Anti</t>
        </is>
      </c>
      <c r="J2422" t="inlineStr">
        <is>
          <t>racism</t>
        </is>
      </c>
      <c r="K2422" t="s">
        <v>2342</v>
      </c>
      <c r="L2422" t="s">
        <v>2048</v>
      </c>
      <c r="M2422" t="inlineStr">
        <is>
          <t>(time)</t>
        </is>
      </c>
    </row>
    <row r="2423" spans="1:23">
      <c r="A2423">
        <v>27</v>
      </c>
      <c r="B2423">
        <v>10</v>
      </c>
      <c r="C2423">
        <v>2016</v>
      </c>
      <c r="D2423" s="3" t="str">
        <f>B2423&amp;"/"&amp;A2423&amp;"/"&amp;C2423</f>
        <v>10/27/2016</v>
      </c>
      <c r="E2423">
        <v>0.66666666666666663</v>
      </c>
      <c r="F2423" t="str">
        <f>I2423&amp;" "&amp;J2423&amp;" "&amp;K2423&amp;" "&amp;L2423&amp;" "&amp;M2423&amp;" "&amp;N2423</f>
        <v>Shannon at HR   </v>
      </c>
      <c r="G2423" t="s">
        <f>TEXT(D2423,"mmm dd")</f>
        <v>1781</v>
      </c>
      <c r="I2423" t="inlineStr">
        <is>
          <t>Shannon</t>
        </is>
      </c>
      <c r="J2423" t="s">
        <v>53</v>
      </c>
      <c r="K2423" t="s">
        <v>2551</v>
      </c>
    </row>
    <row r="2424" spans="1:23">
      <c r="A2424">
        <v>30</v>
      </c>
      <c r="B2424">
        <v>10</v>
      </c>
      <c r="C2424">
        <v>2016</v>
      </c>
      <c r="D2424" s="3" t="str">
        <f>B2424&amp;"/"&amp;A2424&amp;"/"&amp;C2424</f>
        <v>10/30/2016</v>
      </c>
      <c r="E2424">
        <v>0.70833333333333337</v>
      </c>
      <c r="F2424" t="s">
        <f>I2424&amp;" "&amp;J2424&amp;" "&amp;K2424&amp;" "&amp;L2424&amp;" "&amp;M2424&amp;" "&amp;N2424</f>
        <v>2552</v>
      </c>
      <c r="G2424" t="s">
        <f>TEXT(D2424,"mmm dd")</f>
        <v>967</v>
      </c>
      <c r="I2424" t="s">
        <v>1796</v>
      </c>
      <c r="J2424" t="s">
        <v>1980</v>
      </c>
    </row>
    <row r="2425" spans="1:23">
      <c r="A2425">
        <v>1</v>
      </c>
      <c r="B2425">
        <v>11</v>
      </c>
      <c r="C2425">
        <v>2016</v>
      </c>
      <c r="D2425" s="3" t="str">
        <f>B2425&amp;"/"&amp;A2425&amp;"/"&amp;C2425</f>
        <v>11/1/2016</v>
      </c>
      <c r="E2425">
        <v>0.625</v>
      </c>
      <c r="F2425" t="str">
        <f>I2425&amp;" "&amp;J2425&amp;" "&amp;K2425&amp;" "&amp;L2425&amp;" "&amp;M2425&amp;" "&amp;N2425</f>
        <v>Cleaning at Periodontist   </v>
      </c>
      <c r="G2425" t="s">
        <f>TEXT(D2425,"mmm dd")</f>
        <v>978</v>
      </c>
      <c r="I2425" t="inlineStr">
        <is>
          <t>Cleaning</t>
        </is>
      </c>
      <c r="J2425" t="s">
        <v>53</v>
      </c>
      <c r="K2425" t="s">
        <v>2523</v>
      </c>
    </row>
    <row r="2426" spans="1:23">
      <c r="A2426">
        <v>4</v>
      </c>
      <c r="B2426">
        <v>11</v>
      </c>
      <c r="C2426">
        <v>2016</v>
      </c>
      <c r="D2426" s="3" t="str">
        <f>B2426&amp;"/"&amp;A2426&amp;"/"&amp;C2426</f>
        <v>11/4/2016</v>
      </c>
      <c r="E2426">
        <v>0.85416666666666663</v>
      </c>
      <c r="F2426" t="str">
        <f>I2426&amp;" "&amp;J2426&amp;" "&amp;K2426&amp;" "&amp;L2426&amp;" "&amp;M2426&amp;" "&amp;N2426</f>
        <v>Mecklenburg Eye appointment   </v>
      </c>
      <c r="G2426" t="s">
        <f>TEXT(D2426,"mmm dd")</f>
        <v>34</v>
      </c>
      <c r="I2426" t="inlineStr">
        <is>
          <t>Mecklenburg</t>
        </is>
      </c>
      <c r="J2426" t="s">
        <v>1910</v>
      </c>
      <c r="K2426" t="s">
        <v>648</v>
      </c>
    </row>
    <row r="2427" spans="1:23">
      <c r="A2427">
        <v>5</v>
      </c>
      <c r="B2427">
        <v>11</v>
      </c>
      <c r="C2427">
        <v>2016</v>
      </c>
      <c r="D2427" s="3" t="str">
        <f>B2427&amp;"/"&amp;A2427&amp;"/"&amp;C2427</f>
        <v>11/5/2016</v>
      </c>
      <c r="E2427">
        <v>0.66666666666666663</v>
      </c>
      <c r="F2427" t="str">
        <f>I2427&amp;" "&amp;J2427&amp;" "&amp;K2427&amp;" "&amp;L2427&amp;" "&amp;M2427&amp;" "&amp;N2427</f>
        <v>USC Convention    </v>
      </c>
      <c r="G2427" t="s">
        <f>TEXT(D2427,"mmm dd")</f>
        <v>35</v>
      </c>
      <c r="I2427" t="inlineStr">
        <is>
          <t>USC</t>
        </is>
      </c>
      <c r="J2427" t="s">
        <v>1338</v>
      </c>
    </row>
    <row r="2428" spans="1:23">
      <c r="A2428">
        <v>6</v>
      </c>
      <c r="B2428">
        <v>11</v>
      </c>
      <c r="C2428">
        <v>2016</v>
      </c>
      <c r="D2428" s="3" t="str">
        <f>B2428&amp;"/"&amp;A2428&amp;"/"&amp;C2428</f>
        <v>11/6/2016</v>
      </c>
      <c r="E2428">
        <v>0.75</v>
      </c>
      <c r="F2428" t="s">
        <f>I2428&amp;" "&amp;J2428&amp;" "&amp;K2428&amp;" "&amp;L2428&amp;" "&amp;M2428&amp;" "&amp;N2428</f>
        <v>2552</v>
      </c>
      <c r="G2428" t="s">
        <f>TEXT(D2428,"mmm dd")</f>
        <v>1645</v>
      </c>
      <c r="I2428" t="s">
        <v>1796</v>
      </c>
      <c r="J2428" t="s">
        <v>1980</v>
      </c>
    </row>
    <row r="2429" spans="1:23">
      <c r="A2429">
        <v>7</v>
      </c>
      <c r="B2429">
        <v>11</v>
      </c>
      <c r="C2429">
        <v>2016</v>
      </c>
      <c r="D2429" s="3" t="str">
        <f>B2429&amp;"/"&amp;A2429&amp;"/"&amp;C2429</f>
        <v>11/7/2016</v>
      </c>
      <c r="E2429">
        <v>0.83333333333333337</v>
      </c>
      <c r="F2429" t="str">
        <f>I2429&amp;" "&amp;J2429&amp;" "&amp;K2429&amp;" "&amp;L2429&amp;" "&amp;M2429&amp;" "&amp;N2429</f>
        <v>Lunch with Nancy from Concord </v>
      </c>
      <c r="G2429" t="s">
        <f>TEXT(D2429,"mmm dd")</f>
        <v>1417</v>
      </c>
      <c r="I2429" t="s">
        <v>813</v>
      </c>
      <c r="J2429" t="s">
        <v>755</v>
      </c>
      <c r="K2429" t="s">
        <v>1668</v>
      </c>
      <c r="L2429" t="s">
        <v>874</v>
      </c>
      <c r="M2429" t="inlineStr">
        <is>
          <t>Concord</t>
        </is>
      </c>
    </row>
    <row r="2430" spans="1:23">
      <c r="A2430">
        <v>10</v>
      </c>
      <c r="B2430">
        <v>11</v>
      </c>
      <c r="C2430">
        <v>2016</v>
      </c>
      <c r="D2430" s="3" t="str">
        <f>B2430&amp;"/"&amp;A2430&amp;"/"&amp;C2430</f>
        <v>11/10/2016</v>
      </c>
      <c r="E2430">
        <v>0.70833333333333337</v>
      </c>
      <c r="F2430" t="s">
        <f>I2430&amp;" "&amp;J2430&amp;" "&amp;K2430&amp;" "&amp;L2430&amp;" "&amp;M2430&amp;" "&amp;N2430</f>
        <v>2433</v>
      </c>
      <c r="G2430" t="s">
        <f>TEXT(D2430,"mmm dd")</f>
        <v>983</v>
      </c>
      <c r="I2430" t="s">
        <v>2357</v>
      </c>
      <c r="J2430">
        <v>313</v>
      </c>
    </row>
    <row r="2431" spans="1:23">
      <c r="A2431">
        <v>13</v>
      </c>
      <c r="B2431">
        <v>11</v>
      </c>
      <c r="C2431">
        <v>2016</v>
      </c>
      <c r="D2431" s="3" t="str">
        <f>B2431&amp;"/"&amp;A2431&amp;"/"&amp;C2431</f>
        <v>11/13/2016</v>
      </c>
      <c r="E2431">
        <v>0.63888888888888884</v>
      </c>
      <c r="F2431" t="s">
        <f>I2431&amp;" "&amp;J2431&amp;" "&amp;K2431&amp;" "&amp;L2431&amp;" "&amp;M2431&amp;" "&amp;N2431</f>
        <v>2553</v>
      </c>
      <c r="G2431" t="s">
        <f>TEXT(D2431,"mmm dd")</f>
        <v>37</v>
      </c>
      <c r="I2431" t="s">
        <v>2554</v>
      </c>
      <c r="J2431" t="s">
        <v>218</v>
      </c>
      <c r="K2431" t="s">
        <v>2471</v>
      </c>
    </row>
    <row r="2432" spans="1:23">
      <c r="A2432">
        <v>15</v>
      </c>
      <c r="B2432">
        <v>11</v>
      </c>
      <c r="C2432">
        <v>2016</v>
      </c>
      <c r="D2432" s="3" t="str">
        <f>B2432&amp;"/"&amp;A2432&amp;"/"&amp;C2432</f>
        <v>11/15/2016</v>
      </c>
      <c r="E2432">
        <v>0.70833333333333337</v>
      </c>
      <c r="F2432" t="s">
        <f>I2432&amp;" "&amp;J2432&amp;" "&amp;K2432&amp;" "&amp;L2432&amp;" "&amp;M2432&amp;" "&amp;N2432</f>
        <v>2433</v>
      </c>
      <c r="G2432" t="s">
        <f>TEXT(D2432,"mmm dd")</f>
        <v>1012</v>
      </c>
      <c r="I2432" t="s">
        <v>2357</v>
      </c>
      <c r="J2432">
        <v>313</v>
      </c>
    </row>
    <row r="2433" spans="1:23">
      <c r="A2433">
        <v>16</v>
      </c>
      <c r="B2433">
        <v>11</v>
      </c>
      <c r="C2433">
        <v>2016</v>
      </c>
      <c r="D2433" s="3" t="str">
        <f>B2433&amp;"/"&amp;A2433&amp;"/"&amp;C2433</f>
        <v>11/16/2016</v>
      </c>
      <c r="E2433">
        <v>0.52083333333333337</v>
      </c>
      <c r="F2433" t="s">
        <f>I2433&amp;" "&amp;J2433&amp;" "&amp;K2433&amp;" "&amp;L2433&amp;" "&amp;M2433&amp;" "&amp;N2433</f>
        <v>2487</v>
      </c>
      <c r="G2433" t="s">
        <f>TEXT(D2433,"mmm dd")</f>
        <v>1654</v>
      </c>
      <c r="I2433" t="s">
        <v>2357</v>
      </c>
      <c r="J2433">
        <v>101</v>
      </c>
      <c r="K2433">
        <v>1</v>
      </c>
    </row>
    <row r="2434" spans="1:23">
      <c r="A2434">
        <v>20</v>
      </c>
      <c r="B2434">
        <v>11</v>
      </c>
      <c r="C2434">
        <v>2016</v>
      </c>
      <c r="D2434" s="3" t="str">
        <f>B2434&amp;"/"&amp;A2434&amp;"/"&amp;C2434</f>
        <v>11/20/2016</v>
      </c>
      <c r="E2434">
        <v>0.63888888888888884</v>
      </c>
      <c r="F2434" t="s">
        <f>I2434&amp;" "&amp;J2434&amp;" "&amp;K2434&amp;" "&amp;L2434&amp;" "&amp;M2434&amp;" "&amp;N2434</f>
        <v>2553</v>
      </c>
      <c r="G2434" t="s">
        <f>TEXT(D2434,"mmm dd")</f>
        <v>1030</v>
      </c>
      <c r="I2434" t="s">
        <v>2554</v>
      </c>
      <c r="J2434" t="s">
        <v>218</v>
      </c>
      <c r="K2434" t="s">
        <v>2471</v>
      </c>
    </row>
    <row r="2435" spans="1:23">
      <c r="A2435">
        <v>22</v>
      </c>
      <c r="B2435">
        <v>11</v>
      </c>
      <c r="C2435">
        <v>2016</v>
      </c>
      <c r="D2435" s="3" t="s">
        <f>B2435&amp;"/"&amp;A2435&amp;"/"&amp;C2435</f>
        <v>2555</v>
      </c>
      <c r="E2435" t="s">
        <v>42</v>
      </c>
      <c r="F2435" t="s">
        <f>I2435&amp;" "&amp;J2435&amp;" "&amp;K2435&amp;" "&amp;L2435&amp;" "&amp;M2435&amp;" "&amp;N2435</f>
        <v>2556</v>
      </c>
      <c r="G2435" t="s">
        <f>TEXT(D2435,"mmm dd")</f>
        <v>1428</v>
      </c>
      <c r="I2435" t="s">
        <v>162</v>
      </c>
      <c r="J2435" t="inlineStr">
        <is>
          <t>died</t>
        </is>
      </c>
    </row>
    <row r="2436" spans="1:23">
      <c r="A2436">
        <v>27</v>
      </c>
      <c r="B2436">
        <v>11</v>
      </c>
      <c r="C2436">
        <v>2016</v>
      </c>
      <c r="D2436" s="3" t="str">
        <f>B2436&amp;"/"&amp;A2436&amp;"/"&amp;C2436</f>
        <v>11/27/2016</v>
      </c>
      <c r="E2436">
        <v>0.54166666666666663</v>
      </c>
      <c r="F2436" t="s">
        <f>I2436&amp;" "&amp;J2436&amp;" "&amp;K2436&amp;" "&amp;L2436&amp;" "&amp;M2436&amp;" "&amp;N2436</f>
        <v>2552</v>
      </c>
      <c r="G2436" t="s">
        <f>TEXT(D2436,"mmm dd")</f>
        <v>1045</v>
      </c>
      <c r="I2436" t="s">
        <v>1796</v>
      </c>
      <c r="J2436" t="s">
        <v>1980</v>
      </c>
    </row>
    <row r="2437" spans="1:23">
      <c r="A2437">
        <v>1</v>
      </c>
      <c r="B2437">
        <v>12</v>
      </c>
      <c r="C2437">
        <v>2016</v>
      </c>
      <c r="D2437" s="3" t="str">
        <f>B2437&amp;"/"&amp;A2437&amp;"/"&amp;C2437</f>
        <v>12/1/2016</v>
      </c>
      <c r="E2437">
        <v>0.58333333333333337</v>
      </c>
      <c r="F2437" t="s">
        <f>I2437&amp;" "&amp;J2437&amp;" "&amp;K2437&amp;" "&amp;L2437&amp;" "&amp;M2437&amp;" "&amp;N2437</f>
        <v>2361</v>
      </c>
      <c r="G2437" t="s">
        <f>TEXT(D2437,"mmm dd")</f>
        <v>1437</v>
      </c>
      <c r="I2437" t="s">
        <v>493</v>
      </c>
      <c r="J2437" t="s">
        <v>2362</v>
      </c>
    </row>
    <row r="2438" spans="1:23">
      <c r="A2438">
        <v>7</v>
      </c>
      <c r="B2438">
        <v>12</v>
      </c>
      <c r="C2438">
        <v>2016</v>
      </c>
      <c r="D2438" s="3" t="s">
        <f>B2438&amp;"/"&amp;A2438&amp;"/"&amp;C2438</f>
        <v>2557</v>
      </c>
      <c r="E2438">
        <v>0.8125</v>
      </c>
      <c r="F2438" t="str">
        <f>I2438&amp;" "&amp;J2438&amp;" "&amp;K2438&amp;" "&amp;L2438&amp;" "&amp;M2438&amp;" "&amp;N2438</f>
        <v>RELG 313 final   </v>
      </c>
      <c r="G2438" t="s">
        <f>TEXT(D2438,"mmm dd")</f>
        <v>1447</v>
      </c>
      <c r="I2438" t="s">
        <v>2357</v>
      </c>
      <c r="J2438">
        <v>313</v>
      </c>
      <c r="K2438" t="s">
        <v>2558</v>
      </c>
    </row>
    <row r="2439" spans="1:23">
      <c r="A2439">
        <v>7</v>
      </c>
      <c r="B2439">
        <v>12</v>
      </c>
      <c r="C2439">
        <v>2016</v>
      </c>
      <c r="D2439" s="3" t="s">
        <f>B2439&amp;"/"&amp;A2439&amp;"/"&amp;C2439</f>
        <v>2557</v>
      </c>
      <c r="E2439">
        <v>0.95833333333333337</v>
      </c>
      <c r="F2439" t="str">
        <f>I2439&amp;" "&amp;J2439&amp;" "&amp;K2439&amp;" "&amp;L2439&amp;" "&amp;M2439&amp;" "&amp;N2439</f>
        <v>RELG 101 2 final  </v>
      </c>
      <c r="G2439" t="s">
        <f>TEXT(D2439,"mmm dd")</f>
        <v>1447</v>
      </c>
      <c r="I2439" t="s">
        <v>2357</v>
      </c>
      <c r="J2439">
        <v>101</v>
      </c>
      <c r="K2439">
        <v>2</v>
      </c>
      <c r="L2439" t="s">
        <v>2558</v>
      </c>
    </row>
    <row r="2440" spans="1:23">
      <c r="A2440">
        <v>12</v>
      </c>
      <c r="B2440">
        <v>12</v>
      </c>
      <c r="C2440">
        <v>2016</v>
      </c>
      <c r="D2440" s="3" t="str">
        <f>B2440&amp;"/"&amp;A2440&amp;"/"&amp;C2440</f>
        <v>12/12/2016</v>
      </c>
      <c r="E2440">
        <v>0.8125</v>
      </c>
      <c r="F2440" t="str">
        <f>I2440&amp;" "&amp;J2440&amp;" "&amp;K2440&amp;" "&amp;L2440&amp;" "&amp;M2440&amp;" "&amp;N2440</f>
        <v>RELG 101 1 final  </v>
      </c>
      <c r="G2440" t="s">
        <f>TEXT(D2440,"mmm dd")</f>
        <v>1067</v>
      </c>
      <c r="I2440" t="s">
        <v>2357</v>
      </c>
      <c r="J2440">
        <v>101</v>
      </c>
      <c r="K2440">
        <v>1</v>
      </c>
      <c r="L2440" t="s">
        <v>2558</v>
      </c>
    </row>
    <row r="2441" spans="1:23">
      <c r="A2441">
        <v>14</v>
      </c>
      <c r="B2441">
        <v>12</v>
      </c>
      <c r="C2441">
        <v>2016</v>
      </c>
      <c r="D2441" s="3" t="s">
        <f>B2441&amp;"/"&amp;A2441&amp;"/"&amp;C2441</f>
        <v>2559</v>
      </c>
      <c r="E2441">
        <v>0.75</v>
      </c>
      <c r="F2441" t="str">
        <f>I2441&amp;" "&amp;J2441&amp;" "&amp;K2441&amp;" "&amp;L2441&amp;" "&amp;M2441&amp;" "&amp;N2441</f>
        <v>meet with Bishop re. St. Peter's</v>
      </c>
      <c r="G2441" t="s">
        <f>TEXT(D2441,"mmm dd")</f>
        <v>1079</v>
      </c>
      <c r="I2441" t="s">
        <v>1210</v>
      </c>
      <c r="J2441" t="s">
        <v>755</v>
      </c>
      <c r="K2441" t="s">
        <v>85</v>
      </c>
      <c r="L2441" t="s">
        <v>633</v>
      </c>
      <c r="M2441" t="s">
        <v>218</v>
      </c>
      <c r="N2441" t="s">
        <v>2560</v>
      </c>
    </row>
    <row r="2442" spans="1:23">
      <c r="A2442">
        <v>14</v>
      </c>
      <c r="B2442">
        <v>12</v>
      </c>
      <c r="C2442">
        <v>2016</v>
      </c>
      <c r="D2442" s="3" t="s">
        <f>B2442&amp;"/"&amp;A2442&amp;"/"&amp;C2442</f>
        <v>2559</v>
      </c>
      <c r="E2442">
        <v>0.6875</v>
      </c>
      <c r="F2442" t="str">
        <f>I2442&amp;" "&amp;J2442&amp;" "&amp;K2442&amp;" "&amp;L2442&amp;" "&amp;M2442&amp;" "&amp;N2442</f>
        <v>Pick up Speedy   </v>
      </c>
      <c r="G2442" t="s">
        <f>TEXT(D2442,"mmm dd")</f>
        <v>1079</v>
      </c>
      <c r="I2442" t="s">
        <v>806</v>
      </c>
      <c r="J2442" t="s">
        <v>807</v>
      </c>
      <c r="K2442" t="inlineStr">
        <is>
          <t>Speedy</t>
        </is>
      </c>
    </row>
    <row r="2443" spans="1:23">
      <c r="A2443">
        <v>19</v>
      </c>
      <c r="B2443">
        <v>12</v>
      </c>
      <c r="C2443">
        <v>2016</v>
      </c>
      <c r="D2443" s="3" t="str">
        <f>B2443&amp;"/"&amp;A2443&amp;"/"&amp;C2443</f>
        <v>12/19/2016</v>
      </c>
      <c r="E2443" t="s">
        <v>42</v>
      </c>
      <c r="F2443" t="str">
        <f>I2443&amp;" "&amp;J2443&amp;" "&amp;K2443&amp;" "&amp;L2443&amp;" "&amp;M2443&amp;" "&amp;N2443</f>
        <v>George Detwiler birthday   </v>
      </c>
      <c r="G2443" t="s">
        <f>TEXT(D2443,"mmm dd")</f>
        <v>1114</v>
      </c>
      <c r="I2443" t="s">
        <v>162</v>
      </c>
      <c r="J2443" t="s">
        <v>2278</v>
      </c>
      <c r="K2443" t="s">
        <v>319</v>
      </c>
    </row>
    <row r="2444" spans="1:23">
      <c r="A2444">
        <v>25</v>
      </c>
      <c r="B2444">
        <v>12</v>
      </c>
      <c r="C2444">
        <v>2016</v>
      </c>
      <c r="D2444" s="3" t="str">
        <f>B2444&amp;"/"&amp;A2444&amp;"/"&amp;C2444</f>
        <v>12/25/2016</v>
      </c>
      <c r="E2444">
        <v>0.99861111111111112</v>
      </c>
      <c r="F2444" t="s">
        <f>I2444&amp;" "&amp;J2444&amp;" "&amp;K2444&amp;" "&amp;L2444&amp;" "&amp;M2444&amp;" "&amp;N2444</f>
        <v>2368</v>
      </c>
      <c r="G2444" t="s">
        <f>TEXT(D2444,"mmm dd")</f>
        <v>1468</v>
      </c>
      <c r="I2444" t="s">
        <v>2365</v>
      </c>
      <c r="J2444" t="s">
        <v>449</v>
      </c>
      <c r="K2444" t="s">
        <v>2369</v>
      </c>
    </row>
    <row r="2445" spans="1:23">
      <c r="A2445">
        <v>26</v>
      </c>
      <c r="B2445">
        <v>12</v>
      </c>
      <c r="C2445">
        <v>2016</v>
      </c>
      <c r="D2445" s="3" t="str">
        <f>B2445&amp;"/"&amp;A2445&amp;"/"&amp;C2445</f>
        <v>12/26/2016</v>
      </c>
      <c r="E2445">
        <v>0.14305555555555555</v>
      </c>
      <c r="F2445" t="str">
        <f>I2445&amp;" "&amp;J2445&amp;" "&amp;K2445&amp;" "&amp;L2445&amp;" "&amp;M2445&amp;" "&amp;N2445</f>
        <v>Flight to El Paso  </v>
      </c>
      <c r="G2445" t="s">
        <f>TEXT(D2445,"mmm dd")</f>
        <v>2272</v>
      </c>
      <c r="I2445" t="s">
        <v>2365</v>
      </c>
      <c r="J2445" t="s">
        <v>449</v>
      </c>
      <c r="K2445" t="s">
        <v>2455</v>
      </c>
      <c r="L2445" t="s">
        <v>2456</v>
      </c>
    </row>
    <row r="2446" spans="1:23">
      <c r="A2446">
        <v>30</v>
      </c>
      <c r="B2446">
        <v>12</v>
      </c>
      <c r="C2446">
        <v>2016</v>
      </c>
      <c r="D2446" s="3" t="s">
        <f>B2446&amp;"/"&amp;A2446&amp;"/"&amp;C2446</f>
        <v>2561</v>
      </c>
      <c r="E2446">
        <v>0.66666666666666663</v>
      </c>
      <c r="F2446" t="s">
        <f>I2446&amp;" "&amp;J2446&amp;" "&amp;K2446&amp;" "&amp;L2446&amp;" "&amp;M2446&amp;" "&amp;N2446</f>
        <v>2368</v>
      </c>
      <c r="G2446" t="s">
        <f>TEXT(D2446,"mmm dd")</f>
        <v>38</v>
      </c>
      <c r="I2446" t="s">
        <v>2365</v>
      </c>
      <c r="J2446" t="s">
        <v>449</v>
      </c>
      <c r="K2446" t="s">
        <v>2369</v>
      </c>
    </row>
    <row r="2447" spans="1:23">
      <c r="A2447">
        <v>30</v>
      </c>
      <c r="B2447">
        <v>12</v>
      </c>
      <c r="C2447">
        <v>2016</v>
      </c>
      <c r="D2447" s="3" t="s">
        <f>B2447&amp;"/"&amp;A2447&amp;"/"&amp;C2447</f>
        <v>2561</v>
      </c>
      <c r="E2447">
        <v>0.83680555555555558</v>
      </c>
      <c r="F2447" t="str">
        <f>I2447&amp;" "&amp;J2447&amp;" "&amp;K2447&amp;" "&amp;L2447&amp;" "&amp;M2447&amp;" "&amp;N2447</f>
        <v>Flight to Dayton   </v>
      </c>
      <c r="G2447" t="s">
        <f>TEXT(D2447,"mmm dd")</f>
        <v>38</v>
      </c>
      <c r="I2447" t="s">
        <v>2365</v>
      </c>
      <c r="J2447" t="s">
        <v>449</v>
      </c>
      <c r="K2447" t="s">
        <v>2562</v>
      </c>
    </row>
    <row r="2448" spans="1:23">
      <c r="A2448">
        <v>4</v>
      </c>
      <c r="B2448">
        <v>1</v>
      </c>
      <c r="C2448">
        <v>2017</v>
      </c>
      <c r="D2448" s="3" t="s">
        <f>B2448&amp;"/"&amp;A2448&amp;"/"&amp;C2448</f>
        <v>2563</v>
      </c>
      <c r="E2448">
        <v>0.89930555555555558</v>
      </c>
      <c r="F2448" t="s">
        <f>I2448&amp;" "&amp;J2448&amp;" "&amp;K2448&amp;" "&amp;L2448&amp;" "&amp;M2448&amp;" "&amp;N2448</f>
        <v>2401</v>
      </c>
      <c r="G2448" t="s">
        <f>TEXT(D2448,"mmm dd")</f>
        <v>1677</v>
      </c>
      <c r="I2448" t="s">
        <v>2365</v>
      </c>
      <c r="J2448" t="s">
        <v>449</v>
      </c>
      <c r="K2448" t="s">
        <v>2402</v>
      </c>
    </row>
    <row r="2449" spans="1:23">
      <c r="A2449">
        <v>4</v>
      </c>
      <c r="B2449">
        <v>1</v>
      </c>
      <c r="C2449">
        <v>2017</v>
      </c>
      <c r="D2449" s="3" t="s">
        <f>B2449&amp;"/"&amp;A2449&amp;"/"&amp;C2449</f>
        <v>2563</v>
      </c>
      <c r="E2449">
        <v>0.97569444444444442</v>
      </c>
      <c r="F2449" t="s">
        <f>I2449&amp;" "&amp;J2449&amp;" "&amp;K2449&amp;" "&amp;L2449&amp;" "&amp;M2449&amp;" "&amp;N2449</f>
        <v>2371</v>
      </c>
      <c r="G2449" t="s">
        <f>TEXT(D2449,"mmm dd")</f>
        <v>1677</v>
      </c>
      <c r="I2449" t="s">
        <v>2365</v>
      </c>
      <c r="J2449" t="s">
        <v>449</v>
      </c>
      <c r="K2449" t="s">
        <v>2372</v>
      </c>
    </row>
    <row r="2450" spans="1:23">
      <c r="A2450">
        <v>5</v>
      </c>
      <c r="B2450">
        <v>1</v>
      </c>
      <c r="C2450">
        <v>2017</v>
      </c>
      <c r="D2450" s="3" t="str">
        <f>B2450&amp;"/"&amp;A2450&amp;"/"&amp;C2450</f>
        <v>1/5/2017</v>
      </c>
      <c r="E2450">
        <v>1</v>
      </c>
      <c r="F2450" t="s">
        <f>I2450&amp;" "&amp;J2450&amp;" "&amp;K2450&amp;" "&amp;L2450&amp;" "&amp;M2450&amp;" "&amp;N2450</f>
        <v>2564</v>
      </c>
      <c r="G2450" t="s">
        <f>TEXT(D2450,"mmm dd")</f>
        <v>2485</v>
      </c>
      <c r="I2450" t="s">
        <v>1861</v>
      </c>
      <c r="J2450" t="s">
        <v>449</v>
      </c>
      <c r="K2450" t="s">
        <v>1855</v>
      </c>
      <c r="L2450" t="s">
        <v>86</v>
      </c>
      <c r="N2450" t="s">
        <v>1856</v>
      </c>
    </row>
    <row r="2451" spans="1:23">
      <c r="A2451">
        <v>8</v>
      </c>
      <c r="B2451">
        <v>1</v>
      </c>
      <c r="C2451">
        <v>2017</v>
      </c>
      <c r="D2451" s="3" t="str">
        <f>B2451&amp;"/"&amp;A2451&amp;"/"&amp;C2451</f>
        <v>1/8/2017</v>
      </c>
      <c r="E2451">
        <v>0.75</v>
      </c>
      <c r="F2451" t="s">
        <f>I2451&amp;" "&amp;J2451&amp;" "&amp;K2451&amp;" "&amp;L2451&amp;" "&amp;M2451&amp;" "&amp;N2451</f>
        <v>2565</v>
      </c>
      <c r="G2451" t="s">
        <f>TEXT(D2451,"mmm dd")</f>
        <v>2566</v>
      </c>
      <c r="I2451" t="s">
        <v>218</v>
      </c>
      <c r="J2451" t="s">
        <v>2560</v>
      </c>
    </row>
    <row r="2452" spans="1:23">
      <c r="A2452">
        <v>9</v>
      </c>
      <c r="B2452">
        <v>1</v>
      </c>
      <c r="C2452">
        <v>2017</v>
      </c>
      <c r="D2452" s="3" t="s">
        <f>B2452&amp;"/"&amp;A2452&amp;"/"&amp;C2452</f>
        <v>2567</v>
      </c>
      <c r="E2452">
        <v>0.70833333333333337</v>
      </c>
      <c r="F2452" t="s">
        <f>I2452&amp;" "&amp;J2452&amp;" "&amp;K2452&amp;" "&amp;L2452&amp;" "&amp;M2452&amp;" "&amp;N2452</f>
        <v>2488</v>
      </c>
      <c r="G2452" t="s">
        <f>TEXT(D2452,"mmm dd")</f>
        <v>1476</v>
      </c>
      <c r="I2452" t="s">
        <v>2357</v>
      </c>
      <c r="J2452">
        <v>101</v>
      </c>
      <c r="K2452">
        <v>2</v>
      </c>
    </row>
    <row r="2453" spans="1:23">
      <c r="A2453">
        <v>9</v>
      </c>
      <c r="B2453">
        <v>1</v>
      </c>
      <c r="C2453">
        <v>2017</v>
      </c>
      <c r="D2453" s="3" t="s">
        <f>B2453&amp;"/"&amp;A2453&amp;"/"&amp;C2453</f>
        <v>2567</v>
      </c>
      <c r="E2453">
        <v>0.52083333333333337</v>
      </c>
      <c r="F2453" t="s">
        <f>I2453&amp;" "&amp;J2453&amp;" "&amp;K2453&amp;" "&amp;L2453&amp;" "&amp;M2453&amp;" "&amp;N2453</f>
        <v>2487</v>
      </c>
      <c r="G2453" t="s">
        <f>TEXT(D2453,"mmm dd")</f>
        <v>1476</v>
      </c>
      <c r="I2453" t="s">
        <v>2357</v>
      </c>
      <c r="J2453">
        <v>101</v>
      </c>
      <c r="K2453">
        <v>1</v>
      </c>
    </row>
    <row r="2454" spans="1:23">
      <c r="A2454">
        <v>10</v>
      </c>
      <c r="B2454">
        <v>1</v>
      </c>
      <c r="C2454">
        <v>2017</v>
      </c>
      <c r="D2454" s="3" t="str">
        <f>B2454&amp;"/"&amp;A2454&amp;"/"&amp;C2454</f>
        <v>1/10/2017</v>
      </c>
      <c r="E2454">
        <v>0.70833333333333337</v>
      </c>
      <c r="F2454" t="s">
        <f>I2454&amp;" "&amp;J2454&amp;" "&amp;K2454&amp;" "&amp;L2454&amp;" "&amp;M2454&amp;" "&amp;N2454</f>
        <v>2359</v>
      </c>
      <c r="G2454" t="s">
        <f>TEXT(D2454,"mmm dd")</f>
        <v>1146</v>
      </c>
      <c r="I2454" t="s">
        <v>2357</v>
      </c>
      <c r="J2454">
        <v>220</v>
      </c>
    </row>
    <row r="2455" spans="1:23">
      <c r="A2455">
        <v>13</v>
      </c>
      <c r="B2455">
        <v>1</v>
      </c>
      <c r="C2455">
        <v>2017</v>
      </c>
      <c r="D2455" s="3" t="str">
        <f>B2455&amp;"/"&amp;A2455&amp;"/"&amp;C2455</f>
        <v>1/13/2017</v>
      </c>
      <c r="E2455">
        <v>0.89583333333333337</v>
      </c>
      <c r="F2455" t="s">
        <f>I2455&amp;" "&amp;J2455&amp;" "&amp;K2455&amp;" "&amp;L2455&amp;" "&amp;M2455&amp;" "&amp;N2455</f>
        <v>2564</v>
      </c>
      <c r="G2455" t="s">
        <f>TEXT(D2455,"mmm dd")</f>
        <v>1164</v>
      </c>
      <c r="I2455" t="s">
        <v>1861</v>
      </c>
      <c r="J2455" t="s">
        <v>449</v>
      </c>
      <c r="K2455" t="s">
        <v>1855</v>
      </c>
      <c r="L2455" t="s">
        <v>86</v>
      </c>
      <c r="N2455" t="s">
        <v>1856</v>
      </c>
    </row>
    <row r="2456" spans="1:23">
      <c r="A2456">
        <v>15</v>
      </c>
      <c r="B2456">
        <v>1</v>
      </c>
      <c r="C2456">
        <v>2017</v>
      </c>
      <c r="D2456" s="3" t="str">
        <f>B2456&amp;"/"&amp;A2456&amp;"/"&amp;C2456</f>
        <v>1/15/2017</v>
      </c>
      <c r="E2456">
        <v>0.75</v>
      </c>
      <c r="F2456" t="s">
        <f>I2456&amp;" "&amp;J2456&amp;" "&amp;K2456&amp;" "&amp;L2456&amp;" "&amp;M2456&amp;" "&amp;N2456</f>
        <v>2552</v>
      </c>
      <c r="G2456" t="s">
        <f>TEXT(D2456,"mmm dd")</f>
        <v>1686</v>
      </c>
      <c r="I2456" t="s">
        <v>1796</v>
      </c>
      <c r="J2456" t="s">
        <v>1980</v>
      </c>
    </row>
    <row r="2457" spans="1:23">
      <c r="A2457">
        <v>17</v>
      </c>
      <c r="B2457">
        <v>1</v>
      </c>
      <c r="C2457">
        <v>2017</v>
      </c>
      <c r="D2457" s="3" t="s">
        <f>B2457&amp;"/"&amp;A2457&amp;"/"&amp;C2457</f>
        <v>2568</v>
      </c>
      <c r="E2457">
        <v>0.97916666666666663</v>
      </c>
      <c r="F2457" t="s">
        <f>I2457&amp;" "&amp;J2457&amp;" "&amp;K2457&amp;" "&amp;L2457&amp;" "&amp;M2457&amp;" "&amp;N2457</f>
        <v>2361</v>
      </c>
      <c r="G2457" t="s">
        <f>TEXT(D2457,"mmm dd")</f>
        <v>1174</v>
      </c>
      <c r="I2457" t="s">
        <v>493</v>
      </c>
      <c r="J2457" t="s">
        <v>2362</v>
      </c>
    </row>
    <row r="2458" spans="1:23">
      <c r="A2458">
        <v>17</v>
      </c>
      <c r="B2458">
        <v>1</v>
      </c>
      <c r="C2458">
        <v>2017</v>
      </c>
      <c r="D2458" s="3" t="s">
        <f>B2458&amp;"/"&amp;A2458&amp;"/"&amp;C2458</f>
        <v>2568</v>
      </c>
      <c r="E2458">
        <v>0.70833333333333337</v>
      </c>
      <c r="F2458" t="s">
        <f>I2458&amp;" "&amp;J2458&amp;" "&amp;K2458&amp;" "&amp;L2458&amp;" "&amp;M2458&amp;" "&amp;N2458</f>
        <v>2359</v>
      </c>
      <c r="G2458" t="s">
        <f>TEXT(D2458,"mmm dd")</f>
        <v>1174</v>
      </c>
      <c r="I2458" t="s">
        <v>2357</v>
      </c>
      <c r="J2458">
        <v>220</v>
      </c>
    </row>
    <row r="2459" spans="1:23">
      <c r="A2459">
        <v>18</v>
      </c>
      <c r="B2459">
        <v>1</v>
      </c>
      <c r="C2459">
        <v>2017</v>
      </c>
      <c r="D2459" s="3" t="s">
        <f>B2459&amp;"/"&amp;A2459&amp;"/"&amp;C2459</f>
        <v>2569</v>
      </c>
      <c r="E2459">
        <v>0.97916666666666663</v>
      </c>
      <c r="F2459" t="s">
        <f>I2459&amp;" "&amp;J2459&amp;" "&amp;K2459&amp;" "&amp;L2459&amp;" "&amp;M2459&amp;" "&amp;N2459</f>
        <v>2361</v>
      </c>
      <c r="G2459" t="s">
        <f>TEXT(D2459,"mmm dd")</f>
        <v>1687</v>
      </c>
      <c r="I2459" t="s">
        <v>493</v>
      </c>
      <c r="J2459" t="s">
        <v>2362</v>
      </c>
    </row>
    <row r="2460" spans="1:23">
      <c r="A2460">
        <v>18</v>
      </c>
      <c r="B2460">
        <v>1</v>
      </c>
      <c r="C2460">
        <v>2017</v>
      </c>
      <c r="D2460" s="3" t="s">
        <f>B2460&amp;"/"&amp;A2460&amp;"/"&amp;C2460</f>
        <v>2569</v>
      </c>
      <c r="E2460">
        <v>0.70833333333333337</v>
      </c>
      <c r="F2460" t="s">
        <f>I2460&amp;" "&amp;J2460&amp;" "&amp;K2460&amp;" "&amp;L2460&amp;" "&amp;M2460&amp;" "&amp;N2460</f>
        <v>2488</v>
      </c>
      <c r="G2460" t="s">
        <f>TEXT(D2460,"mmm dd")</f>
        <v>1687</v>
      </c>
      <c r="I2460" t="s">
        <v>2357</v>
      </c>
      <c r="J2460">
        <v>101</v>
      </c>
      <c r="K2460">
        <v>2</v>
      </c>
    </row>
    <row r="2461" spans="1:23">
      <c r="A2461">
        <v>19</v>
      </c>
      <c r="B2461">
        <v>1</v>
      </c>
      <c r="C2461">
        <v>2017</v>
      </c>
      <c r="D2461" s="3" t="str">
        <f>B2461&amp;"/"&amp;A2461&amp;"/"&amp;C2461</f>
        <v>1/19/2017</v>
      </c>
      <c r="E2461">
        <v>0.79166666666666663</v>
      </c>
      <c r="F2461" t="s">
        <f>I2461&amp;" "&amp;J2461&amp;" "&amp;K2461&amp;" "&amp;L2461&amp;" "&amp;M2461&amp;" "&amp;N2461</f>
        <v>2361</v>
      </c>
      <c r="G2461" t="s">
        <f>TEXT(D2461,"mmm dd")</f>
        <v>1481</v>
      </c>
      <c r="I2461" t="s">
        <v>493</v>
      </c>
      <c r="J2461" t="s">
        <v>2362</v>
      </c>
    </row>
    <row r="2462" spans="1:23">
      <c r="A2462">
        <v>22</v>
      </c>
      <c r="B2462">
        <v>1</v>
      </c>
      <c r="C2462">
        <v>2017</v>
      </c>
      <c r="D2462" s="3" t="str">
        <f>B2462&amp;"/"&amp;A2462&amp;"/"&amp;C2462</f>
        <v>1/22/2017</v>
      </c>
      <c r="E2462">
        <v>0.66666666666666663</v>
      </c>
      <c r="F2462" t="str">
        <f>I2462&amp;" "&amp;J2462&amp;" "&amp;K2462&amp;" "&amp;L2462&amp;" "&amp;M2462&amp;" "&amp;N2462</f>
        <v>St Pauls    </v>
      </c>
      <c r="G2462" t="s">
        <f>TEXT(D2462,"mmm dd")</f>
        <v>1692</v>
      </c>
      <c r="I2462" t="s">
        <v>1796</v>
      </c>
      <c r="J2462" t="inlineStr">
        <is>
          <t>Pauls</t>
        </is>
      </c>
    </row>
    <row r="2463" spans="1:23">
      <c r="A2463">
        <v>23</v>
      </c>
      <c r="B2463">
        <v>1</v>
      </c>
      <c r="C2463">
        <v>2017</v>
      </c>
      <c r="D2463" s="3" t="str">
        <f>B2463&amp;"/"&amp;A2463&amp;"/"&amp;C2463</f>
        <v>1/23/2017</v>
      </c>
      <c r="E2463">
        <v>0.52083333333333337</v>
      </c>
      <c r="F2463" t="s">
        <f>I2463&amp;" "&amp;J2463&amp;" "&amp;K2463&amp;" "&amp;L2463&amp;" "&amp;M2463&amp;" "&amp;N2463</f>
        <v>2487</v>
      </c>
      <c r="G2463" t="s">
        <f>TEXT(D2463,"mmm dd")</f>
        <v>1179</v>
      </c>
      <c r="I2463" t="s">
        <v>2357</v>
      </c>
      <c r="J2463">
        <v>101</v>
      </c>
      <c r="K2463">
        <v>1</v>
      </c>
    </row>
    <row r="2464" spans="1:23">
      <c r="A2464">
        <v>24</v>
      </c>
      <c r="B2464">
        <v>1</v>
      </c>
      <c r="C2464">
        <v>2017</v>
      </c>
      <c r="D2464" s="3" t="str">
        <f>B2464&amp;"/"&amp;A2464&amp;"/"&amp;C2464</f>
        <v>1/24/2017</v>
      </c>
      <c r="E2464">
        <v>0.70833333333333337</v>
      </c>
      <c r="F2464" t="s">
        <f>I2464&amp;" "&amp;J2464&amp;" "&amp;K2464&amp;" "&amp;L2464&amp;" "&amp;M2464&amp;" "&amp;N2464</f>
        <v>2359</v>
      </c>
      <c r="G2464" t="s">
        <f>TEXT(D2464,"mmm dd")</f>
        <v>1829</v>
      </c>
      <c r="I2464" t="s">
        <v>2357</v>
      </c>
      <c r="J2464">
        <v>220</v>
      </c>
    </row>
    <row r="2465" spans="1:23">
      <c r="A2465">
        <v>31</v>
      </c>
      <c r="B2465">
        <v>1</v>
      </c>
      <c r="C2465">
        <v>2017</v>
      </c>
      <c r="D2465" s="3" t="str">
        <f>B2465&amp;"/"&amp;A2465&amp;"/"&amp;C2465</f>
        <v>1/31/2017</v>
      </c>
      <c r="E2465">
        <v>0.77083333333333337</v>
      </c>
      <c r="F2465" t="s">
        <f>I2465&amp;" "&amp;J2465&amp;" "&amp;K2465&amp;" "&amp;L2465&amp;" "&amp;M2465&amp;" "&amp;N2465</f>
        <v>2570</v>
      </c>
      <c r="G2465" t="s">
        <f>TEXT(D2465,"mmm dd")</f>
        <v>1500</v>
      </c>
      <c r="I2465" t="s">
        <v>2571</v>
      </c>
      <c r="J2465" t="s">
        <v>493</v>
      </c>
      <c r="K2465" t="s">
        <v>2362</v>
      </c>
    </row>
    <row r="2466" spans="1:23">
      <c r="A2466">
        <v>2</v>
      </c>
      <c r="B2466">
        <v>2</v>
      </c>
      <c r="C2466">
        <v>2017</v>
      </c>
      <c r="D2466" s="3" t="str">
        <f>B2466&amp;"/"&amp;A2466&amp;"/"&amp;C2466</f>
        <v>2/2/2017</v>
      </c>
      <c r="E2466">
        <v>0.58333333333333337</v>
      </c>
      <c r="F2466" t="s">
        <f>I2466&amp;" "&amp;J2466&amp;" "&amp;K2466&amp;" "&amp;L2466&amp;" "&amp;M2466&amp;" "&amp;N2466</f>
        <v>2570</v>
      </c>
      <c r="G2466" t="s">
        <f>TEXT(D2466,"mmm dd")</f>
        <v>1699</v>
      </c>
      <c r="I2466" t="s">
        <v>2571</v>
      </c>
      <c r="J2466" t="s">
        <v>493</v>
      </c>
      <c r="K2466" t="s">
        <v>2362</v>
      </c>
    </row>
    <row r="2467" spans="1:23">
      <c r="A2467">
        <v>7</v>
      </c>
      <c r="B2467">
        <v>2</v>
      </c>
      <c r="C2467">
        <v>2017</v>
      </c>
      <c r="D2467" s="3" t="str">
        <f>B2467&amp;"/"&amp;A2467&amp;"/"&amp;C2467</f>
        <v>2/7/2017</v>
      </c>
      <c r="E2467">
        <v>0.79166666666666663</v>
      </c>
      <c r="F2467" t="s">
        <f>I2467&amp;" "&amp;J2467&amp;" "&amp;K2467&amp;" "&amp;L2467&amp;" "&amp;M2467&amp;" "&amp;N2467</f>
        <v>2361</v>
      </c>
      <c r="G2467" t="s">
        <f>TEXT(D2467,"mmm dd")</f>
        <v>2572</v>
      </c>
      <c r="I2467" t="s">
        <v>493</v>
      </c>
      <c r="J2467" t="s">
        <v>2362</v>
      </c>
    </row>
    <row r="2468" spans="1:23">
      <c r="A2468">
        <v>15</v>
      </c>
      <c r="B2468">
        <v>2</v>
      </c>
      <c r="C2468">
        <v>2017</v>
      </c>
      <c r="D2468" s="3" t="s">
        <f>B2468&amp;"/"&amp;A2468&amp;"/"&amp;C2468</f>
        <v>2573</v>
      </c>
      <c r="E2468">
        <v>0.52083333333333337</v>
      </c>
      <c r="F2468" t="s">
        <f>I2468&amp;" "&amp;J2468&amp;" "&amp;K2468&amp;" "&amp;L2468&amp;" "&amp;M2468&amp;" "&amp;N2468</f>
        <v>2487</v>
      </c>
      <c r="G2468" t="s">
        <f>TEXT(D2468,"mmm dd")</f>
        <v>1849</v>
      </c>
      <c r="I2468" t="s">
        <v>2357</v>
      </c>
      <c r="J2468">
        <v>101</v>
      </c>
      <c r="K2468">
        <v>1</v>
      </c>
    </row>
    <row r="2469" spans="1:23">
      <c r="A2469">
        <v>15</v>
      </c>
      <c r="B2469">
        <v>2</v>
      </c>
      <c r="C2469">
        <v>2017</v>
      </c>
      <c r="D2469" s="3" t="s">
        <f>B2469&amp;"/"&amp;A2469&amp;"/"&amp;C2469</f>
        <v>2573</v>
      </c>
      <c r="E2469">
        <v>0.70833333333333337</v>
      </c>
      <c r="F2469" t="s">
        <f>I2469&amp;" "&amp;J2469&amp;" "&amp;K2469&amp;" "&amp;L2469&amp;" "&amp;M2469&amp;" "&amp;N2469</f>
        <v>2488</v>
      </c>
      <c r="G2469" t="s">
        <f>TEXT(D2469,"mmm dd")</f>
        <v>1849</v>
      </c>
      <c r="I2469" t="s">
        <v>2357</v>
      </c>
      <c r="J2469">
        <v>101</v>
      </c>
      <c r="K2469">
        <v>2</v>
      </c>
    </row>
    <row r="2470" spans="1:23">
      <c r="A2470">
        <v>20</v>
      </c>
      <c r="B2470">
        <v>2</v>
      </c>
      <c r="C2470">
        <v>2017</v>
      </c>
      <c r="D2470" s="3" t="str">
        <f>B2470&amp;"/"&amp;A2470&amp;"/"&amp;C2470</f>
        <v>2/20/2017</v>
      </c>
      <c r="E2470">
        <v>0.97916666666666663</v>
      </c>
      <c r="F2470" t="str">
        <f>I2470&amp;" "&amp;J2470&amp;" "&amp;K2470&amp;" "&amp;L2470&amp;" "&amp;M2470&amp;" "&amp;N2470</f>
        <v>call Angels at Play  </v>
      </c>
      <c r="G2470" t="s">
        <f>TEXT(D2470,"mmm dd")</f>
        <v>1525</v>
      </c>
      <c r="I2470" t="s">
        <v>418</v>
      </c>
      <c r="J2470" t="s">
        <v>52</v>
      </c>
      <c r="K2470" t="s">
        <v>53</v>
      </c>
      <c r="L2470" t="s">
        <v>292</v>
      </c>
    </row>
    <row r="2471" spans="1:23">
      <c r="A2471">
        <v>3</v>
      </c>
      <c r="B2471">
        <v>3</v>
      </c>
      <c r="C2471">
        <v>2017</v>
      </c>
      <c r="D2471" s="3" t="str">
        <f>B2471&amp;"/"&amp;A2471&amp;"/"&amp;C2471</f>
        <v>3/3/2017</v>
      </c>
      <c r="E2471">
        <v>0.875</v>
      </c>
      <c r="F2471" t="str">
        <f>I2471&amp;" "&amp;J2471&amp;" "&amp;K2471&amp;" "&amp;L2471&amp;" "&amp;M2471&amp;" "&amp;N2471</f>
        <v>Mandatory training    </v>
      </c>
      <c r="G2471" t="s">
        <f>TEXT(D2471,"mmm dd")</f>
        <v>1234</v>
      </c>
      <c r="I2471" t="inlineStr">
        <is>
          <t>Mandatory</t>
        </is>
      </c>
      <c r="J2471" t="s">
        <v>2342</v>
      </c>
    </row>
    <row r="2472" spans="1:23">
      <c r="A2472">
        <v>6</v>
      </c>
      <c r="B2472">
        <v>3</v>
      </c>
      <c r="C2472">
        <v>2017</v>
      </c>
      <c r="D2472" s="3" t="str">
        <f>B2472&amp;"/"&amp;A2472&amp;"/"&amp;C2472</f>
        <v>3/6/2017</v>
      </c>
      <c r="E2472">
        <v>1.1041666666666667</v>
      </c>
      <c r="F2472" t="s">
        <f>I2472&amp;" "&amp;J2472&amp;" "&amp;K2472&amp;" "&amp;L2472&amp;" "&amp;M2472&amp;" "&amp;N2472</f>
        <v>2361</v>
      </c>
      <c r="G2472" t="s">
        <f>TEXT(D2472,"mmm dd")</f>
        <v>1237</v>
      </c>
      <c r="I2472" t="s">
        <v>493</v>
      </c>
      <c r="J2472" t="s">
        <v>2362</v>
      </c>
    </row>
    <row r="2473" spans="1:23">
      <c r="A2473">
        <v>8</v>
      </c>
      <c r="B2473">
        <v>3</v>
      </c>
      <c r="C2473">
        <v>2017</v>
      </c>
      <c r="D2473" s="3" t="str">
        <f>B2473&amp;"/"&amp;A2473&amp;"/"&amp;C2473</f>
        <v>3/8/2017</v>
      </c>
      <c r="E2473">
        <v>0.52083333333333337</v>
      </c>
      <c r="F2473" t="s">
        <f>I2473&amp;" "&amp;J2473&amp;" "&amp;K2473&amp;" "&amp;L2473&amp;" "&amp;M2473&amp;" "&amp;N2473</f>
        <v>2487</v>
      </c>
      <c r="G2473" t="s">
        <f>TEXT(D2473,"mmm dd")</f>
        <v>1542</v>
      </c>
      <c r="I2473" t="s">
        <v>2357</v>
      </c>
      <c r="J2473">
        <v>101</v>
      </c>
      <c r="K2473">
        <v>1</v>
      </c>
    </row>
    <row r="2474" spans="1:23">
      <c r="A2474">
        <v>20</v>
      </c>
      <c r="B2474">
        <v>3</v>
      </c>
      <c r="C2474">
        <v>2017</v>
      </c>
      <c r="D2474" s="3" t="str">
        <f>B2474&amp;"/"&amp;A2474&amp;"/"&amp;C2474</f>
        <v>3/20/2017</v>
      </c>
      <c r="E2474">
        <v>0.52083333333333337</v>
      </c>
      <c r="F2474" t="s">
        <f>I2474&amp;" "&amp;J2474&amp;" "&amp;K2474&amp;" "&amp;L2474&amp;" "&amp;M2474&amp;" "&amp;N2474</f>
        <v>2487</v>
      </c>
      <c r="G2474" t="s">
        <f>TEXT(D2474,"mmm dd")</f>
        <v>1257</v>
      </c>
      <c r="I2474" t="s">
        <v>2357</v>
      </c>
      <c r="J2474">
        <v>101</v>
      </c>
      <c r="K2474">
        <v>1</v>
      </c>
    </row>
    <row r="2475" spans="1:23">
      <c r="A2475">
        <v>22</v>
      </c>
      <c r="B2475">
        <v>3</v>
      </c>
      <c r="C2475">
        <v>2017</v>
      </c>
      <c r="D2475" s="3" t="str">
        <f>B2475&amp;"/"&amp;A2475&amp;"/"&amp;C2475</f>
        <v>3/22/2017</v>
      </c>
      <c r="E2475">
        <v>0.52083333333333337</v>
      </c>
      <c r="F2475" t="s">
        <f>I2475&amp;" "&amp;J2475&amp;" "&amp;K2475&amp;" "&amp;L2475&amp;" "&amp;M2475&amp;" "&amp;N2475</f>
        <v>2487</v>
      </c>
      <c r="G2475" t="s">
        <f>TEXT(D2475,"mmm dd")</f>
        <v>1886</v>
      </c>
      <c r="I2475" t="s">
        <v>2357</v>
      </c>
      <c r="J2475">
        <v>101</v>
      </c>
      <c r="K2475">
        <v>1</v>
      </c>
    </row>
    <row r="2476" spans="1:23">
      <c r="A2476">
        <v>29</v>
      </c>
      <c r="B2476">
        <v>3</v>
      </c>
      <c r="C2476">
        <v>2017</v>
      </c>
      <c r="D2476" s="3" t="str">
        <f>B2476&amp;"/"&amp;A2476&amp;"/"&amp;C2476</f>
        <v>3/29/2017</v>
      </c>
      <c r="E2476">
        <v>0.9375</v>
      </c>
      <c r="F2476" t="str">
        <f>I2476&amp;" "&amp;J2476&amp;" "&amp;K2476&amp;" "&amp;L2476&amp;" "&amp;M2476&amp;" "&amp;N2476</f>
        <v>Golf turns exam makeup  </v>
      </c>
      <c r="G2476" t="s">
        <f>TEXT(D2476,"mmm dd")</f>
        <v>1897</v>
      </c>
      <c r="I2476" t="s">
        <v>1021</v>
      </c>
      <c r="J2476" t="inlineStr">
        <is>
          <t>turns</t>
        </is>
      </c>
      <c r="K2476" t="s">
        <v>2290</v>
      </c>
      <c r="L2476" t="s">
        <v>2495</v>
      </c>
    </row>
    <row r="2477" spans="1:23">
      <c r="A2477">
        <v>30</v>
      </c>
      <c r="B2477">
        <v>3</v>
      </c>
      <c r="C2477">
        <v>2017</v>
      </c>
      <c r="D2477" s="3" t="s">
        <f>B2477&amp;"/"&amp;A2477&amp;"/"&amp;C2477</f>
        <v>2574</v>
      </c>
      <c r="E2477">
        <v>0.75</v>
      </c>
      <c r="F2477" t="str">
        <f>I2477&amp;" "&amp;J2477&amp;" "&amp;K2477&amp;" "&amp;L2477&amp;" "&amp;M2477&amp;" "&amp;N2477</f>
        <v>Tabitha -101    </v>
      </c>
      <c r="G2477" t="s">
        <f>TEXT(D2477,"mmm dd")</f>
        <v>1900</v>
      </c>
      <c r="I2477" t="inlineStr">
        <is>
          <t>Tabitha</t>
        </is>
      </c>
      <c r="J2477">
        <v>-101</v>
      </c>
    </row>
    <row r="2478" spans="1:23">
      <c r="A2478">
        <v>30</v>
      </c>
      <c r="B2478">
        <v>3</v>
      </c>
      <c r="C2478">
        <v>2017</v>
      </c>
      <c r="D2478" s="3" t="s">
        <f>B2478&amp;"/"&amp;A2478&amp;"/"&amp;C2478</f>
        <v>2574</v>
      </c>
      <c r="E2478">
        <v>0.75</v>
      </c>
      <c r="F2478" t="str">
        <f>I2478&amp;" "&amp;J2478&amp;" "&amp;K2478&amp;" "&amp;L2478&amp;" "&amp;M2478&amp;" "&amp;N2478</f>
        <v>Bryant for 101 exam  </v>
      </c>
      <c r="G2478" t="s">
        <f>TEXT(D2478,"mmm dd")</f>
        <v>1900</v>
      </c>
      <c r="I2478" t="s">
        <v>2575</v>
      </c>
      <c r="J2478" t="s">
        <v>439</v>
      </c>
      <c r="K2478">
        <v>101</v>
      </c>
      <c r="L2478" t="s">
        <v>2290</v>
      </c>
    </row>
    <row r="2479" spans="1:23">
      <c r="A2479">
        <v>31</v>
      </c>
      <c r="B2479">
        <v>3</v>
      </c>
      <c r="C2479">
        <v>2017</v>
      </c>
      <c r="D2479" s="3" t="s">
        <f>B2479&amp;"/"&amp;A2479&amp;"/"&amp;C2479</f>
        <v>2576</v>
      </c>
      <c r="E2479">
        <v>0.8125</v>
      </c>
      <c r="F2479" t="str">
        <f>I2479&amp;" "&amp;J2479&amp;" "&amp;K2479&amp;" "&amp;L2479&amp;" "&amp;M2479&amp;" "&amp;N2479</f>
        <v>Kwimane for exam   </v>
      </c>
      <c r="G2479" t="s">
        <f>TEXT(D2479,"mmm dd")</f>
        <v>1267</v>
      </c>
      <c r="I2479" t="s">
        <v>2577</v>
      </c>
      <c r="J2479" t="s">
        <v>439</v>
      </c>
      <c r="K2479" t="s">
        <v>2290</v>
      </c>
    </row>
    <row r="2480" spans="1:23">
      <c r="A2480">
        <v>31</v>
      </c>
      <c r="B2480">
        <v>3</v>
      </c>
      <c r="C2480">
        <v>2017</v>
      </c>
      <c r="D2480" s="3" t="s">
        <f>B2480&amp;"/"&amp;A2480&amp;"/"&amp;C2480</f>
        <v>2576</v>
      </c>
      <c r="E2480">
        <v>0.8125</v>
      </c>
      <c r="F2480" t="str">
        <f>I2480&amp;" "&amp;J2480&amp;" "&amp;K2480&amp;" "&amp;L2480&amp;" "&amp;M2480&amp;" "&amp;N2480</f>
        <v>Kwimane     </v>
      </c>
      <c r="G2480" t="s">
        <f>TEXT(D2480,"mmm dd")</f>
        <v>1267</v>
      </c>
      <c r="I2480" t="s">
        <v>2577</v>
      </c>
    </row>
    <row r="2481" spans="1:23">
      <c r="A2481">
        <v>3</v>
      </c>
      <c r="B2481">
        <v>4</v>
      </c>
      <c r="C2481">
        <v>2017</v>
      </c>
      <c r="D2481" s="3" t="s">
        <f>B2481&amp;"/"&amp;A2481&amp;"/"&amp;C2481</f>
        <v>2578</v>
      </c>
      <c r="E2481">
        <v>0.75</v>
      </c>
      <c r="F2481" t="str">
        <f>I2481&amp;" "&amp;J2481&amp;" "&amp;K2481&amp;" "&amp;L2481&amp;" "&amp;M2481&amp;" "&amp;N2481</f>
        <v>Bryant &amp; Gabriel for exams -101</v>
      </c>
      <c r="G2481" t="s">
        <f>TEXT(D2481,"mmm dd")</f>
        <v>83</v>
      </c>
      <c r="I2481" t="s">
        <v>2575</v>
      </c>
      <c r="J2481" t="s">
        <v>73</v>
      </c>
      <c r="K2481" t="s">
        <v>2579</v>
      </c>
      <c r="L2481" t="s">
        <v>439</v>
      </c>
      <c r="M2481" t="inlineStr">
        <is>
          <t>exams</t>
        </is>
      </c>
      <c r="N2481">
        <v>-101</v>
      </c>
    </row>
    <row r="2482" spans="1:23">
      <c r="A2482">
        <v>3</v>
      </c>
      <c r="B2482">
        <v>4</v>
      </c>
      <c r="C2482">
        <v>2017</v>
      </c>
      <c r="D2482" s="3" t="s">
        <f>B2482&amp;"/"&amp;A2482&amp;"/"&amp;C2482</f>
        <v>2578</v>
      </c>
      <c r="E2482">
        <v>0.75</v>
      </c>
      <c r="F2482" t="str">
        <f>I2482&amp;" "&amp;J2482&amp;" "&amp;K2482&amp;" "&amp;L2482&amp;" "&amp;M2482&amp;" "&amp;N2482</f>
        <v>Gabriel for exam   </v>
      </c>
      <c r="G2482" t="s">
        <f>TEXT(D2482,"mmm dd")</f>
        <v>83</v>
      </c>
      <c r="I2482" t="s">
        <v>2579</v>
      </c>
      <c r="J2482" t="s">
        <v>439</v>
      </c>
      <c r="K2482" t="s">
        <v>2290</v>
      </c>
    </row>
    <row r="2483" spans="1:23">
      <c r="A2483">
        <v>13</v>
      </c>
      <c r="B2483">
        <v>4</v>
      </c>
      <c r="C2483">
        <v>2017</v>
      </c>
      <c r="D2483" s="3" t="str">
        <f>B2483&amp;"/"&amp;A2483&amp;"/"&amp;C2483</f>
        <v>4/13/2017</v>
      </c>
      <c r="E2483">
        <v>0.58333333333333337</v>
      </c>
      <c r="F2483" t="s">
        <f>I2483&amp;" "&amp;J2483&amp;" "&amp;K2483&amp;" "&amp;L2483&amp;" "&amp;M2483&amp;" "&amp;N2483</f>
        <v>2570</v>
      </c>
      <c r="G2483" t="s">
        <f>TEXT(D2483,"mmm dd")</f>
        <v>174</v>
      </c>
      <c r="I2483" t="s">
        <v>2571</v>
      </c>
      <c r="J2483" t="s">
        <v>493</v>
      </c>
      <c r="K2483" t="s">
        <v>2362</v>
      </c>
    </row>
    <row r="2484" spans="1:23">
      <c r="A2484">
        <v>15</v>
      </c>
      <c r="B2484">
        <v>4</v>
      </c>
      <c r="C2484">
        <v>2017</v>
      </c>
      <c r="D2484" s="3" t="s">
        <f>B2484&amp;"/"&amp;A2484&amp;"/"&amp;C2484</f>
        <v>2580</v>
      </c>
      <c r="E2484">
        <v>0.75</v>
      </c>
      <c r="F2484" t="str">
        <f>I2484&amp;" "&amp;J2484&amp;" "&amp;K2484&amp;" "&amp;L2484&amp;" "&amp;M2484&amp;" "&amp;N2484</f>
        <v>Gini     </v>
      </c>
      <c r="G2484" t="s">
        <f>TEXT(D2484,"mmm dd")</f>
        <v>179</v>
      </c>
      <c r="I2484" t="inlineStr">
        <is>
          <t>Gini</t>
        </is>
      </c>
    </row>
    <row r="2485" spans="1:23">
      <c r="A2485">
        <v>15</v>
      </c>
      <c r="B2485">
        <v>4</v>
      </c>
      <c r="C2485">
        <v>2017</v>
      </c>
      <c r="D2485" s="3" t="s">
        <f>B2485&amp;"/"&amp;A2485&amp;"/"&amp;C2485</f>
        <v>2580</v>
      </c>
      <c r="E2485">
        <v>0.125</v>
      </c>
      <c r="F2485" t="str">
        <f>I2485&amp;" "&amp;J2485&amp;" "&amp;K2485&amp;" "&amp;L2485&amp;" "&amp;M2485&amp;" "&amp;N2485</f>
        <v>Teddi in one act play </v>
      </c>
      <c r="G2485" t="s">
        <f>TEXT(D2485,"mmm dd")</f>
        <v>179</v>
      </c>
      <c r="I2485" t="inlineStr">
        <is>
          <t>Teddi</t>
        </is>
      </c>
      <c r="J2485" t="s">
        <v>372</v>
      </c>
      <c r="K2485" t="inlineStr">
        <is>
          <t>one</t>
        </is>
      </c>
      <c r="L2485" t="inlineStr">
        <is>
          <t>act</t>
        </is>
      </c>
      <c r="M2485" t="s">
        <v>54</v>
      </c>
    </row>
    <row r="2486" spans="1:23">
      <c r="A2486">
        <v>17</v>
      </c>
      <c r="B2486">
        <v>4</v>
      </c>
      <c r="C2486">
        <v>2017</v>
      </c>
      <c r="D2486" s="3" t="str">
        <f>B2486&amp;"/"&amp;A2486&amp;"/"&amp;C2486</f>
        <v>4/17/2017</v>
      </c>
      <c r="E2486">
        <v>0.52083333333333337</v>
      </c>
      <c r="F2486" t="s">
        <f>I2486&amp;" "&amp;J2486&amp;" "&amp;K2486&amp;" "&amp;L2486&amp;" "&amp;M2486&amp;" "&amp;N2486</f>
        <v>2487</v>
      </c>
      <c r="G2486" t="s">
        <f>TEXT(D2486,"mmm dd")</f>
        <v>187</v>
      </c>
      <c r="I2486" t="s">
        <v>2357</v>
      </c>
      <c r="J2486">
        <v>101</v>
      </c>
      <c r="K2486">
        <v>1</v>
      </c>
    </row>
    <row r="2487" spans="1:23">
      <c r="A2487">
        <v>18</v>
      </c>
      <c r="B2487">
        <v>4</v>
      </c>
      <c r="C2487">
        <v>2017</v>
      </c>
      <c r="D2487" s="3" t="str">
        <f>B2487&amp;"/"&amp;A2487&amp;"/"&amp;C2487</f>
        <v>4/18/2017</v>
      </c>
      <c r="E2487">
        <v>0.75</v>
      </c>
      <c r="F2487" t="str">
        <f>I2487&amp;" "&amp;J2487&amp;" "&amp;K2487&amp;" "&amp;L2487&amp;" "&amp;M2487&amp;" "&amp;N2487</f>
        <v>Chanel Little (Women in OT) </v>
      </c>
      <c r="G2487" t="s">
        <f>TEXT(D2487,"mmm dd")</f>
        <v>193</v>
      </c>
      <c r="I2487" t="inlineStr">
        <is>
          <t>Chanel</t>
        </is>
      </c>
      <c r="J2487" t="inlineStr">
        <is>
          <t>Little</t>
        </is>
      </c>
      <c r="K2487" t="inlineStr">
        <is>
          <t>(Women</t>
        </is>
      </c>
      <c r="L2487" t="s">
        <v>372</v>
      </c>
      <c r="M2487" t="inlineStr">
        <is>
          <t>OT)</t>
        </is>
      </c>
    </row>
    <row r="2488" spans="1:23">
      <c r="A2488">
        <v>21</v>
      </c>
      <c r="B2488">
        <v>4</v>
      </c>
      <c r="C2488">
        <v>2017</v>
      </c>
      <c r="D2488" s="3" t="s">
        <f>B2488&amp;"/"&amp;A2488&amp;"/"&amp;C2488</f>
        <v>2581</v>
      </c>
      <c r="E2488">
        <v>0.79166666666666663</v>
      </c>
      <c r="F2488" t="str">
        <f>I2488&amp;" "&amp;J2488&amp;" "&amp;K2488&amp;" "&amp;L2488&amp;" "&amp;M2488&amp;" "&amp;N2488</f>
        <v>Poster Session I\  Waverly Baker</v>
      </c>
      <c r="G2488" t="s">
        <f>TEXT(D2488,"mmm dd")</f>
        <v>211</v>
      </c>
      <c r="I2488" t="inlineStr">
        <is>
          <t>Poster</t>
        </is>
      </c>
      <c r="J2488" t="s">
        <v>2582</v>
      </c>
      <c r="K2488" t="inlineStr">
        <is>
          <t>I\</t>
        </is>
      </c>
      <c r="M2488" t="inlineStr">
        <is>
          <t>Waverly</t>
        </is>
      </c>
      <c r="N2488" t="s">
        <v>1680</v>
      </c>
    </row>
    <row r="2489" spans="1:23">
      <c r="A2489">
        <v>21</v>
      </c>
      <c r="B2489">
        <v>4</v>
      </c>
      <c r="C2489">
        <v>2017</v>
      </c>
      <c r="D2489" s="3" t="s">
        <f>B2489&amp;"/"&amp;A2489&amp;"/"&amp;C2489</f>
        <v>2581</v>
      </c>
      <c r="E2489">
        <v>0.97222222222222221</v>
      </c>
      <c r="F2489" t="str">
        <f>I2489&amp;" "&amp;J2489&amp;" "&amp;K2489&amp;" "&amp;L2489&amp;" "&amp;M2489&amp;" "&amp;N2489</f>
        <v>Awards Celebration    </v>
      </c>
      <c r="G2489" t="s">
        <f>TEXT(D2489,"mmm dd")</f>
        <v>211</v>
      </c>
      <c r="I2489" t="inlineStr">
        <is>
          <t>Awards</t>
        </is>
      </c>
      <c r="J2489" t="s">
        <v>1397</v>
      </c>
    </row>
    <row r="2490" spans="1:23">
      <c r="A2490">
        <v>22</v>
      </c>
      <c r="B2490">
        <v>4</v>
      </c>
      <c r="C2490">
        <v>2017</v>
      </c>
      <c r="D2490" s="3" t="str">
        <f>B2490&amp;"/"&amp;A2490&amp;"/"&amp;C2490</f>
        <v>4/22/2017</v>
      </c>
      <c r="E2490">
        <v>0.66666666666666663</v>
      </c>
      <c r="F2490" t="str">
        <f>I2490&amp;" "&amp;J2490&amp;" "&amp;K2490&amp;" "&amp;L2490&amp;" "&amp;M2490&amp;" "&amp;N2490</f>
        <v>Honors Thesis Celebration and Cording Ceremony</v>
      </c>
      <c r="G2490" t="s">
        <f>TEXT(D2490,"mmm dd")</f>
        <v>215</v>
      </c>
      <c r="I2490" t="inlineStr">
        <is>
          <t>Honors</t>
        </is>
      </c>
      <c r="J2490" t="inlineStr">
        <is>
          <t>Thesis</t>
        </is>
      </c>
      <c r="K2490" t="s">
        <v>1397</v>
      </c>
      <c r="L2490" t="s">
        <v>135</v>
      </c>
      <c r="M2490" t="inlineStr">
        <is>
          <t>Cording</t>
        </is>
      </c>
      <c r="N2490" t="inlineStr">
        <is>
          <t>Ceremony</t>
        </is>
      </c>
    </row>
    <row r="2491" spans="1:23">
      <c r="A2491">
        <v>24</v>
      </c>
      <c r="B2491">
        <v>4</v>
      </c>
      <c r="C2491">
        <v>2017</v>
      </c>
      <c r="D2491" s="3" t="str">
        <f>B2491&amp;"/"&amp;A2491&amp;"/"&amp;C2491</f>
        <v>4/24/2017</v>
      </c>
      <c r="E2491">
        <v>0.52083333333333337</v>
      </c>
      <c r="F2491" t="s">
        <f>I2491&amp;" "&amp;J2491&amp;" "&amp;K2491&amp;" "&amp;L2491&amp;" "&amp;M2491&amp;" "&amp;N2491</f>
        <v>2487</v>
      </c>
      <c r="G2491" t="s">
        <f>TEXT(D2491,"mmm dd")</f>
        <v>224</v>
      </c>
      <c r="I2491" t="s">
        <v>2357</v>
      </c>
      <c r="J2491">
        <v>101</v>
      </c>
      <c r="K2491">
        <v>1</v>
      </c>
    </row>
    <row r="2492" spans="1:23">
      <c r="A2492">
        <v>25</v>
      </c>
      <c r="B2492">
        <v>4</v>
      </c>
      <c r="C2492">
        <v>2017</v>
      </c>
      <c r="D2492" s="3" t="str">
        <f>B2492&amp;"/"&amp;A2492&amp;"/"&amp;C2492</f>
        <v>4/25/2017</v>
      </c>
      <c r="E2492">
        <v>0.875</v>
      </c>
      <c r="F2492" t="str">
        <f>I2492&amp;" "&amp;J2492&amp;" "&amp;K2492&amp;" "&amp;L2492&amp;" "&amp;M2492&amp;" "&amp;N2492</f>
        <v>Victoria English    </v>
      </c>
      <c r="G2492" t="s">
        <f>TEXT(D2492,"mmm dd")</f>
        <v>227</v>
      </c>
      <c r="I2492" t="s">
        <v>1948</v>
      </c>
      <c r="J2492" t="inlineStr">
        <is>
          <t>English</t>
        </is>
      </c>
    </row>
    <row r="2493" spans="1:23">
      <c r="A2493">
        <v>26</v>
      </c>
      <c r="B2493">
        <v>4</v>
      </c>
      <c r="C2493">
        <v>2017</v>
      </c>
      <c r="D2493" s="3" t="s">
        <f>B2493&amp;"/"&amp;A2493&amp;"/"&amp;C2493</f>
        <v>2583</v>
      </c>
      <c r="E2493">
        <v>0.91666666666666663</v>
      </c>
      <c r="F2493" t="str">
        <f>I2493&amp;" "&amp;J2493&amp;" "&amp;K2493&amp;" "&amp;L2493&amp;" "&amp;M2493&amp;" "&amp;N2493</f>
        <v>final 101 2 s17  </v>
      </c>
      <c r="G2493" t="s">
        <f>TEXT(D2493,"mmm dd")</f>
        <v>232</v>
      </c>
      <c r="I2493" t="s">
        <v>2558</v>
      </c>
      <c r="J2493">
        <v>101</v>
      </c>
      <c r="K2493">
        <v>2</v>
      </c>
      <c r="L2493" t="s">
        <v>2584</v>
      </c>
    </row>
    <row r="2494" spans="1:23">
      <c r="A2494">
        <v>26</v>
      </c>
      <c r="B2494">
        <v>4</v>
      </c>
      <c r="C2494">
        <v>2017</v>
      </c>
      <c r="D2494" s="3" t="s">
        <f>B2494&amp;"/"&amp;A2494&amp;"/"&amp;C2494</f>
        <v>2583</v>
      </c>
      <c r="E2494">
        <v>0.77083333333333337</v>
      </c>
      <c r="F2494" t="str">
        <f>I2494&amp;" "&amp;J2494&amp;" "&amp;K2494&amp;" "&amp;L2494&amp;" "&amp;M2494&amp;" "&amp;N2494</f>
        <v>final relg 220 s17  </v>
      </c>
      <c r="G2494" t="s">
        <f>TEXT(D2494,"mmm dd")</f>
        <v>232</v>
      </c>
      <c r="I2494" t="s">
        <v>2558</v>
      </c>
      <c r="J2494" t="inlineStr">
        <is>
          <t>relg</t>
        </is>
      </c>
      <c r="K2494">
        <v>220</v>
      </c>
      <c r="L2494" t="s">
        <v>2584</v>
      </c>
    </row>
    <row r="2495" spans="1:23">
      <c r="A2495">
        <v>26</v>
      </c>
      <c r="B2495">
        <v>4</v>
      </c>
      <c r="C2495">
        <v>2017</v>
      </c>
      <c r="D2495" s="3" t="s">
        <f>B2495&amp;"/"&amp;A2495&amp;"/"&amp;C2495</f>
        <v>2583</v>
      </c>
      <c r="E2495">
        <v>0.77083333333333337</v>
      </c>
      <c r="F2495" t="str">
        <f>I2495&amp;" "&amp;J2495&amp;" "&amp;K2495&amp;" "&amp;L2495&amp;" "&amp;M2495&amp;" "&amp;N2495</f>
        <v>Danielle to take 101 final </v>
      </c>
      <c r="G2495" t="s">
        <f>TEXT(D2495,"mmm dd")</f>
        <v>232</v>
      </c>
      <c r="I2495" t="inlineStr">
        <is>
          <t>Danielle</t>
        </is>
      </c>
      <c r="J2495" t="s">
        <v>449</v>
      </c>
      <c r="K2495" t="s">
        <v>2346</v>
      </c>
      <c r="L2495">
        <v>101</v>
      </c>
      <c r="M2495" t="s">
        <v>2558</v>
      </c>
    </row>
    <row r="2496" spans="1:23">
      <c r="A2496">
        <v>1</v>
      </c>
      <c r="B2496">
        <v>5</v>
      </c>
      <c r="C2496">
        <v>2017</v>
      </c>
      <c r="D2496" s="3" t="str">
        <f>B2496&amp;"/"&amp;A2496&amp;"/"&amp;C2496</f>
        <v>5/1/2017</v>
      </c>
      <c r="E2496">
        <v>0.77083333333333337</v>
      </c>
      <c r="F2496" t="str">
        <f>I2496&amp;" "&amp;J2496&amp;" "&amp;K2496&amp;" "&amp;L2496&amp;" "&amp;M2496&amp;" "&amp;N2496</f>
        <v>Final 101 1 s17  </v>
      </c>
      <c r="G2496" t="s">
        <f>TEXT(D2496,"mmm dd")</f>
        <v>249</v>
      </c>
      <c r="I2496" t="s">
        <v>1763</v>
      </c>
      <c r="J2496">
        <v>101</v>
      </c>
      <c r="K2496">
        <v>1</v>
      </c>
      <c r="L2496" t="s">
        <v>2584</v>
      </c>
    </row>
    <row r="2497" spans="1:23">
      <c r="A2497">
        <v>9</v>
      </c>
      <c r="B2497">
        <v>5</v>
      </c>
      <c r="C2497">
        <v>2017</v>
      </c>
      <c r="D2497" s="3" t="s">
        <f>B2497&amp;"/"&amp;A2497&amp;"/"&amp;C2497</f>
        <v>2585</v>
      </c>
      <c r="E2497">
        <v>0.8125</v>
      </c>
      <c r="F2497" t="str">
        <f>I2497&amp;" "&amp;J2497&amp;" "&amp;K2497&amp;" "&amp;L2497&amp;" "&amp;M2497&amp;" "&amp;N2497</f>
        <v>Dr Glick    </v>
      </c>
      <c r="G2497" t="s">
        <f>TEXT(D2497,"mmm dd")</f>
        <v>295</v>
      </c>
      <c r="I2497" t="s">
        <v>1791</v>
      </c>
      <c r="J2497" t="inlineStr">
        <is>
          <t>Glick</t>
        </is>
      </c>
    </row>
    <row r="2498" spans="1:23">
      <c r="A2498">
        <v>9</v>
      </c>
      <c r="B2498">
        <v>5</v>
      </c>
      <c r="C2498">
        <v>2017</v>
      </c>
      <c r="D2498" s="3" t="s">
        <f>B2498&amp;"/"&amp;A2498&amp;"/"&amp;C2498</f>
        <v>2585</v>
      </c>
      <c r="E2498">
        <v>0.77083333333333337</v>
      </c>
      <c r="F2498" t="str">
        <f>I2498&amp;" "&amp;J2498&amp;" "&amp;K2498&amp;" "&amp;L2498&amp;" "&amp;M2498&amp;" "&amp;N2498</f>
        <v>Cumidin clinic    </v>
      </c>
      <c r="G2498" t="s">
        <f>TEXT(D2498,"mmm dd")</f>
        <v>295</v>
      </c>
      <c r="I2498" t="inlineStr">
        <is>
          <t>Cumidin</t>
        </is>
      </c>
      <c r="J2498" t="inlineStr">
        <is>
          <t>clinic</t>
        </is>
      </c>
    </row>
    <row r="2499" spans="1:23">
      <c r="A2499">
        <v>10</v>
      </c>
      <c r="B2499">
        <v>5</v>
      </c>
      <c r="C2499">
        <v>2017</v>
      </c>
      <c r="D2499" s="3" t="s">
        <f>B2499&amp;"/"&amp;A2499&amp;"/"&amp;C2499</f>
        <v>2586</v>
      </c>
      <c r="E2499">
        <v>0.6875</v>
      </c>
      <c r="F2499" t="str">
        <f>I2499&amp;" "&amp;J2499&amp;" "&amp;K2499&amp;" "&amp;L2499&amp;" "&amp;M2499&amp;" "&amp;N2499</f>
        <v>PT Rosie    </v>
      </c>
      <c r="G2499" t="s">
        <f>TEXT(D2499,"mmm dd")</f>
        <v>304</v>
      </c>
      <c r="I2499" t="inlineStr">
        <is>
          <t>PT</t>
        </is>
      </c>
      <c r="J2499" t="inlineStr">
        <is>
          <t>Rosie</t>
        </is>
      </c>
    </row>
    <row r="2500" spans="1:23">
      <c r="A2500">
        <v>10</v>
      </c>
      <c r="B2500">
        <v>5</v>
      </c>
      <c r="C2500">
        <v>2017</v>
      </c>
      <c r="D2500" s="3" t="s">
        <f>B2500&amp;"/"&amp;A2500&amp;"/"&amp;C2500</f>
        <v>2586</v>
      </c>
      <c r="E2500">
        <v>1</v>
      </c>
      <c r="F2500" t="str">
        <f>I2500&amp;" "&amp;J2500&amp;" "&amp;K2500&amp;" "&amp;L2500&amp;" "&amp;M2500&amp;" "&amp;N2500</f>
        <v>Marie from Home Instead interview </v>
      </c>
      <c r="G2500" t="s">
        <f>TEXT(D2500,"mmm dd")</f>
        <v>304</v>
      </c>
      <c r="I2500" t="s">
        <v>2587</v>
      </c>
      <c r="J2500" t="s">
        <v>874</v>
      </c>
      <c r="K2500" t="inlineStr">
        <is>
          <t>Home</t>
        </is>
      </c>
      <c r="L2500" t="inlineStr">
        <is>
          <t>Instead</t>
        </is>
      </c>
      <c r="M2500" t="s">
        <v>2116</v>
      </c>
    </row>
    <row r="2501" spans="1:23">
      <c r="A2501">
        <v>11</v>
      </c>
      <c r="B2501">
        <v>5</v>
      </c>
      <c r="C2501">
        <v>2017</v>
      </c>
      <c r="D2501" s="3" t="s">
        <f>B2501&amp;"/"&amp;A2501&amp;"/"&amp;C2501</f>
        <v>2588</v>
      </c>
      <c r="E2501">
        <v>1.0416666666666667</v>
      </c>
      <c r="F2501" t="str">
        <f>I2501&amp;" "&amp;J2501&amp;" "&amp;K2501&amp;" "&amp;L2501&amp;" "&amp;M2501&amp;" "&amp;N2501</f>
        <v>Mario time?    </v>
      </c>
      <c r="G2501" t="s">
        <f>TEXT(D2501,"mmm dd")</f>
        <v>308</v>
      </c>
      <c r="I2501" t="inlineStr">
        <is>
          <t>Mario</t>
        </is>
      </c>
      <c r="J2501" t="s">
        <v>537</v>
      </c>
    </row>
    <row r="2502" spans="1:23">
      <c r="A2502">
        <v>11</v>
      </c>
      <c r="B2502">
        <v>5</v>
      </c>
      <c r="C2502">
        <v>2017</v>
      </c>
      <c r="D2502" s="3" t="s">
        <f>B2502&amp;"/"&amp;A2502&amp;"/"&amp;C2502</f>
        <v>2588</v>
      </c>
      <c r="E2502">
        <v>0.77083333333333337</v>
      </c>
      <c r="F2502" t="str">
        <f>I2502&amp;" "&amp;J2502&amp;" "&amp;K2502&amp;" "&amp;L2502&amp;" "&amp;M2502&amp;" "&amp;N2502</f>
        <v>Pedicure     </v>
      </c>
      <c r="G2502" t="s">
        <f>TEXT(D2502,"mmm dd")</f>
        <v>308</v>
      </c>
      <c r="I2502" t="inlineStr">
        <is>
          <t>Pedicure</t>
        </is>
      </c>
    </row>
    <row r="2503" spans="1:23">
      <c r="A2503">
        <v>11</v>
      </c>
      <c r="B2503">
        <v>5</v>
      </c>
      <c r="C2503">
        <v>2017</v>
      </c>
      <c r="D2503" s="3" t="s">
        <f>B2503&amp;"/"&amp;A2503&amp;"/"&amp;C2503</f>
        <v>2588</v>
      </c>
      <c r="E2503">
        <v>0.8125</v>
      </c>
      <c r="F2503" t="str">
        <f>I2503&amp;" "&amp;J2503&amp;" "&amp;K2503&amp;" "&amp;L2503&amp;" "&amp;M2503&amp;" "&amp;N2503</f>
        <v>Sprint     </v>
      </c>
      <c r="G2503" t="s">
        <f>TEXT(D2503,"mmm dd")</f>
        <v>308</v>
      </c>
      <c r="I2503" t="s">
        <v>2101</v>
      </c>
    </row>
    <row r="2504" spans="1:23">
      <c r="A2504">
        <v>12</v>
      </c>
      <c r="B2504">
        <v>5</v>
      </c>
      <c r="C2504">
        <v>2017</v>
      </c>
      <c r="D2504" s="3" t="s">
        <f>B2504&amp;"/"&amp;A2504&amp;"/"&amp;C2504</f>
        <v>2589</v>
      </c>
      <c r="E2504">
        <v>0.85555555555555551</v>
      </c>
      <c r="F2504" t="s">
        <f>I2504&amp;" "&amp;J2504&amp;" "&amp;K2504&amp;" "&amp;L2504&amp;" "&amp;M2504&amp;" "&amp;N2504</f>
        <v>2590</v>
      </c>
      <c r="G2504" t="s">
        <f>TEXT(D2504,"mmm dd")</f>
        <v>317</v>
      </c>
      <c r="I2504" t="s">
        <v>2365</v>
      </c>
      <c r="J2504" t="s">
        <v>449</v>
      </c>
      <c r="K2504" t="s">
        <v>2369</v>
      </c>
      <c r="L2504" t="s">
        <v>2591</v>
      </c>
      <c r="M2504" t="s">
        <v>2592</v>
      </c>
    </row>
    <row r="2505" spans="1:23">
      <c r="A2505">
        <v>12</v>
      </c>
      <c r="B2505">
        <v>5</v>
      </c>
      <c r="C2505">
        <v>2017</v>
      </c>
      <c r="D2505" s="3" t="s">
        <f>B2505&amp;"/"&amp;A2505&amp;"/"&amp;C2505</f>
        <v>2589</v>
      </c>
      <c r="E2505">
        <v>1.0694444444444444</v>
      </c>
      <c r="F2505" t="str">
        <f>I2505&amp;" "&amp;J2505&amp;" "&amp;K2505&amp;" "&amp;L2505&amp;" "&amp;M2505&amp;" "&amp;N2505</f>
        <v>Flight to Charlotte (DL 1407) </v>
      </c>
      <c r="G2505" t="s">
        <f>TEXT(D2505,"mmm dd")</f>
        <v>317</v>
      </c>
      <c r="I2505" t="s">
        <v>2365</v>
      </c>
      <c r="J2505" t="s">
        <v>449</v>
      </c>
      <c r="K2505" t="s">
        <v>2372</v>
      </c>
      <c r="L2505" t="s">
        <v>2591</v>
      </c>
      <c r="M2505" t="inlineStr">
        <is>
          <t>1407)</t>
        </is>
      </c>
    </row>
    <row r="2506" spans="1:23">
      <c r="A2506">
        <v>15</v>
      </c>
      <c r="B2506">
        <v>5</v>
      </c>
      <c r="C2506">
        <v>2017</v>
      </c>
      <c r="D2506" s="3" t="s">
        <f>B2506&amp;"/"&amp;A2506&amp;"/"&amp;C2506</f>
        <v>2593</v>
      </c>
      <c r="E2506">
        <v>0.93055555555555558</v>
      </c>
      <c r="F2506" t="str">
        <f>I2506&amp;" "&amp;J2506&amp;" "&amp;K2506&amp;" "&amp;L2506&amp;" "&amp;M2506&amp;" "&amp;N2506</f>
        <v>Dr. Weber (resched)   </v>
      </c>
      <c r="G2506" t="s">
        <f>TEXT(D2506,"mmm dd")</f>
        <v>326</v>
      </c>
      <c r="I2506" t="s">
        <v>847</v>
      </c>
      <c r="J2506" t="s">
        <v>2594</v>
      </c>
      <c r="K2506" t="s">
        <v>1585</v>
      </c>
      <c r="O2506" t="s">
        <v>53</v>
      </c>
      <c r="P2506">
        <v>2</v>
      </c>
    </row>
    <row r="2507" spans="1:23">
      <c r="A2507">
        <v>15</v>
      </c>
      <c r="B2507">
        <v>5</v>
      </c>
      <c r="C2507">
        <v>2017</v>
      </c>
      <c r="D2507" s="3" t="s">
        <f>B2507&amp;"/"&amp;A2507&amp;"/"&amp;C2507</f>
        <v>2593</v>
      </c>
      <c r="E2507">
        <v>0.84722222222222221</v>
      </c>
      <c r="F2507" t="str">
        <f>I2507&amp;" "&amp;J2507&amp;" "&amp;K2507&amp;" "&amp;L2507&amp;" "&amp;M2507&amp;" "&amp;N2507</f>
        <v>Dr Karl Weber (resched) (1 </v>
      </c>
      <c r="G2507" t="s">
        <f>TEXT(D2507,"mmm dd")</f>
        <v>326</v>
      </c>
      <c r="I2507" t="s">
        <v>1791</v>
      </c>
      <c r="J2507" t="s">
        <v>1413</v>
      </c>
      <c r="K2507" t="s">
        <v>2594</v>
      </c>
      <c r="L2507" t="s">
        <v>1585</v>
      </c>
      <c r="M2507" t="s">
        <v>2595</v>
      </c>
    </row>
    <row r="2508" spans="1:23">
      <c r="A2508">
        <v>16</v>
      </c>
      <c r="B2508">
        <v>5</v>
      </c>
      <c r="C2508">
        <v>2017</v>
      </c>
      <c r="D2508" s="3" t="str">
        <f>B2508&amp;"/"&amp;A2508&amp;"/"&amp;C2508</f>
        <v>5/16/2017</v>
      </c>
      <c r="E2508">
        <v>0.67708333333333337</v>
      </c>
      <c r="F2508" t="s">
        <f>I2508&amp;" "&amp;J2508&amp;" "&amp;K2508&amp;" "&amp;L2508&amp;" "&amp;M2508&amp;" "&amp;N2508</f>
        <v>2596</v>
      </c>
      <c r="G2508" t="s">
        <f>TEXT(D2508,"mmm dd")</f>
        <v>328</v>
      </c>
      <c r="I2508" t="s">
        <v>2597</v>
      </c>
      <c r="J2508" t="s">
        <v>990</v>
      </c>
      <c r="K2508" t="s">
        <v>767</v>
      </c>
    </row>
    <row r="2509" spans="1:23">
      <c r="A2509">
        <v>1</v>
      </c>
      <c r="B2509">
        <v>6</v>
      </c>
      <c r="C2509">
        <v>2017</v>
      </c>
      <c r="D2509" s="3" t="str">
        <f>B2509&amp;"/"&amp;A2509&amp;"/"&amp;C2509</f>
        <v>6/1/2017</v>
      </c>
      <c r="E2509">
        <v>0.85416666666666663</v>
      </c>
      <c r="F2509" t="str">
        <f>I2509&amp;" "&amp;J2509&amp;" "&amp;K2509&amp;" "&amp;L2509&amp;" "&amp;M2509&amp;" "&amp;N2509</f>
        <v>Dr. Matthew's periodontist (resch) 1 </v>
      </c>
      <c r="G2509" t="s">
        <f>TEXT(D2509,"mmm dd")</f>
        <v>421</v>
      </c>
      <c r="I2509" t="s">
        <v>847</v>
      </c>
      <c r="J2509" t="inlineStr">
        <is>
          <t>Matthew's</t>
        </is>
      </c>
      <c r="K2509" t="s">
        <v>2510</v>
      </c>
      <c r="L2509" t="inlineStr">
        <is>
          <t>(resch)</t>
        </is>
      </c>
      <c r="M2509">
        <v>1</v>
      </c>
    </row>
    <row r="2510" spans="1:23">
      <c r="A2510">
        <v>3</v>
      </c>
      <c r="B2510">
        <v>6</v>
      </c>
      <c r="C2510">
        <v>2017</v>
      </c>
      <c r="D2510" s="3" t="str">
        <f>B2510&amp;"/"&amp;A2510&amp;"/"&amp;C2510</f>
        <v>6/3/2017</v>
      </c>
      <c r="E2510" t="s">
        <v>42</v>
      </c>
      <c r="F2510" t="str">
        <f>I2510&amp;" "&amp;J2510&amp;" "&amp;K2510&amp;" "&amp;L2510&amp;" "&amp;M2510&amp;" "&amp;N2510</f>
        <v>Atlanta     </v>
      </c>
      <c r="G2510" t="s">
        <f>TEXT(D2510,"mmm dd")</f>
        <v>434</v>
      </c>
      <c r="I2510" t="s">
        <v>2369</v>
      </c>
    </row>
    <row r="2511" spans="1:23">
      <c r="A2511">
        <v>6</v>
      </c>
      <c r="B2511">
        <v>6</v>
      </c>
      <c r="C2511">
        <v>2017</v>
      </c>
      <c r="D2511" s="3" t="str">
        <f>B2511&amp;"/"&amp;A2511&amp;"/"&amp;C2511</f>
        <v>6/6/2017</v>
      </c>
      <c r="E2511" t="s">
        <v>42</v>
      </c>
      <c r="F2511" t="str">
        <f>I2511&amp;" "&amp;J2511&amp;" "&amp;K2511&amp;" "&amp;L2511&amp;" "&amp;M2511&amp;" "&amp;N2511</f>
        <v>Drive Las Cruces   </v>
      </c>
      <c r="G2511" t="s">
        <f>TEXT(D2511,"mmm dd")</f>
        <v>462</v>
      </c>
      <c r="I2511" t="s">
        <v>1733</v>
      </c>
      <c r="J2511" t="s">
        <v>2225</v>
      </c>
      <c r="K2511" t="s">
        <v>2226</v>
      </c>
    </row>
    <row r="2512" spans="1:23">
      <c r="A2512">
        <v>8</v>
      </c>
      <c r="B2512">
        <v>6</v>
      </c>
      <c r="C2512">
        <v>2017</v>
      </c>
      <c r="D2512" s="3" t="str">
        <f>B2512&amp;"/"&amp;A2512&amp;"/"&amp;C2512</f>
        <v>6/8/2017</v>
      </c>
      <c r="E2512" t="s">
        <v>42</v>
      </c>
      <c r="F2512" t="s">
        <f>I2512&amp;" "&amp;J2512&amp;" "&amp;K2512&amp;" "&amp;L2512&amp;" "&amp;M2512&amp;" "&amp;N2512</f>
        <v>2224</v>
      </c>
      <c r="G2512" t="s">
        <f>TEXT(D2512,"mmm dd")</f>
        <v>1325</v>
      </c>
      <c r="I2512" t="s">
        <v>2225</v>
      </c>
      <c r="J2512" t="s">
        <v>2226</v>
      </c>
    </row>
    <row r="2513" spans="1:23">
      <c r="A2513">
        <v>12</v>
      </c>
      <c r="B2513">
        <v>6</v>
      </c>
      <c r="C2513">
        <v>2017</v>
      </c>
      <c r="D2513" s="3" t="s">
        <f>B2513&amp;"/"&amp;A2513&amp;"/"&amp;C2513</f>
        <v>2598</v>
      </c>
      <c r="E2513" t="s">
        <v>42</v>
      </c>
      <c r="F2513" t="str">
        <f>I2513&amp;" "&amp;J2513&amp;" "&amp;K2513&amp;" "&amp;L2513&amp;" "&amp;M2513&amp;" "&amp;N2513</f>
        <v>drive Sedona    </v>
      </c>
      <c r="G2513" t="s">
        <f>TEXT(D2513,"mmm dd")</f>
        <v>501</v>
      </c>
      <c r="I2513" t="s">
        <v>1751</v>
      </c>
      <c r="J2513" t="s">
        <v>2599</v>
      </c>
      <c r="O2513" t="s">
        <v>1430</v>
      </c>
    </row>
    <row r="2514" spans="1:23">
      <c r="A2514">
        <v>12</v>
      </c>
      <c r="B2514">
        <v>6</v>
      </c>
      <c r="C2514">
        <v>2017</v>
      </c>
      <c r="D2514" s="3" t="s">
        <f>B2514&amp;"/"&amp;A2514&amp;"/"&amp;C2514</f>
        <v>2598</v>
      </c>
      <c r="E2514" t="s">
        <v>42</v>
      </c>
      <c r="F2514" t="str">
        <f>I2514&amp;" "&amp;J2514&amp;" "&amp;K2514&amp;" "&amp;L2514&amp;" "&amp;M2514&amp;" "&amp;N2514</f>
        <v>Sedona Summit 2 bedroom lockoff </v>
      </c>
      <c r="G2514" t="s">
        <f>TEXT(D2514,"mmm dd")</f>
        <v>501</v>
      </c>
      <c r="I2514" t="s">
        <v>2599</v>
      </c>
      <c r="J2514" t="inlineStr">
        <is>
          <t>Summit</t>
        </is>
      </c>
      <c r="K2514">
        <v>2</v>
      </c>
      <c r="L2514" t="inlineStr">
        <is>
          <t>bedroom</t>
        </is>
      </c>
      <c r="M2514" t="inlineStr">
        <is>
          <t>lockoff</t>
        </is>
      </c>
    </row>
    <row r="2515" spans="1:23">
      <c r="A2515">
        <v>18</v>
      </c>
      <c r="B2515">
        <v>6</v>
      </c>
      <c r="C2515">
        <v>2017</v>
      </c>
      <c r="D2515" s="3" t="str">
        <f>B2515&amp;"/"&amp;A2515&amp;"/"&amp;C2515</f>
        <v>6/18/2017</v>
      </c>
      <c r="E2515" t="s">
        <v>42</v>
      </c>
      <c r="F2515" t="str">
        <f>I2515&amp;" "&amp;J2515&amp;" "&amp;K2515&amp;" "&amp;L2515&amp;" "&amp;M2515&amp;" "&amp;N2515</f>
        <v>Stay at The Ridge Resorts </v>
      </c>
      <c r="G2515" t="s">
        <f>TEXT(D2515,"mmm dd")</f>
        <v>558</v>
      </c>
      <c r="I2515" t="s">
        <v>2398</v>
      </c>
      <c r="J2515" t="s">
        <v>53</v>
      </c>
      <c r="K2515" t="s">
        <v>407</v>
      </c>
      <c r="L2515" t="inlineStr">
        <is>
          <t>Ridge</t>
        </is>
      </c>
      <c r="M2515" t="s">
        <v>2600</v>
      </c>
    </row>
    <row r="2516" spans="1:23">
      <c r="A2516">
        <v>31</v>
      </c>
      <c r="B2516">
        <v>7</v>
      </c>
      <c r="C2516">
        <v>2017</v>
      </c>
      <c r="D2516" s="3" t="str">
        <f>B2516&amp;"/"&amp;A2516&amp;"/"&amp;C2516</f>
        <v>7/31/2017</v>
      </c>
      <c r="E2516">
        <v>0.9375</v>
      </c>
      <c r="F2516" t="str">
        <f>I2516&amp;" "&amp;J2516&amp;" "&amp;K2516&amp;" "&amp;L2516&amp;" "&amp;M2516&amp;" "&amp;N2516</f>
        <v>Consultation with gastroenterologist   </v>
      </c>
      <c r="G2516" t="s">
        <f>TEXT(D2516,"mmm dd")</f>
        <v>714</v>
      </c>
      <c r="I2516" t="s">
        <v>1597</v>
      </c>
      <c r="J2516" t="s">
        <v>755</v>
      </c>
      <c r="K2516" t="inlineStr">
        <is>
          <t>gastroenterologist</t>
        </is>
      </c>
    </row>
    <row r="2517" spans="1:23">
      <c r="A2517">
        <v>9</v>
      </c>
      <c r="B2517">
        <v>8</v>
      </c>
      <c r="C2517">
        <v>2017</v>
      </c>
      <c r="D2517" s="3" t="str">
        <f>B2517&amp;"/"&amp;A2517&amp;"/"&amp;C2517</f>
        <v>8/9/2017</v>
      </c>
      <c r="E2517">
        <v>0.64583333333333337</v>
      </c>
      <c r="F2517" t="s">
        <f>I2517&amp;" "&amp;J2517&amp;" "&amp;K2517&amp;" "&amp;L2517&amp;" "&amp;M2517&amp;" "&amp;N2517</f>
        <v>2601</v>
      </c>
      <c r="G2517" t="s">
        <f>TEXT(D2517,"mmm dd")</f>
        <v>729</v>
      </c>
      <c r="I2517" t="s">
        <v>2602</v>
      </c>
    </row>
    <row r="2518" spans="1:23">
      <c r="A2518">
        <v>10</v>
      </c>
      <c r="B2518">
        <v>8</v>
      </c>
      <c r="C2518">
        <v>2017</v>
      </c>
      <c r="D2518" s="3" t="s">
        <f>B2518&amp;"/"&amp;A2518&amp;"/"&amp;C2518</f>
        <v>2603</v>
      </c>
      <c r="E2518">
        <v>0.69097222222222221</v>
      </c>
      <c r="F2518" t="str">
        <f>I2518&amp;" "&amp;J2518&amp;" "&amp;K2518&amp;" "&amp;L2518&amp;" "&amp;M2518&amp;" "&amp;N2518</f>
        <v>Dr Raykovicz    </v>
      </c>
      <c r="G2518" t="s">
        <f>TEXT(D2518,"mmm dd")</f>
        <v>734</v>
      </c>
      <c r="I2518" t="s">
        <v>1791</v>
      </c>
      <c r="J2518" t="inlineStr">
        <is>
          <t>Raykovicz</t>
        </is>
      </c>
    </row>
    <row r="2519" spans="1:23">
      <c r="A2519">
        <v>10</v>
      </c>
      <c r="B2519">
        <v>8</v>
      </c>
      <c r="C2519">
        <v>2017</v>
      </c>
      <c r="D2519" s="3" t="s">
        <f>B2519&amp;"/"&amp;A2519&amp;"/"&amp;C2519</f>
        <v>2603</v>
      </c>
      <c r="E2519">
        <v>0.72916666666666663</v>
      </c>
      <c r="F2519" t="str">
        <f>I2519&amp;" "&amp;J2519&amp;" "&amp;K2519&amp;" "&amp;L2519&amp;" "&amp;M2519&amp;" "&amp;N2519</f>
        <v>Call about oil change  </v>
      </c>
      <c r="G2519" t="s">
        <f>TEXT(D2519,"mmm dd")</f>
        <v>734</v>
      </c>
      <c r="I2519" t="s">
        <v>1028</v>
      </c>
      <c r="J2519" t="s">
        <v>2604</v>
      </c>
      <c r="K2519" t="s">
        <v>2319</v>
      </c>
      <c r="L2519" t="s">
        <v>2320</v>
      </c>
    </row>
    <row r="2520" spans="1:23">
      <c r="A2520">
        <v>11</v>
      </c>
      <c r="B2520">
        <v>8</v>
      </c>
      <c r="C2520">
        <v>2017</v>
      </c>
      <c r="D2520" s="3" t="str">
        <f>B2520&amp;"/"&amp;A2520&amp;"/"&amp;C2520</f>
        <v>8/11/2017</v>
      </c>
      <c r="E2520">
        <v>0.64583333333333337</v>
      </c>
      <c r="F2520" t="str">
        <f>I2520&amp;" "&amp;J2520&amp;" "&amp;K2520&amp;" "&amp;L2520&amp;" "&amp;M2520&amp;" "&amp;N2520</f>
        <v>Yonce motors    </v>
      </c>
      <c r="G2520" t="s">
        <f>TEXT(D2520,"mmm dd")</f>
        <v>744</v>
      </c>
      <c r="I2520" t="s">
        <v>2605</v>
      </c>
      <c r="J2520" t="inlineStr">
        <is>
          <t>motors</t>
        </is>
      </c>
    </row>
    <row r="2521" spans="1:23">
      <c r="A2521">
        <v>14</v>
      </c>
      <c r="B2521">
        <v>8</v>
      </c>
      <c r="C2521">
        <v>2017</v>
      </c>
      <c r="D2521" s="3" t="str">
        <f>B2521&amp;"/"&amp;A2521&amp;"/"&amp;C2521</f>
        <v>8/14/2017</v>
      </c>
      <c r="E2521">
        <v>0.77777777777777779</v>
      </c>
      <c r="F2521" t="s">
        <f>I2521&amp;" "&amp;J2521&amp;" "&amp;K2521&amp;" "&amp;L2521&amp;" "&amp;M2521&amp;" "&amp;N2521</f>
        <v>2606</v>
      </c>
      <c r="G2521" t="s">
        <f>TEXT(D2521,"mmm dd")</f>
        <v>760</v>
      </c>
      <c r="I2521" t="s">
        <v>1791</v>
      </c>
      <c r="J2521" t="s">
        <v>2594</v>
      </c>
    </row>
    <row r="2522" spans="1:23">
      <c r="A2522">
        <v>15</v>
      </c>
      <c r="B2522">
        <v>8</v>
      </c>
      <c r="C2522">
        <v>2017</v>
      </c>
      <c r="D2522" s="3" t="s">
        <f>B2522&amp;"/"&amp;A2522&amp;"/"&amp;C2522</f>
        <v>2607</v>
      </c>
      <c r="E2522">
        <v>0.70833333333333337</v>
      </c>
      <c r="F2522" t="str">
        <f>I2522&amp;" "&amp;J2522&amp;" "&amp;K2522&amp;" "&amp;L2522&amp;" "&amp;M2522&amp;" "&amp;N2522</f>
        <v>appointment CPG with Larry Dresdner </v>
      </c>
      <c r="G2522" t="s">
        <f>TEXT(D2522,"mmm dd")</f>
        <v>776</v>
      </c>
      <c r="I2522" t="s">
        <v>648</v>
      </c>
      <c r="J2522" t="s">
        <v>2608</v>
      </c>
      <c r="K2522" t="s">
        <v>755</v>
      </c>
      <c r="L2522" t="inlineStr">
        <is>
          <t>Larry</t>
        </is>
      </c>
      <c r="M2522" t="inlineStr">
        <is>
          <t>Dresdner</t>
        </is>
      </c>
    </row>
    <row r="2523" spans="1:23">
      <c r="A2523">
        <v>15</v>
      </c>
      <c r="B2523">
        <v>8</v>
      </c>
      <c r="C2523">
        <v>2017</v>
      </c>
      <c r="D2523" s="3" t="s">
        <f>B2523&amp;"/"&amp;A2523&amp;"/"&amp;C2523</f>
        <v>2607</v>
      </c>
      <c r="E2523">
        <v>0.79166666666666663</v>
      </c>
      <c r="F2523" t="s">
        <f>I2523&amp;" "&amp;J2523&amp;" "&amp;K2523&amp;" "&amp;L2523&amp;" "&amp;M2523&amp;" "&amp;N2523</f>
        <v>2609</v>
      </c>
      <c r="G2523" t="s">
        <f>TEXT(D2523,"mmm dd")</f>
        <v>776</v>
      </c>
      <c r="I2523" t="s">
        <v>2352</v>
      </c>
      <c r="J2523" t="s">
        <v>2610</v>
      </c>
      <c r="K2523" t="s">
        <v>842</v>
      </c>
    </row>
    <row r="2524" spans="1:23">
      <c r="A2524">
        <v>21</v>
      </c>
      <c r="B2524">
        <v>8</v>
      </c>
      <c r="C2524">
        <v>2017</v>
      </c>
      <c r="D2524" s="3" t="s">
        <f>B2524&amp;"/"&amp;A2524&amp;"/"&amp;C2524</f>
        <v>2611</v>
      </c>
      <c r="E2524" t="s">
        <v>42</v>
      </c>
      <c r="F2524" t="s">
        <f>I2524&amp;" "&amp;J2524&amp;" "&amp;K2524&amp;" "&amp;L2524&amp;" "&amp;M2524&amp;" "&amp;N2524</f>
        <v>2612</v>
      </c>
      <c r="G2524" t="s">
        <f>TEXT(D2524,"mmm dd")</f>
        <v>818</v>
      </c>
      <c r="I2524" t="inlineStr">
        <is>
          <t>Solar</t>
        </is>
      </c>
      <c r="J2524" t="inlineStr">
        <is>
          <t>eclipse?</t>
        </is>
      </c>
    </row>
    <row r="2525" spans="1:23">
      <c r="A2525">
        <v>21</v>
      </c>
      <c r="B2525">
        <v>8</v>
      </c>
      <c r="C2525">
        <v>2017</v>
      </c>
      <c r="D2525" s="3" t="s">
        <f>B2525&amp;"/"&amp;A2525&amp;"/"&amp;C2525</f>
        <v>2611</v>
      </c>
      <c r="E2525" t="s">
        <v>42</v>
      </c>
      <c r="F2525" t="str">
        <f>I2525&amp;" "&amp;J2525&amp;" "&amp;K2525&amp;" "&amp;L2525&amp;" "&amp;M2525&amp;" "&amp;N2525</f>
        <v>1st day of classes  </v>
      </c>
      <c r="G2525" t="s">
        <f>TEXT(D2525,"mmm dd")</f>
        <v>818</v>
      </c>
      <c r="I2525" t="inlineStr">
        <is>
          <t>1st</t>
        </is>
      </c>
      <c r="J2525" t="s">
        <v>502</v>
      </c>
      <c r="K2525" t="s">
        <v>86</v>
      </c>
      <c r="L2525" t="s">
        <v>2234</v>
      </c>
    </row>
    <row r="2526" spans="1:23">
      <c r="A2526">
        <v>22</v>
      </c>
      <c r="B2526">
        <v>8</v>
      </c>
      <c r="C2526">
        <v>2017</v>
      </c>
      <c r="D2526" s="3" t="str">
        <f>B2526&amp;"/"&amp;A2526&amp;"/"&amp;C2526</f>
        <v>8/22/2017</v>
      </c>
      <c r="E2526">
        <v>0.70833333333333337</v>
      </c>
      <c r="F2526" t="s">
        <f>I2526&amp;" "&amp;J2526&amp;" "&amp;K2526&amp;" "&amp;L2526&amp;" "&amp;M2526&amp;" "&amp;N2526</f>
        <v>2433</v>
      </c>
      <c r="G2526" t="s">
        <f>TEXT(D2526,"mmm dd")</f>
        <v>824</v>
      </c>
      <c r="I2526" t="s">
        <v>2357</v>
      </c>
      <c r="J2526">
        <v>313</v>
      </c>
    </row>
    <row r="2527" spans="1:23">
      <c r="A2527">
        <v>23</v>
      </c>
      <c r="B2527">
        <v>8</v>
      </c>
      <c r="C2527">
        <v>2017</v>
      </c>
      <c r="D2527" s="3" t="s">
        <f>B2527&amp;"/"&amp;A2527&amp;"/"&amp;C2527</f>
        <v>2613</v>
      </c>
      <c r="E2527">
        <v>1.0833333333333333</v>
      </c>
      <c r="F2527" t="str">
        <f>I2527&amp;" "&amp;J2527&amp;" "&amp;K2527&amp;" "&amp;L2527&amp;" "&amp;M2527&amp;" "&amp;N2527</f>
        <v>Betty's visitation    </v>
      </c>
      <c r="G2527" t="s">
        <f>TEXT(D2527,"mmm dd")</f>
        <v>828</v>
      </c>
      <c r="I2527" t="inlineStr">
        <is>
          <t>Betty's</t>
        </is>
      </c>
      <c r="J2527" t="inlineStr">
        <is>
          <t>visitation</t>
        </is>
      </c>
    </row>
    <row r="2528" spans="1:23">
      <c r="A2528">
        <v>23</v>
      </c>
      <c r="B2528">
        <v>8</v>
      </c>
      <c r="C2528">
        <v>2017</v>
      </c>
      <c r="D2528" s="3" t="s">
        <f>B2528&amp;"/"&amp;A2528&amp;"/"&amp;C2528</f>
        <v>2613</v>
      </c>
      <c r="E2528">
        <v>0.77083333333333337</v>
      </c>
      <c r="F2528" t="s">
        <f>I2528&amp;" "&amp;J2528&amp;" "&amp;K2528&amp;" "&amp;L2528&amp;" "&amp;M2528&amp;" "&amp;N2528</f>
        <v>2614</v>
      </c>
      <c r="G2528" t="s">
        <f>TEXT(D2528,"mmm dd")</f>
        <v>828</v>
      </c>
      <c r="I2528" t="s">
        <v>493</v>
      </c>
      <c r="J2528" t="s">
        <v>2362</v>
      </c>
      <c r="K2528" t="s">
        <v>2615</v>
      </c>
    </row>
    <row r="2529" spans="1:23">
      <c r="A2529">
        <v>23</v>
      </c>
      <c r="B2529">
        <v>8</v>
      </c>
      <c r="C2529">
        <v>2017</v>
      </c>
      <c r="D2529" s="3" t="s">
        <f>B2529&amp;"/"&amp;A2529&amp;"/"&amp;C2529</f>
        <v>2613</v>
      </c>
      <c r="E2529">
        <v>0.52083333333333337</v>
      </c>
      <c r="F2529" t="s">
        <f>I2529&amp;" "&amp;J2529&amp;" "&amp;K2529&amp;" "&amp;L2529&amp;" "&amp;M2529&amp;" "&amp;N2529</f>
        <v>2487</v>
      </c>
      <c r="G2529" t="s">
        <f>TEXT(D2529,"mmm dd")</f>
        <v>828</v>
      </c>
      <c r="I2529" t="s">
        <v>2357</v>
      </c>
      <c r="J2529">
        <v>101</v>
      </c>
      <c r="K2529">
        <v>1</v>
      </c>
    </row>
    <row r="2530" spans="1:23">
      <c r="A2530">
        <v>23</v>
      </c>
      <c r="B2530">
        <v>8</v>
      </c>
      <c r="C2530">
        <v>2017</v>
      </c>
      <c r="D2530" s="3" t="s">
        <f>B2530&amp;"/"&amp;A2530&amp;"/"&amp;C2530</f>
        <v>2613</v>
      </c>
      <c r="E2530">
        <v>0.70833333333333337</v>
      </c>
      <c r="F2530" t="s">
        <f>I2530&amp;" "&amp;J2530&amp;" "&amp;K2530&amp;" "&amp;L2530&amp;" "&amp;M2530&amp;" "&amp;N2530</f>
        <v>2488</v>
      </c>
      <c r="G2530" t="s">
        <f>TEXT(D2530,"mmm dd")</f>
        <v>828</v>
      </c>
      <c r="I2530" t="s">
        <v>2357</v>
      </c>
      <c r="J2530">
        <v>101</v>
      </c>
      <c r="K2530">
        <v>2</v>
      </c>
    </row>
    <row r="2531" spans="1:23">
      <c r="A2531">
        <v>24</v>
      </c>
      <c r="B2531">
        <v>8</v>
      </c>
      <c r="C2531">
        <v>2017</v>
      </c>
      <c r="D2531" s="3" t="s">
        <f>B2531&amp;"/"&amp;A2531&amp;"/"&amp;C2531</f>
        <v>2616</v>
      </c>
      <c r="E2531">
        <v>0.75</v>
      </c>
      <c r="F2531" t="s">
        <f>I2531&amp;" "&amp;J2531&amp;" "&amp;K2531&amp;" "&amp;L2531&amp;" "&amp;M2531&amp;" "&amp;N2531</f>
        <v>2617</v>
      </c>
      <c r="G2531" t="s">
        <f>TEXT(D2531,"mmm dd")</f>
        <v>1372</v>
      </c>
      <c r="I2531" t="s">
        <v>1135</v>
      </c>
    </row>
    <row r="2532" spans="1:23">
      <c r="A2532">
        <v>24</v>
      </c>
      <c r="B2532">
        <v>8</v>
      </c>
      <c r="C2532">
        <v>2017</v>
      </c>
      <c r="D2532" s="3" t="s">
        <f>B2532&amp;"/"&amp;A2532&amp;"/"&amp;C2532</f>
        <v>2616</v>
      </c>
      <c r="E2532">
        <v>0.64583333333333337</v>
      </c>
      <c r="F2532" t="s">
        <f>I2532&amp;" "&amp;J2532&amp;" "&amp;K2532&amp;" "&amp;L2532&amp;" "&amp;M2532&amp;" "&amp;N2532</f>
        <v>2614</v>
      </c>
      <c r="G2532" t="s">
        <f>TEXT(D2532,"mmm dd")</f>
        <v>1372</v>
      </c>
      <c r="I2532" t="s">
        <v>493</v>
      </c>
      <c r="J2532" t="s">
        <v>2362</v>
      </c>
      <c r="K2532" t="s">
        <v>2615</v>
      </c>
    </row>
    <row r="2533" spans="1:23">
      <c r="A2533">
        <v>24</v>
      </c>
      <c r="B2533">
        <v>8</v>
      </c>
      <c r="C2533">
        <v>2017</v>
      </c>
      <c r="D2533" s="3" t="s">
        <f>B2533&amp;"/"&amp;A2533&amp;"/"&amp;C2533</f>
        <v>2616</v>
      </c>
      <c r="E2533">
        <v>0.70833333333333337</v>
      </c>
      <c r="F2533" t="s">
        <f>I2533&amp;" "&amp;J2533&amp;" "&amp;K2533&amp;" "&amp;L2533&amp;" "&amp;M2533&amp;" "&amp;N2533</f>
        <v>2433</v>
      </c>
      <c r="G2533" t="s">
        <f>TEXT(D2533,"mmm dd")</f>
        <v>1372</v>
      </c>
      <c r="I2533" t="s">
        <v>2357</v>
      </c>
      <c r="J2533">
        <v>313</v>
      </c>
    </row>
    <row r="2534" spans="1:23">
      <c r="A2534">
        <v>26</v>
      </c>
      <c r="B2534">
        <v>8</v>
      </c>
      <c r="C2534">
        <v>2017</v>
      </c>
      <c r="D2534" s="3" t="str">
        <f>B2534&amp;"/"&amp;A2534&amp;"/"&amp;C2534</f>
        <v>8/26/2017</v>
      </c>
      <c r="E2534" t="s">
        <v>42</v>
      </c>
      <c r="F2534" t="str">
        <f>I2534&amp;" "&amp;J2534&amp;" "&amp;K2534&amp;" "&amp;L2534&amp;" "&amp;M2534&amp;" "&amp;N2534</f>
        <v>Atlanta to hear Amy  </v>
      </c>
      <c r="G2534" t="s">
        <f>TEXT(D2534,"mmm dd")</f>
        <v>837</v>
      </c>
      <c r="I2534" t="s">
        <v>2369</v>
      </c>
      <c r="J2534" t="s">
        <v>449</v>
      </c>
      <c r="K2534" t="inlineStr">
        <is>
          <t>hear</t>
        </is>
      </c>
      <c r="L2534" t="s">
        <v>1310</v>
      </c>
    </row>
    <row r="2535" spans="1:23">
      <c r="A2535">
        <v>28</v>
      </c>
      <c r="B2535">
        <v>8</v>
      </c>
      <c r="C2535">
        <v>2017</v>
      </c>
      <c r="D2535" s="3" t="str">
        <f>B2535&amp;"/"&amp;A2535&amp;"/"&amp;C2535</f>
        <v>8/28/2017</v>
      </c>
      <c r="E2535">
        <v>0.875</v>
      </c>
      <c r="F2535" t="s">
        <f>I2535&amp;" "&amp;J2535&amp;" "&amp;K2535&amp;" "&amp;L2535&amp;" "&amp;M2535&amp;" "&amp;N2535</f>
        <v>2361</v>
      </c>
      <c r="G2535" t="s">
        <f>TEXT(D2535,"mmm dd")</f>
        <v>1375</v>
      </c>
      <c r="I2535" t="s">
        <v>493</v>
      </c>
      <c r="J2535" t="s">
        <v>2362</v>
      </c>
    </row>
    <row r="2536" spans="1:23">
      <c r="A2536">
        <v>30</v>
      </c>
      <c r="B2536">
        <v>8</v>
      </c>
      <c r="C2536">
        <v>2017</v>
      </c>
      <c r="D2536" s="3" t="str">
        <f>B2536&amp;"/"&amp;A2536&amp;"/"&amp;C2536</f>
        <v>8/30/2017</v>
      </c>
      <c r="E2536">
        <v>0.97916666666666663</v>
      </c>
      <c r="F2536" t="str">
        <f>I2536&amp;" "&amp;J2536&amp;" "&amp;K2536&amp;" "&amp;L2536&amp;" "&amp;M2536&amp;" "&amp;N2536</f>
        <v>Buy bird feeders for Mom </v>
      </c>
      <c r="G2536" t="s">
        <f>TEXT(D2536,"mmm dd")</f>
        <v>846</v>
      </c>
      <c r="I2536" t="s">
        <v>1384</v>
      </c>
      <c r="J2536" t="inlineStr">
        <is>
          <t>bird</t>
        </is>
      </c>
      <c r="K2536" t="inlineStr">
        <is>
          <t>feeders</t>
        </is>
      </c>
      <c r="L2536" t="s">
        <v>439</v>
      </c>
      <c r="M2536" t="s">
        <v>2218</v>
      </c>
    </row>
    <row r="2537" spans="1:23">
      <c r="A2537">
        <v>31</v>
      </c>
      <c r="B2537">
        <v>8</v>
      </c>
      <c r="C2537">
        <v>2017</v>
      </c>
      <c r="D2537" s="3" t="s">
        <f>B2537&amp;"/"&amp;A2537&amp;"/"&amp;C2537</f>
        <v>2618</v>
      </c>
      <c r="E2537">
        <v>0.67708333333333337</v>
      </c>
      <c r="F2537" t="str">
        <f>I2537&amp;" "&amp;J2537&amp;" "&amp;K2537&amp;" "&amp;L2537&amp;" "&amp;M2537&amp;" "&amp;N2537</f>
        <v>Pick up glasses   </v>
      </c>
      <c r="G2537" t="s">
        <f>TEXT(D2537,"mmm dd")</f>
        <v>2061</v>
      </c>
      <c r="I2537" t="s">
        <v>806</v>
      </c>
      <c r="J2537" t="s">
        <v>807</v>
      </c>
      <c r="K2537" t="s">
        <v>2309</v>
      </c>
    </row>
    <row r="2538" spans="1:23">
      <c r="A2538">
        <v>31</v>
      </c>
      <c r="B2538">
        <v>8</v>
      </c>
      <c r="C2538">
        <v>2017</v>
      </c>
      <c r="D2538" s="3" t="s">
        <f>B2538&amp;"/"&amp;A2538&amp;"/"&amp;C2538</f>
        <v>2618</v>
      </c>
      <c r="E2538">
        <v>0.70833333333333337</v>
      </c>
      <c r="F2538" t="str">
        <f>I2538&amp;" "&amp;J2538&amp;" "&amp;K2538&amp;" "&amp;L2538&amp;" "&amp;M2538&amp;" "&amp;N2538</f>
        <v>Scotch     </v>
      </c>
      <c r="G2538" t="s">
        <f>TEXT(D2538,"mmm dd")</f>
        <v>2061</v>
      </c>
      <c r="I2538" t="inlineStr">
        <is>
          <t>Scotch</t>
        </is>
      </c>
    </row>
    <row r="2539" spans="1:23">
      <c r="A2539">
        <v>8</v>
      </c>
      <c r="B2539">
        <v>9</v>
      </c>
      <c r="C2539">
        <v>2017</v>
      </c>
      <c r="D2539" s="3" t="str">
        <f>B2539&amp;"/"&amp;A2539&amp;"/"&amp;C2539</f>
        <v>9/8/2017</v>
      </c>
      <c r="E2539">
        <v>0.72916666666666663</v>
      </c>
      <c r="F2539" t="str">
        <f>I2539&amp;" "&amp;J2539&amp;" "&amp;K2539&amp;" "&amp;L2539&amp;" "&amp;M2539&amp;" "&amp;N2539</f>
        <v>Dentist Geary   Dale </v>
      </c>
      <c r="G2539" t="s">
        <f>TEXT(D2539,"mmm dd")</f>
        <v>2077</v>
      </c>
      <c r="I2539" t="s">
        <v>2414</v>
      </c>
      <c r="J2539" t="s">
        <v>2537</v>
      </c>
      <c r="M2539" t="s">
        <v>1316</v>
      </c>
    </row>
    <row r="2540" spans="1:23">
      <c r="A2540">
        <v>9</v>
      </c>
      <c r="B2540">
        <v>9</v>
      </c>
      <c r="C2540">
        <v>2017</v>
      </c>
      <c r="D2540" s="3" t="str">
        <f>B2540&amp;"/"&amp;A2540&amp;"/"&amp;C2540</f>
        <v>9/9/2017</v>
      </c>
      <c r="E2540" t="s">
        <v>42</v>
      </c>
      <c r="F2540" t="str">
        <f>I2540&amp;" "&amp;J2540&amp;" "&amp;K2540&amp;" "&amp;L2540&amp;" "&amp;M2540&amp;" "&amp;N2540</f>
        <v>Amy playing Charlotte   </v>
      </c>
      <c r="G2540" t="s">
        <f>TEXT(D2540,"mmm dd")</f>
        <v>2341</v>
      </c>
      <c r="I2540" t="s">
        <v>1310</v>
      </c>
      <c r="J2540" t="inlineStr">
        <is>
          <t>playing</t>
        </is>
      </c>
      <c r="K2540" t="s">
        <v>2372</v>
      </c>
    </row>
    <row r="2541" spans="1:23">
      <c r="A2541">
        <v>10</v>
      </c>
      <c r="B2541">
        <v>9</v>
      </c>
      <c r="C2541">
        <v>2017</v>
      </c>
      <c r="D2541" s="3" t="s">
        <f>B2541&amp;"/"&amp;A2541&amp;"/"&amp;C2541</f>
        <v>2619</v>
      </c>
      <c r="E2541" t="s">
        <v>42</v>
      </c>
      <c r="F2541" t="s">
        <f>I2541&amp;" "&amp;J2541&amp;" "&amp;K2541&amp;" "&amp;L2541&amp;" "&amp;M2541&amp;" "&amp;N2541</f>
        <v>2620</v>
      </c>
      <c r="G2541" t="s">
        <f>TEXT(D2541,"mmm dd")</f>
        <v>1382</v>
      </c>
      <c r="I2541" t="s">
        <v>2468</v>
      </c>
      <c r="J2541" t="s">
        <v>218</v>
      </c>
      <c r="K2541" t="s">
        <v>2621</v>
      </c>
      <c r="M2541" t="s">
        <v>2622</v>
      </c>
    </row>
    <row r="2542" spans="1:23">
      <c r="A2542">
        <v>10</v>
      </c>
      <c r="B2542">
        <v>9</v>
      </c>
      <c r="C2542">
        <v>2017</v>
      </c>
      <c r="D2542" s="3" t="s">
        <f>B2542&amp;"/"&amp;A2542&amp;"/"&amp;C2542</f>
        <v>2619</v>
      </c>
      <c r="E2542">
        <v>0.33333333333333331</v>
      </c>
      <c r="F2542" t="str">
        <f>I2542&amp;" "&amp;J2542&amp;" "&amp;K2542&amp;" "&amp;L2542&amp;" "&amp;M2542&amp;" "&amp;N2542</f>
        <v>Amy and Patch lunch  </v>
      </c>
      <c r="G2542" t="s">
        <f>TEXT(D2542,"mmm dd")</f>
        <v>1382</v>
      </c>
      <c r="I2542" t="s">
        <v>1310</v>
      </c>
      <c r="J2542" t="s">
        <v>135</v>
      </c>
      <c r="K2542" t="s">
        <v>2623</v>
      </c>
      <c r="L2542" t="s">
        <v>440</v>
      </c>
    </row>
    <row r="2543" spans="1:23">
      <c r="A2543">
        <v>11</v>
      </c>
      <c r="B2543">
        <v>9</v>
      </c>
      <c r="C2543">
        <v>2017</v>
      </c>
      <c r="D2543" s="3" t="str">
        <f>B2543&amp;"/"&amp;A2543&amp;"/"&amp;C2543</f>
        <v>9/11/2017</v>
      </c>
      <c r="E2543">
        <v>0.97916666666666663</v>
      </c>
      <c r="F2543" t="str">
        <f>I2543&amp;" "&amp;J2543&amp;" "&amp;K2543&amp;" "&amp;L2543&amp;" "&amp;M2543&amp;" "&amp;N2543</f>
        <v>Follow up with Dr. Pennington </v>
      </c>
      <c r="G2543" t="s">
        <f>TEXT(D2543,"mmm dd")</f>
        <v>1383</v>
      </c>
      <c r="I2543" t="s">
        <v>2624</v>
      </c>
      <c r="J2543" t="s">
        <v>807</v>
      </c>
      <c r="K2543" t="s">
        <v>755</v>
      </c>
      <c r="L2543" t="s">
        <v>847</v>
      </c>
      <c r="M2543" t="inlineStr">
        <is>
          <t>Pennington</t>
        </is>
      </c>
    </row>
    <row r="2544" spans="1:23">
      <c r="A2544">
        <v>12</v>
      </c>
      <c r="B2544">
        <v>9</v>
      </c>
      <c r="C2544">
        <v>2017</v>
      </c>
      <c r="D2544" s="3" t="str">
        <f>B2544&amp;"/"&amp;A2544&amp;"/"&amp;C2544</f>
        <v>9/12/2017</v>
      </c>
      <c r="E2544">
        <v>0.75</v>
      </c>
      <c r="F2544" t="str">
        <f>I2544&amp;" "&amp;J2544&amp;" "&amp;K2544&amp;" "&amp;L2544&amp;" "&amp;M2544&amp;" "&amp;N2544</f>
        <v>Religion Department meeting   </v>
      </c>
      <c r="G2544" t="s">
        <f>TEXT(D2544,"mmm dd")</f>
        <v>1386</v>
      </c>
      <c r="I2544" t="s">
        <v>2352</v>
      </c>
      <c r="J2544" t="s">
        <v>2625</v>
      </c>
      <c r="K2544" t="s">
        <v>842</v>
      </c>
    </row>
    <row r="2545" spans="1:23">
      <c r="A2545">
        <v>15</v>
      </c>
      <c r="B2545">
        <v>9</v>
      </c>
      <c r="C2545">
        <v>2017</v>
      </c>
      <c r="D2545" s="3" t="str">
        <f>B2545&amp;"/"&amp;A2545&amp;"/"&amp;C2545</f>
        <v>9/15/2017</v>
      </c>
      <c r="E2545">
        <v>0.69444444444444442</v>
      </c>
      <c r="F2545" t="str">
        <f>I2545&amp;" "&amp;J2545&amp;" "&amp;K2545&amp;" "&amp;L2545&amp;" "&amp;M2545&amp;" "&amp;N2545</f>
        <v>Dr Eichhorn cardiologist arriv 15 min</v>
      </c>
      <c r="G2545" t="s">
        <f>TEXT(D2545,"mmm dd")</f>
        <v>1391</v>
      </c>
      <c r="I2545" t="s">
        <v>1791</v>
      </c>
      <c r="J2545" t="s">
        <v>2626</v>
      </c>
      <c r="K2545" t="inlineStr">
        <is>
          <t>cardiologist</t>
        </is>
      </c>
      <c r="L2545" t="inlineStr">
        <is>
          <t>arriv</t>
        </is>
      </c>
      <c r="M2545">
        <v>15</v>
      </c>
      <c r="N2545" t="s">
        <v>460</v>
      </c>
    </row>
    <row r="2546" spans="1:23">
      <c r="A2546">
        <v>17</v>
      </c>
      <c r="B2546">
        <v>9</v>
      </c>
      <c r="C2546">
        <v>2017</v>
      </c>
      <c r="D2546" s="3" t="s">
        <f>B2546&amp;"/"&amp;A2546&amp;"/"&amp;C2546</f>
        <v>2627</v>
      </c>
      <c r="E2546">
        <v>0.5625</v>
      </c>
      <c r="F2546" t="str">
        <f>I2546&amp;" "&amp;J2546&amp;" "&amp;K2546&amp;" "&amp;L2546&amp;" "&amp;M2546&amp;" "&amp;N2546</f>
        <v>Supply St. Paul's Monroe\  NC</v>
      </c>
      <c r="G2546" t="s">
        <f>TEXT(D2546,"mmm dd")</f>
        <v>872</v>
      </c>
      <c r="I2546" t="s">
        <v>2468</v>
      </c>
      <c r="J2546" t="s">
        <v>218</v>
      </c>
      <c r="K2546" t="s">
        <v>2471</v>
      </c>
      <c r="L2546" t="s">
        <v>2622</v>
      </c>
      <c r="N2546" t="s">
        <v>2048</v>
      </c>
    </row>
    <row r="2547" spans="1:23">
      <c r="A2547">
        <v>17</v>
      </c>
      <c r="B2547">
        <v>9</v>
      </c>
      <c r="C2547">
        <v>2017</v>
      </c>
      <c r="D2547" s="3" t="s">
        <f>B2547&amp;"/"&amp;A2547&amp;"/"&amp;C2547</f>
        <v>2627</v>
      </c>
      <c r="E2547">
        <v>0.95833333333333337</v>
      </c>
      <c r="F2547" t="str">
        <f>I2547&amp;" "&amp;J2547&amp;" "&amp;K2547&amp;" "&amp;L2547&amp;" "&amp;M2547&amp;" "&amp;N2547</f>
        <v>Burns' Vietnam begins   </v>
      </c>
      <c r="G2547" t="s">
        <f>TEXT(D2547,"mmm dd")</f>
        <v>872</v>
      </c>
      <c r="I2547" t="s">
        <v>2443</v>
      </c>
      <c r="J2547" t="s">
        <v>2628</v>
      </c>
      <c r="K2547" t="s">
        <v>1600</v>
      </c>
    </row>
    <row r="2548" spans="1:23">
      <c r="A2548">
        <v>18</v>
      </c>
      <c r="B2548">
        <v>9</v>
      </c>
      <c r="C2548">
        <v>2017</v>
      </c>
      <c r="D2548" s="3" t="str">
        <f>B2548&amp;"/"&amp;A2548&amp;"/"&amp;C2548</f>
        <v>9/18/2017</v>
      </c>
      <c r="E2548">
        <v>0.95833333333333337</v>
      </c>
      <c r="F2548" t="s">
        <f>I2548&amp;" "&amp;J2548&amp;" "&amp;K2548&amp;" "&amp;L2548&amp;" "&amp;M2548&amp;" "&amp;N2548</f>
        <v>2629</v>
      </c>
      <c r="G2548" t="s">
        <f>TEXT(D2548,"mmm dd")</f>
        <v>875</v>
      </c>
      <c r="I2548" t="s">
        <v>2443</v>
      </c>
      <c r="J2548" t="s">
        <v>2628</v>
      </c>
    </row>
    <row r="2549" spans="1:23">
      <c r="A2549">
        <v>21</v>
      </c>
      <c r="B2549">
        <v>9</v>
      </c>
      <c r="C2549">
        <v>2017</v>
      </c>
      <c r="D2549" s="3" t="str">
        <f>B2549&amp;"/"&amp;A2549&amp;"/"&amp;C2549</f>
        <v>9/21/2017</v>
      </c>
      <c r="E2549">
        <v>0.95833333333333337</v>
      </c>
      <c r="F2549" t="str">
        <f>I2549&amp;" "&amp;J2549&amp;" "&amp;K2549&amp;" "&amp;L2549&amp;" "&amp;M2549&amp;" "&amp;N2549</f>
        <v>meet reviewers    </v>
      </c>
      <c r="G2549" t="s">
        <f>TEXT(D2549,"mmm dd")</f>
        <v>890</v>
      </c>
      <c r="I2549" t="s">
        <v>1210</v>
      </c>
      <c r="J2549" t="inlineStr">
        <is>
          <t>reviewers</t>
        </is>
      </c>
    </row>
    <row r="2550" spans="1:23">
      <c r="A2550">
        <v>22</v>
      </c>
      <c r="B2550">
        <v>9</v>
      </c>
      <c r="C2550">
        <v>2017</v>
      </c>
      <c r="D2550" s="3" t="str">
        <f>B2550&amp;"/"&amp;A2550&amp;"/"&amp;C2550</f>
        <v>9/22/2017</v>
      </c>
      <c r="E2550">
        <v>0.95833333333333337</v>
      </c>
      <c r="F2550" t="s">
        <f>I2550&amp;" "&amp;J2550&amp;" "&amp;K2550&amp;" "&amp;L2550&amp;" "&amp;M2550&amp;" "&amp;N2550</f>
        <v>2629</v>
      </c>
      <c r="G2550" t="s">
        <f>TEXT(D2550,"mmm dd")</f>
        <v>2088</v>
      </c>
      <c r="I2550" t="s">
        <v>2443</v>
      </c>
      <c r="J2550" t="s">
        <v>2628</v>
      </c>
    </row>
    <row r="2551" spans="1:23">
      <c r="A2551">
        <v>24</v>
      </c>
      <c r="B2551">
        <v>9</v>
      </c>
      <c r="C2551">
        <v>2017</v>
      </c>
      <c r="D2551" s="3" t="str">
        <f>B2551&amp;"/"&amp;A2551&amp;"/"&amp;C2551</f>
        <v>9/24/2017</v>
      </c>
      <c r="E2551">
        <v>0.70833333333333337</v>
      </c>
      <c r="F2551" t="s">
        <f>I2551&amp;" "&amp;J2551&amp;" "&amp;K2551&amp;" "&amp;L2551&amp;" "&amp;M2551&amp;" "&amp;N2551</f>
        <v>2565</v>
      </c>
      <c r="G2551" t="s">
        <f>TEXT(D2551,"mmm dd")</f>
        <v>2090</v>
      </c>
      <c r="I2551" t="s">
        <v>218</v>
      </c>
      <c r="J2551" t="s">
        <v>2560</v>
      </c>
    </row>
    <row r="2552" spans="1:23">
      <c r="A2552">
        <v>28</v>
      </c>
      <c r="B2552">
        <v>9</v>
      </c>
      <c r="C2552">
        <v>2017</v>
      </c>
      <c r="D2552" s="3" t="s">
        <f>B2552&amp;"/"&amp;A2552&amp;"/"&amp;C2552</f>
        <v>2630</v>
      </c>
      <c r="E2552">
        <v>0.67708333333333337</v>
      </c>
      <c r="F2552" t="str">
        <f>I2552&amp;" "&amp;J2552&amp;" "&amp;K2552&amp;" "&amp;L2552&amp;" "&amp;M2552&amp;" "&amp;N2552</f>
        <v>Carolina Imaging Service   </v>
      </c>
      <c r="G2552" t="s">
        <f>TEXT(D2552,"mmm dd")</f>
        <v>912</v>
      </c>
      <c r="I2552" t="s">
        <v>2509</v>
      </c>
      <c r="J2552" t="inlineStr">
        <is>
          <t>Imaging</t>
        </is>
      </c>
      <c r="K2552" t="s">
        <v>1484</v>
      </c>
    </row>
    <row r="2553" spans="1:23">
      <c r="A2553">
        <v>28</v>
      </c>
      <c r="B2553">
        <v>9</v>
      </c>
      <c r="C2553">
        <v>2017</v>
      </c>
      <c r="D2553" s="3" t="s">
        <f>B2553&amp;"/"&amp;A2553&amp;"/"&amp;C2553</f>
        <v>2630</v>
      </c>
      <c r="E2553">
        <v>0.72916666666666663</v>
      </c>
      <c r="F2553" t="str">
        <f>I2553&amp;" "&amp;J2553&amp;" "&amp;K2553&amp;" "&amp;L2553&amp;" "&amp;M2553&amp;" "&amp;N2553</f>
        <v>meet Peter re. Oratory  </v>
      </c>
      <c r="G2553" t="s">
        <f>TEXT(D2553,"mmm dd")</f>
        <v>912</v>
      </c>
      <c r="I2553" t="s">
        <v>1210</v>
      </c>
      <c r="J2553" t="s">
        <v>604</v>
      </c>
      <c r="K2553" t="s">
        <v>633</v>
      </c>
      <c r="L2553" t="s">
        <v>128</v>
      </c>
    </row>
    <row r="2554" spans="1:23">
      <c r="A2554">
        <v>29</v>
      </c>
      <c r="B2554">
        <v>9</v>
      </c>
      <c r="C2554">
        <v>2017</v>
      </c>
      <c r="D2554" s="3" t="str">
        <f>B2554&amp;"/"&amp;A2554&amp;"/"&amp;C2554</f>
        <v>9/29/2017</v>
      </c>
      <c r="E2554">
        <v>0.84375</v>
      </c>
      <c r="F2554" t="s">
        <f>I2554&amp;" "&amp;J2554&amp;" "&amp;K2554&amp;" "&amp;L2554&amp;" "&amp;M2554&amp;" "&amp;N2554</f>
        <v>2236</v>
      </c>
      <c r="G2554" t="s">
        <f>TEXT(D2554,"mmm dd")</f>
        <v>1771</v>
      </c>
      <c r="I2554" t="s">
        <v>2237</v>
      </c>
      <c r="J2554" t="s">
        <v>768</v>
      </c>
    </row>
    <row r="2555" spans="1:23">
      <c r="A2555">
        <v>1</v>
      </c>
      <c r="B2555">
        <v>10</v>
      </c>
      <c r="C2555">
        <v>2017</v>
      </c>
      <c r="D2555" s="3" t="s">
        <f>B2555&amp;"/"&amp;A2555&amp;"/"&amp;C2555</f>
        <v>2631</v>
      </c>
      <c r="E2555">
        <v>0.60416666666666663</v>
      </c>
      <c r="F2555" t="s">
        <f>I2555&amp;" "&amp;J2555&amp;" "&amp;K2555&amp;" "&amp;L2555&amp;" "&amp;M2555&amp;" "&amp;N2555</f>
        <v>2620</v>
      </c>
      <c r="G2555" t="s">
        <f>TEXT(D2555,"mmm dd")</f>
        <v>2099</v>
      </c>
      <c r="I2555" t="s">
        <v>2468</v>
      </c>
      <c r="J2555" t="s">
        <v>218</v>
      </c>
      <c r="K2555" t="s">
        <v>2621</v>
      </c>
      <c r="M2555" t="s">
        <v>2622</v>
      </c>
    </row>
    <row r="2556" spans="1:23">
      <c r="A2556">
        <v>1</v>
      </c>
      <c r="B2556">
        <v>10</v>
      </c>
      <c r="C2556">
        <v>2017</v>
      </c>
      <c r="D2556" s="3" t="s">
        <f>B2556&amp;"/"&amp;A2556&amp;"/"&amp;C2556</f>
        <v>2631</v>
      </c>
      <c r="E2556" t="s">
        <v>42</v>
      </c>
      <c r="F2556" t="s">
        <f>I2556&amp;" "&amp;J2556&amp;" "&amp;K2556&amp;" "&amp;L2556&amp;" "&amp;M2556&amp;" "&amp;N2556</f>
        <v>2632</v>
      </c>
      <c r="G2556" t="s">
        <f>TEXT(D2556,"mmm dd")</f>
        <v>2099</v>
      </c>
      <c r="I2556" t="s">
        <v>1917</v>
      </c>
      <c r="J2556" t="s">
        <v>2633</v>
      </c>
      <c r="K2556" t="s">
        <v>2634</v>
      </c>
      <c r="L2556" t="s">
        <v>319</v>
      </c>
      <c r="O2556" t="s">
        <v>86</v>
      </c>
      <c r="P2556" t="s">
        <v>1747</v>
      </c>
      <c r="Q2556" t="s">
        <v>2509</v>
      </c>
    </row>
    <row r="2557" spans="1:23">
      <c r="A2557">
        <v>1</v>
      </c>
      <c r="B2557">
        <v>10</v>
      </c>
      <c r="C2557">
        <v>2017</v>
      </c>
      <c r="D2557" s="3" t="s">
        <f>B2557&amp;"/"&amp;A2557&amp;"/"&amp;C2557</f>
        <v>2631</v>
      </c>
      <c r="E2557" t="s">
        <v>42</v>
      </c>
      <c r="F2557" t="s">
        <f>I2557&amp;" "&amp;J2557&amp;" "&amp;K2557&amp;" "&amp;L2557&amp;" "&amp;M2557&amp;" "&amp;N2557</f>
        <v>2635</v>
      </c>
      <c r="G2557" t="s">
        <f>TEXT(D2557,"mmm dd")</f>
        <v>2099</v>
      </c>
      <c r="I2557" t="s">
        <v>917</v>
      </c>
      <c r="J2557" t="s">
        <v>2636</v>
      </c>
      <c r="K2557" t="s">
        <v>319</v>
      </c>
    </row>
    <row r="2558" spans="1:23">
      <c r="A2558">
        <v>3</v>
      </c>
      <c r="B2558">
        <v>10</v>
      </c>
      <c r="C2558">
        <v>2017</v>
      </c>
      <c r="D2558" s="3" t="str">
        <f>B2558&amp;"/"&amp;A2558&amp;"/"&amp;C2558</f>
        <v>10/3/2017</v>
      </c>
      <c r="E2558" t="s">
        <v>42</v>
      </c>
      <c r="F2558" t="str">
        <f>I2558&amp;" "&amp;J2558&amp;" "&amp;K2558&amp;" "&amp;L2558&amp;" "&amp;M2558&amp;" "&amp;N2558</f>
        <v>CREDO @ Lake Logan  </v>
      </c>
      <c r="G2558" t="s">
        <f>TEXT(D2558,"mmm dd")</f>
        <v>920</v>
      </c>
      <c r="I2558" t="inlineStr">
        <is>
          <t>CREDO</t>
        </is>
      </c>
      <c r="J2558" t="s">
        <v>48</v>
      </c>
      <c r="K2558" t="inlineStr">
        <is>
          <t>Lake</t>
        </is>
      </c>
      <c r="L2558" t="inlineStr">
        <is>
          <t>Logan</t>
        </is>
      </c>
    </row>
    <row r="2559" spans="1:23">
      <c r="A2559">
        <v>10</v>
      </c>
      <c r="B2559">
        <v>10</v>
      </c>
      <c r="C2559">
        <v>2017</v>
      </c>
      <c r="D2559" s="3" t="str">
        <f>B2559&amp;"/"&amp;A2559&amp;"/"&amp;C2559</f>
        <v>10/10/2017</v>
      </c>
      <c r="E2559">
        <v>0.70833333333333337</v>
      </c>
      <c r="F2559" t="str">
        <f>I2559&amp;" "&amp;J2559&amp;" "&amp;K2559&amp;" "&amp;L2559&amp;" "&amp;M2559&amp;" "&amp;N2559</f>
        <v>Call dentist with insurance ID number</v>
      </c>
      <c r="G2559" t="s">
        <f>TEXT(D2559,"mmm dd")</f>
        <v>1401</v>
      </c>
      <c r="I2559" t="s">
        <v>1028</v>
      </c>
      <c r="J2559" t="s">
        <v>1973</v>
      </c>
      <c r="K2559" t="s">
        <v>755</v>
      </c>
      <c r="L2559" t="s">
        <v>2406</v>
      </c>
      <c r="M2559" t="inlineStr">
        <is>
          <t>ID</t>
        </is>
      </c>
      <c r="N2559" t="inlineStr">
        <is>
          <t>number</t>
        </is>
      </c>
    </row>
    <row r="2560" spans="1:23">
      <c r="A2560">
        <v>17</v>
      </c>
      <c r="B2560">
        <v>10</v>
      </c>
      <c r="C2560">
        <v>2017</v>
      </c>
      <c r="D2560" s="3" t="str">
        <f>B2560&amp;"/"&amp;A2560&amp;"/"&amp;C2560</f>
        <v>10/17/2017</v>
      </c>
      <c r="E2560">
        <v>1.0833333333333333</v>
      </c>
      <c r="F2560" t="s">
        <f>I2560&amp;" "&amp;J2560&amp;" "&amp;K2560&amp;" "&amp;L2560&amp;" "&amp;M2560&amp;" "&amp;N2560</f>
        <v>2637</v>
      </c>
      <c r="G2560" t="s">
        <f>TEXT(D2560,"mmm dd")</f>
        <v>949</v>
      </c>
      <c r="I2560" t="s">
        <v>128</v>
      </c>
    </row>
    <row r="2561" spans="1:23">
      <c r="A2561">
        <v>20</v>
      </c>
      <c r="B2561">
        <v>10</v>
      </c>
      <c r="C2561">
        <v>2017</v>
      </c>
      <c r="D2561" s="3" t="str">
        <f>B2561&amp;"/"&amp;A2561&amp;"/"&amp;C2561</f>
        <v>10/20/2017</v>
      </c>
      <c r="E2561">
        <v>0.79166666666666663</v>
      </c>
      <c r="F2561" t="str">
        <f>I2561&amp;" "&amp;J2561&amp;" "&amp;K2561&amp;" "&amp;L2561&amp;" "&amp;M2561&amp;" "&amp;N2561</f>
        <v>Courtney in office   </v>
      </c>
      <c r="G2561" t="s">
        <f>TEXT(D2561,"mmm dd")</f>
        <v>1408</v>
      </c>
      <c r="I2561" t="inlineStr">
        <is>
          <t>Courtney</t>
        </is>
      </c>
      <c r="J2561" t="s">
        <v>372</v>
      </c>
      <c r="K2561" t="s">
        <v>2148</v>
      </c>
    </row>
    <row r="2562" spans="1:23">
      <c r="A2562">
        <v>22</v>
      </c>
      <c r="B2562">
        <v>10</v>
      </c>
      <c r="C2562">
        <v>2017</v>
      </c>
      <c r="D2562" s="3" t="str">
        <f>B2562&amp;"/"&amp;A2562&amp;"/"&amp;C2562</f>
        <v>10/22/2017</v>
      </c>
      <c r="E2562">
        <v>0.70833333333333337</v>
      </c>
      <c r="F2562" t="s">
        <f>I2562&amp;" "&amp;J2562&amp;" "&amp;K2562&amp;" "&amp;L2562&amp;" "&amp;M2562&amp;" "&amp;N2562</f>
        <v>2638</v>
      </c>
      <c r="G2562" t="s">
        <f>TEXT(D2562,"mmm dd")</f>
        <v>1410</v>
      </c>
      <c r="I2562" t="s">
        <v>218</v>
      </c>
      <c r="J2562" t="s">
        <v>2560</v>
      </c>
      <c r="K2562" t="s">
        <v>1202</v>
      </c>
      <c r="L2562" t="s">
        <v>1739</v>
      </c>
    </row>
    <row r="2563" spans="1:23">
      <c r="A2563">
        <v>24</v>
      </c>
      <c r="B2563">
        <v>10</v>
      </c>
      <c r="C2563">
        <v>2017</v>
      </c>
      <c r="D2563" s="3" t="str">
        <f>B2563&amp;"/"&amp;A2563&amp;"/"&amp;C2563</f>
        <v>10/24/2017</v>
      </c>
      <c r="E2563">
        <v>0.6875</v>
      </c>
      <c r="F2563" t="str">
        <f>I2563&amp;" "&amp;J2563&amp;" "&amp;K2563&amp;" "&amp;L2563&amp;" "&amp;M2563&amp;" "&amp;N2563</f>
        <v>Dr Mehta    </v>
      </c>
      <c r="G2563" t="s">
        <f>TEXT(D2563,"mmm dd")</f>
        <v>956</v>
      </c>
      <c r="I2563" t="s">
        <v>1791</v>
      </c>
      <c r="J2563" t="s">
        <v>2639</v>
      </c>
    </row>
    <row r="2564" spans="1:23">
      <c r="A2564">
        <v>29</v>
      </c>
      <c r="B2564">
        <v>10</v>
      </c>
      <c r="C2564">
        <v>2017</v>
      </c>
      <c r="D2564" s="3" t="str">
        <f>B2564&amp;"/"&amp;A2564&amp;"/"&amp;C2564</f>
        <v>10/29/2017</v>
      </c>
      <c r="E2564">
        <v>0.70833333333333337</v>
      </c>
      <c r="F2564" t="s">
        <f>I2564&amp;" "&amp;J2564&amp;" "&amp;K2564&amp;" "&amp;L2564&amp;" "&amp;M2564&amp;" "&amp;N2564</f>
        <v>2638</v>
      </c>
      <c r="G2564" t="s">
        <f>TEXT(D2564,"mmm dd")</f>
        <v>962</v>
      </c>
      <c r="I2564" t="s">
        <v>218</v>
      </c>
      <c r="J2564" t="s">
        <v>2560</v>
      </c>
      <c r="K2564" t="s">
        <v>1202</v>
      </c>
      <c r="L2564" t="s">
        <v>1739</v>
      </c>
    </row>
    <row r="2565" spans="1:23">
      <c r="A2565">
        <v>5</v>
      </c>
      <c r="B2565">
        <v>11</v>
      </c>
      <c r="C2565">
        <v>2017</v>
      </c>
      <c r="D2565" s="3" t="str">
        <f>B2565&amp;"/"&amp;A2565&amp;"/"&amp;C2565</f>
        <v>11/5/2017</v>
      </c>
      <c r="E2565">
        <v>0.625</v>
      </c>
      <c r="F2565" t="s">
        <f>I2565&amp;" "&amp;J2565&amp;" "&amp;K2565&amp;" "&amp;L2565&amp;" "&amp;M2565&amp;" "&amp;N2565</f>
        <v>2640</v>
      </c>
      <c r="G2565" t="s">
        <f>TEXT(D2565,"mmm dd")</f>
        <v>35</v>
      </c>
      <c r="I2565" t="s">
        <v>2468</v>
      </c>
      <c r="J2565" t="s">
        <v>218</v>
      </c>
      <c r="K2565" t="s">
        <v>2471</v>
      </c>
    </row>
    <row r="2566" spans="1:23">
      <c r="A2566">
        <v>8</v>
      </c>
      <c r="B2566">
        <v>11</v>
      </c>
      <c r="C2566">
        <v>2017</v>
      </c>
      <c r="D2566" s="3" t="str">
        <f>B2566&amp;"/"&amp;A2566&amp;"/"&amp;C2566</f>
        <v>11/8/2017</v>
      </c>
      <c r="E2566" t="s">
        <v>42</v>
      </c>
      <c r="F2566" t="str">
        <f>I2566&amp;" "&amp;J2566&amp;" "&amp;K2566&amp;" "&amp;L2566&amp;" "&amp;M2566&amp;" "&amp;N2566</f>
        <v>change WU password   </v>
      </c>
      <c r="G2566" t="s">
        <f>TEXT(D2566,"mmm dd")</f>
        <v>36</v>
      </c>
      <c r="I2566" t="s">
        <v>2320</v>
      </c>
      <c r="J2566" t="s">
        <v>2641</v>
      </c>
      <c r="K2566" t="s">
        <v>2642</v>
      </c>
    </row>
    <row r="2567" spans="1:23">
      <c r="A2567">
        <v>12</v>
      </c>
      <c r="B2567">
        <v>11</v>
      </c>
      <c r="C2567">
        <v>2017</v>
      </c>
      <c r="D2567" s="3" t="str">
        <f>B2567&amp;"/"&amp;A2567&amp;"/"&amp;C2567</f>
        <v>11/12/2017</v>
      </c>
      <c r="E2567">
        <v>0.6875</v>
      </c>
      <c r="F2567" t="str">
        <f>I2567&amp;" "&amp;J2567&amp;" "&amp;K2567&amp;" "&amp;L2567&amp;" "&amp;M2567&amp;" "&amp;N2567</f>
        <v>Supply St. Paul's   Annual</v>
      </c>
      <c r="G2567" t="s">
        <f>TEXT(D2567,"mmm dd")</f>
        <v>993</v>
      </c>
      <c r="I2567" t="s">
        <v>2468</v>
      </c>
      <c r="J2567" t="s">
        <v>218</v>
      </c>
      <c r="K2567" t="s">
        <v>2471</v>
      </c>
      <c r="N2567" t="s">
        <v>1387</v>
      </c>
    </row>
    <row r="2568" spans="1:23">
      <c r="A2568">
        <v>16</v>
      </c>
      <c r="B2568">
        <v>11</v>
      </c>
      <c r="C2568">
        <v>2017</v>
      </c>
      <c r="D2568" s="3" t="str">
        <f>B2568&amp;"/"&amp;A2568&amp;"/"&amp;C2568</f>
        <v>11/16/2017</v>
      </c>
      <c r="E2568">
        <v>0.79166666666666663</v>
      </c>
      <c r="F2568" t="str">
        <f>I2568&amp;" "&amp;J2568&amp;" "&amp;K2568&amp;" "&amp;L2568&amp;" "&amp;M2568&amp;" "&amp;N2568</f>
        <v>Meet for makeup exam  </v>
      </c>
      <c r="G2568" t="s">
        <f>TEXT(D2568,"mmm dd")</f>
        <v>1654</v>
      </c>
      <c r="I2568" t="s">
        <v>300</v>
      </c>
      <c r="J2568" t="s">
        <v>439</v>
      </c>
      <c r="K2568" t="s">
        <v>2495</v>
      </c>
      <c r="L2568" t="s">
        <v>2290</v>
      </c>
    </row>
    <row r="2569" spans="1:23">
      <c r="A2569">
        <v>19</v>
      </c>
      <c r="B2569">
        <v>11</v>
      </c>
      <c r="C2569">
        <v>2017</v>
      </c>
      <c r="D2569" s="3" t="str">
        <f>B2569&amp;"/"&amp;A2569&amp;"/"&amp;C2569</f>
        <v>11/19/2017</v>
      </c>
      <c r="E2569">
        <v>0.75</v>
      </c>
      <c r="F2569" t="s">
        <f>I2569&amp;" "&amp;J2569&amp;" "&amp;K2569&amp;" "&amp;L2569&amp;" "&amp;M2569&amp;" "&amp;N2569</f>
        <v>2643</v>
      </c>
      <c r="G2569" t="s">
        <f>TEXT(D2569,"mmm dd")</f>
        <v>1426</v>
      </c>
      <c r="I2569" t="s">
        <v>2468</v>
      </c>
      <c r="J2569" t="s">
        <v>218</v>
      </c>
      <c r="K2569" t="s">
        <v>2644</v>
      </c>
      <c r="M2569" t="s">
        <v>1202</v>
      </c>
      <c r="N2569" t="s">
        <v>1739</v>
      </c>
    </row>
    <row r="2570" spans="1:23">
      <c r="A2570">
        <v>28</v>
      </c>
      <c r="B2570">
        <v>11</v>
      </c>
      <c r="C2570">
        <v>2017</v>
      </c>
      <c r="D2570" s="3" t="str">
        <f>B2570&amp;"/"&amp;A2570&amp;"/"&amp;C2570</f>
        <v>11/28/2017</v>
      </c>
      <c r="E2570">
        <v>0.79166666666666663</v>
      </c>
      <c r="F2570" t="s">
        <f>I2570&amp;" "&amp;J2570&amp;" "&amp;K2570&amp;" "&amp;L2570&amp;" "&amp;M2570&amp;" "&amp;N2570</f>
        <v>2645</v>
      </c>
      <c r="G2570" t="s">
        <f>TEXT(D2570,"mmm dd")</f>
        <v>1435</v>
      </c>
      <c r="I2570" t="s">
        <v>2625</v>
      </c>
      <c r="J2570" t="s">
        <v>842</v>
      </c>
    </row>
    <row r="2571" spans="1:23">
      <c r="A2571">
        <v>3</v>
      </c>
      <c r="B2571">
        <v>12</v>
      </c>
      <c r="C2571">
        <v>2017</v>
      </c>
      <c r="D2571" s="3" t="str">
        <f>B2571&amp;"/"&amp;A2571&amp;"/"&amp;C2571</f>
        <v>12/3/2017</v>
      </c>
      <c r="E2571">
        <v>0.64583333333333337</v>
      </c>
      <c r="F2571" t="s">
        <f>I2571&amp;" "&amp;J2571&amp;" "&amp;K2571&amp;" "&amp;L2571&amp;" "&amp;M2571&amp;" "&amp;N2571</f>
        <v>2640</v>
      </c>
      <c r="G2571" t="s">
        <f>TEXT(D2571,"mmm dd")</f>
        <v>1662</v>
      </c>
      <c r="I2571" t="s">
        <v>2468</v>
      </c>
      <c r="J2571" t="s">
        <v>218</v>
      </c>
      <c r="K2571" t="s">
        <v>2471</v>
      </c>
    </row>
    <row r="2572" spans="1:23">
      <c r="A2572">
        <v>4</v>
      </c>
      <c r="B2572">
        <v>12</v>
      </c>
      <c r="C2572">
        <v>2017</v>
      </c>
      <c r="D2572" s="3" t="str">
        <f>B2572&amp;"/"&amp;A2572&amp;"/"&amp;C2572</f>
        <v>12/4/2017</v>
      </c>
      <c r="E2572" t="s">
        <v>42</v>
      </c>
      <c r="F2572" t="str">
        <f>I2572&amp;" "&amp;J2572&amp;" "&amp;K2572&amp;" "&amp;L2572&amp;" "&amp;M2572&amp;" "&amp;N2572</f>
        <v>Last class    </v>
      </c>
      <c r="G2572" t="s">
        <f>TEXT(D2572,"mmm dd")</f>
        <v>1057</v>
      </c>
      <c r="I2572" t="inlineStr">
        <is>
          <t>Last</t>
        </is>
      </c>
      <c r="J2572" t="s">
        <v>857</v>
      </c>
    </row>
    <row r="2573" spans="1:23">
      <c r="A2573">
        <v>6</v>
      </c>
      <c r="B2573">
        <v>12</v>
      </c>
      <c r="C2573">
        <v>2017</v>
      </c>
      <c r="D2573" s="3" t="s">
        <f>B2573&amp;"/"&amp;A2573&amp;"/"&amp;C2573</f>
        <v>2646</v>
      </c>
      <c r="E2573" t="s">
        <v>42</v>
      </c>
      <c r="F2573" t="str">
        <f>I2573&amp;" "&amp;J2573&amp;" "&amp;K2573&amp;" "&amp;L2573&amp;" "&amp;M2573&amp;" "&amp;N2573</f>
        <v>Final Exams    </v>
      </c>
      <c r="G2573" t="s">
        <f>TEXT(D2573,"mmm dd")</f>
        <v>1445</v>
      </c>
      <c r="I2573" t="s">
        <v>1763</v>
      </c>
      <c r="J2573" t="inlineStr">
        <is>
          <t>Exams</t>
        </is>
      </c>
    </row>
    <row r="2574" spans="1:23">
      <c r="A2574">
        <v>6</v>
      </c>
      <c r="B2574">
        <v>12</v>
      </c>
      <c r="C2574">
        <v>2017</v>
      </c>
      <c r="D2574" s="3" t="s">
        <f>B2574&amp;"/"&amp;A2574&amp;"/"&amp;C2574</f>
        <v>2646</v>
      </c>
      <c r="E2574">
        <v>0.95833333333333337</v>
      </c>
      <c r="F2574" t="str">
        <f>I2574&amp;" "&amp;J2574&amp;" "&amp;K2574&amp;" "&amp;L2574&amp;" "&amp;M2574&amp;" "&amp;N2574</f>
        <v>relf101 2 final   </v>
      </c>
      <c r="G2574" t="s">
        <f>TEXT(D2574,"mmm dd")</f>
        <v>1445</v>
      </c>
      <c r="I2574" t="inlineStr">
        <is>
          <t>relf101</t>
        </is>
      </c>
      <c r="J2574">
        <v>2</v>
      </c>
      <c r="K2574" t="s">
        <v>2558</v>
      </c>
    </row>
    <row r="2575" spans="1:23">
      <c r="A2575">
        <v>6</v>
      </c>
      <c r="B2575">
        <v>12</v>
      </c>
      <c r="C2575">
        <v>2017</v>
      </c>
      <c r="D2575" s="3" t="s">
        <f>B2575&amp;"/"&amp;A2575&amp;"/"&amp;C2575</f>
        <v>2646</v>
      </c>
      <c r="E2575">
        <v>0.8125</v>
      </c>
      <c r="F2575" t="str">
        <f>I2575&amp;" "&amp;J2575&amp;" "&amp;K2575&amp;" "&amp;L2575&amp;" "&amp;M2575&amp;" "&amp;N2575</f>
        <v>relf313 final    </v>
      </c>
      <c r="G2575" t="s">
        <f>TEXT(D2575,"mmm dd")</f>
        <v>1445</v>
      </c>
      <c r="I2575" t="inlineStr">
        <is>
          <t>relf313</t>
        </is>
      </c>
      <c r="J2575" t="s">
        <v>2558</v>
      </c>
    </row>
    <row r="2576" spans="1:23">
      <c r="A2576">
        <v>10</v>
      </c>
      <c r="B2576">
        <v>12</v>
      </c>
      <c r="C2576">
        <v>2017</v>
      </c>
      <c r="D2576" s="3" t="str">
        <f>B2576&amp;"/"&amp;A2576&amp;"/"&amp;C2576</f>
        <v>12/10/2017</v>
      </c>
      <c r="E2576">
        <v>0.64583333333333337</v>
      </c>
      <c r="F2576" t="s">
        <f>I2576&amp;" "&amp;J2576&amp;" "&amp;K2576&amp;" "&amp;L2576&amp;" "&amp;M2576&amp;" "&amp;N2576</f>
        <v>2640</v>
      </c>
      <c r="G2576" t="s">
        <f>TEXT(D2576,"mmm dd")</f>
        <v>1452</v>
      </c>
      <c r="I2576" t="s">
        <v>2468</v>
      </c>
      <c r="J2576" t="s">
        <v>218</v>
      </c>
      <c r="K2576" t="s">
        <v>2471</v>
      </c>
    </row>
    <row r="2577" spans="1:23">
      <c r="A2577">
        <v>11</v>
      </c>
      <c r="B2577">
        <v>12</v>
      </c>
      <c r="C2577">
        <v>2017</v>
      </c>
      <c r="D2577" s="3" t="s">
        <f>B2577&amp;"/"&amp;A2577&amp;"/"&amp;C2577</f>
        <v>2647</v>
      </c>
      <c r="E2577">
        <v>0.8125</v>
      </c>
      <c r="F2577" t="str">
        <f>I2577&amp;" "&amp;J2577&amp;" "&amp;K2577&amp;" "&amp;L2577&amp;" "&amp;M2577&amp;" "&amp;N2577</f>
        <v>relg101 1 final   </v>
      </c>
      <c r="G2577" t="s">
        <f>TEXT(D2577,"mmm dd")</f>
        <v>1455</v>
      </c>
      <c r="I2577" t="inlineStr">
        <is>
          <t>relg101</t>
        </is>
      </c>
      <c r="J2577">
        <v>1</v>
      </c>
      <c r="K2577" t="s">
        <v>2558</v>
      </c>
    </row>
    <row r="2578" spans="1:23">
      <c r="A2578">
        <v>11</v>
      </c>
      <c r="B2578">
        <v>12</v>
      </c>
      <c r="C2578">
        <v>2017</v>
      </c>
      <c r="D2578" s="3" t="s">
        <f>B2578&amp;"/"&amp;A2578&amp;"/"&amp;C2578</f>
        <v>2647</v>
      </c>
      <c r="E2578">
        <v>0.66666666666666663</v>
      </c>
      <c r="F2578" t="str">
        <f>I2578&amp;" "&amp;J2578&amp;" "&amp;K2578&amp;" "&amp;L2578&amp;" "&amp;M2578&amp;" "&amp;N2578</f>
        <v>Dr Matthews periodontist   </v>
      </c>
      <c r="G2578" t="s">
        <f>TEXT(D2578,"mmm dd")</f>
        <v>1455</v>
      </c>
      <c r="I2578" t="s">
        <v>1791</v>
      </c>
      <c r="J2578" t="s">
        <v>2513</v>
      </c>
      <c r="K2578" t="s">
        <v>2510</v>
      </c>
    </row>
    <row r="2579" spans="1:23">
      <c r="A2579">
        <v>22</v>
      </c>
      <c r="B2579">
        <v>12</v>
      </c>
      <c r="C2579">
        <v>2017</v>
      </c>
      <c r="D2579" s="3" t="str">
        <f>B2579&amp;"/"&amp;A2579&amp;"/"&amp;C2579</f>
        <v>12/22/2017</v>
      </c>
      <c r="E2579">
        <v>1.0069444444444444</v>
      </c>
      <c r="F2579" t="s">
        <f>I2579&amp;" "&amp;J2579&amp;" "&amp;K2579&amp;" "&amp;L2579&amp;" "&amp;M2579&amp;" "&amp;N2579</f>
        <v>2648</v>
      </c>
      <c r="G2579" t="s">
        <f>TEXT(D2579,"mmm dd")</f>
        <v>1670</v>
      </c>
      <c r="I2579" t="s">
        <v>2365</v>
      </c>
      <c r="J2579" t="s">
        <v>449</v>
      </c>
      <c r="K2579" t="s">
        <v>609</v>
      </c>
      <c r="L2579" t="s">
        <v>2649</v>
      </c>
      <c r="M2579" t="s">
        <v>2650</v>
      </c>
    </row>
    <row r="2580" spans="1:23">
      <c r="A2580">
        <v>23</v>
      </c>
      <c r="B2580">
        <v>12</v>
      </c>
      <c r="C2580">
        <v>2017</v>
      </c>
      <c r="D2580" s="3" t="str">
        <f>B2580&amp;"/"&amp;A2580&amp;"/"&amp;C2580</f>
        <v>12/23/2017</v>
      </c>
      <c r="E2580">
        <v>1.0208333333333333</v>
      </c>
      <c r="F2580" t="str">
        <f>I2580&amp;" "&amp;J2580&amp;" "&amp;K2580&amp;" "&amp;L2580&amp;" "&amp;M2580&amp;" "&amp;N2580</f>
        <v>Lunch with John and K </v>
      </c>
      <c r="G2580" t="s">
        <f>TEXT(D2580,"mmm dd")</f>
        <v>1129</v>
      </c>
      <c r="I2580" t="s">
        <v>813</v>
      </c>
      <c r="J2580" t="s">
        <v>755</v>
      </c>
      <c r="K2580" t="s">
        <v>585</v>
      </c>
      <c r="L2580" t="s">
        <v>135</v>
      </c>
      <c r="M2580" t="s">
        <v>2383</v>
      </c>
    </row>
    <row r="2581" spans="1:23">
      <c r="A2581">
        <v>26</v>
      </c>
      <c r="B2581">
        <v>12</v>
      </c>
      <c r="C2581">
        <v>2017</v>
      </c>
      <c r="D2581" s="3" t="s">
        <f>B2581&amp;"/"&amp;A2581&amp;"/"&amp;C2581</f>
        <v>2651</v>
      </c>
      <c r="E2581">
        <v>0.91666666666666663</v>
      </c>
      <c r="F2581" t="s">
        <f>I2581&amp;" "&amp;J2581&amp;" "&amp;K2581&amp;" "&amp;L2581&amp;" "&amp;M2581&amp;" "&amp;N2581</f>
        <v>1339</v>
      </c>
      <c r="G2581" t="s">
        <f>TEXT(D2581,"mmm dd")</f>
        <v>2272</v>
      </c>
      <c r="I2581" t="s">
        <v>1008</v>
      </c>
    </row>
    <row r="2582" spans="1:23">
      <c r="A2582">
        <v>26</v>
      </c>
      <c r="B2582">
        <v>12</v>
      </c>
      <c r="C2582">
        <v>2017</v>
      </c>
      <c r="D2582" s="3" t="s">
        <f>B2582&amp;"/"&amp;A2582&amp;"/"&amp;C2582</f>
        <v>2651</v>
      </c>
      <c r="E2582">
        <v>0.82291666666666663</v>
      </c>
      <c r="F2582" t="str">
        <f>I2582&amp;" "&amp;J2582&amp;" "&amp;K2582&amp;" "&amp;L2582&amp;" "&amp;M2582&amp;" "&amp;N2582</f>
        <v>Mary and Mark   </v>
      </c>
      <c r="G2582" t="s">
        <f>TEXT(D2582,"mmm dd")</f>
        <v>2272</v>
      </c>
      <c r="I2582" t="s">
        <v>410</v>
      </c>
      <c r="J2582" t="s">
        <v>135</v>
      </c>
      <c r="K2582" t="s">
        <v>229</v>
      </c>
    </row>
    <row r="2583" spans="1:23">
      <c r="A2583">
        <v>31</v>
      </c>
      <c r="B2583">
        <v>12</v>
      </c>
      <c r="C2583">
        <v>2017</v>
      </c>
      <c r="D2583" s="3" t="str">
        <f>B2583&amp;"/"&amp;A2583&amp;"/"&amp;C2583</f>
        <v>12/31/2017</v>
      </c>
      <c r="E2583">
        <v>0.99652777777777779</v>
      </c>
      <c r="F2583" t="str">
        <f>I2583&amp;" "&amp;J2583&amp;" "&amp;K2583&amp;" "&amp;L2583&amp;" "&amp;M2583&amp;" "&amp;N2583</f>
        <v>Flight to Atlanta (DL 1095) </v>
      </c>
      <c r="G2583" t="s">
        <f>TEXT(D2583,"mmm dd")</f>
        <v>1134</v>
      </c>
      <c r="I2583" t="s">
        <v>2365</v>
      </c>
      <c r="J2583" t="s">
        <v>449</v>
      </c>
      <c r="K2583" t="s">
        <v>2369</v>
      </c>
      <c r="L2583" t="s">
        <v>2591</v>
      </c>
      <c r="M2583" t="inlineStr">
        <is>
          <t>1095)</t>
        </is>
      </c>
    </row>
    <row r="2584" spans="1:23">
      <c r="A2584">
        <v>1</v>
      </c>
      <c r="B2584">
        <v>1</v>
      </c>
      <c r="C2584">
        <v>2018</v>
      </c>
      <c r="D2584" s="3" t="str">
        <f>B2584&amp;"/"&amp;A2584&amp;"/"&amp;C2584</f>
        <v>1/1/2018</v>
      </c>
      <c r="E2584">
        <v>0.125</v>
      </c>
      <c r="F2584" t="s">
        <f>I2584&amp;" "&amp;J2584&amp;" "&amp;K2584&amp;" "&amp;L2584&amp;" "&amp;M2584&amp;" "&amp;N2584</f>
        <v>2652</v>
      </c>
      <c r="G2584" t="s">
        <f>TEXT(D2584,"mmm dd")</f>
        <v>1676</v>
      </c>
      <c r="I2584" t="s">
        <v>2365</v>
      </c>
      <c r="J2584" t="s">
        <v>449</v>
      </c>
      <c r="K2584" t="s">
        <v>2455</v>
      </c>
      <c r="L2584" t="s">
        <v>2456</v>
      </c>
      <c r="M2584" t="s">
        <v>2591</v>
      </c>
      <c r="N2584" t="s">
        <v>2653</v>
      </c>
    </row>
    <row r="2585" spans="1:23">
      <c r="A2585">
        <v>4</v>
      </c>
      <c r="B2585">
        <v>1</v>
      </c>
      <c r="C2585">
        <v>2018</v>
      </c>
      <c r="D2585" s="3" t="str">
        <f>B2585&amp;"/"&amp;A2585&amp;"/"&amp;C2585</f>
        <v>1/4/2018</v>
      </c>
      <c r="E2585" t="s">
        <v>42</v>
      </c>
      <c r="F2585" t="str">
        <f>I2585&amp;" "&amp;J2585&amp;" "&amp;K2585&amp;" "&amp;L2585&amp;" "&amp;M2585&amp;" "&amp;N2585</f>
        <v>Meet with Peter re schedule in</v>
      </c>
      <c r="G2585" t="s">
        <f>TEXT(D2585,"mmm dd")</f>
        <v>1677</v>
      </c>
      <c r="I2585" t="s">
        <v>300</v>
      </c>
      <c r="J2585" t="s">
        <v>755</v>
      </c>
      <c r="K2585" t="s">
        <v>604</v>
      </c>
      <c r="L2585" t="s">
        <v>594</v>
      </c>
      <c r="M2585" t="s">
        <v>2654</v>
      </c>
      <c r="N2585" t="s">
        <v>372</v>
      </c>
    </row>
    <row r="2586" spans="1:23">
      <c r="A2586">
        <v>5</v>
      </c>
      <c r="B2586">
        <v>1</v>
      </c>
      <c r="C2586">
        <v>2018</v>
      </c>
      <c r="D2586" s="3" t="str">
        <f>B2586&amp;"/"&amp;A2586&amp;"/"&amp;C2586</f>
        <v>1/5/2018</v>
      </c>
      <c r="E2586">
        <v>1.0013888888888889</v>
      </c>
      <c r="F2586" t="str">
        <f>I2586&amp;" "&amp;J2586&amp;" "&amp;K2586&amp;" "&amp;L2586&amp;" "&amp;M2586&amp;" "&amp;N2586</f>
        <v>Flight to Atlanta (DL 2823) </v>
      </c>
      <c r="G2586" t="s">
        <f>TEXT(D2586,"mmm dd")</f>
        <v>2485</v>
      </c>
      <c r="I2586" t="s">
        <v>2365</v>
      </c>
      <c r="J2586" t="s">
        <v>449</v>
      </c>
      <c r="K2586" t="s">
        <v>2369</v>
      </c>
      <c r="L2586" t="s">
        <v>2591</v>
      </c>
      <c r="M2586" t="inlineStr">
        <is>
          <t>2823)</t>
        </is>
      </c>
    </row>
    <row r="2587" spans="1:23">
      <c r="A2587">
        <v>6</v>
      </c>
      <c r="B2587">
        <v>1</v>
      </c>
      <c r="C2587">
        <v>2018</v>
      </c>
      <c r="D2587" s="3" t="str">
        <f>B2587&amp;"/"&amp;A2587&amp;"/"&amp;C2587</f>
        <v>1/6/2018</v>
      </c>
      <c r="E2587">
        <v>0.26527777777777778</v>
      </c>
      <c r="F2587" t="s">
        <f>I2587&amp;" "&amp;J2587&amp;" "&amp;K2587&amp;" "&amp;L2587&amp;" "&amp;M2587&amp;" "&amp;N2587</f>
        <v>2655</v>
      </c>
      <c r="G2587" t="s">
        <f>TEXT(D2587,"mmm dd")</f>
        <v>1142</v>
      </c>
      <c r="I2587" t="s">
        <v>2365</v>
      </c>
      <c r="J2587" t="s">
        <v>449</v>
      </c>
      <c r="K2587" t="s">
        <v>2372</v>
      </c>
      <c r="L2587" t="s">
        <v>2591</v>
      </c>
      <c r="M2587" t="s">
        <v>2656</v>
      </c>
    </row>
    <row r="2588" spans="1:23">
      <c r="A2588">
        <v>7</v>
      </c>
      <c r="B2588">
        <v>1</v>
      </c>
      <c r="C2588">
        <v>2018</v>
      </c>
      <c r="D2588" s="3" t="str">
        <f>B2588&amp;"/"&amp;A2588&amp;"/"&amp;C2588</f>
        <v>1/7/2018</v>
      </c>
      <c r="E2588">
        <v>0.4375</v>
      </c>
      <c r="F2588" t="s">
        <f>I2588&amp;" "&amp;J2588&amp;" "&amp;K2588&amp;" "&amp;L2588&amp;" "&amp;M2588&amp;" "&amp;N2588</f>
        <v>2640</v>
      </c>
      <c r="G2588" t="s">
        <f>TEXT(D2588,"mmm dd")</f>
        <v>1682</v>
      </c>
      <c r="I2588" t="s">
        <v>2468</v>
      </c>
      <c r="J2588" t="s">
        <v>218</v>
      </c>
      <c r="K2588" t="s">
        <v>2471</v>
      </c>
    </row>
    <row r="2589" spans="1:23">
      <c r="A2589">
        <v>8</v>
      </c>
      <c r="B2589">
        <v>1</v>
      </c>
      <c r="C2589">
        <v>2018</v>
      </c>
      <c r="D2589" s="3" t="s">
        <f>B2589&amp;"/"&amp;A2589&amp;"/"&amp;C2589</f>
        <v>2657</v>
      </c>
      <c r="E2589" t="s">
        <v>42</v>
      </c>
      <c r="F2589" t="s">
        <f>I2589&amp;" "&amp;J2589&amp;" "&amp;K2589&amp;" "&amp;L2589&amp;" "&amp;M2589&amp;" "&amp;N2589</f>
        <v>2658</v>
      </c>
      <c r="G2589" t="s">
        <f>TEXT(D2589,"mmm dd")</f>
        <v>2566</v>
      </c>
      <c r="I2589" t="s">
        <v>2659</v>
      </c>
      <c r="J2589" t="s">
        <v>2052</v>
      </c>
    </row>
    <row r="2590" spans="1:23">
      <c r="A2590">
        <v>8</v>
      </c>
      <c r="B2590">
        <v>1</v>
      </c>
      <c r="C2590">
        <v>2018</v>
      </c>
      <c r="D2590" s="3" t="s">
        <f>B2590&amp;"/"&amp;A2590&amp;"/"&amp;C2590</f>
        <v>2657</v>
      </c>
      <c r="E2590">
        <v>0.97916666666666663</v>
      </c>
      <c r="F2590" t="s">
        <f>I2590&amp;" "&amp;J2590&amp;" "&amp;K2590&amp;" "&amp;L2590&amp;" "&amp;M2590&amp;" "&amp;N2590</f>
        <v>2361</v>
      </c>
      <c r="G2590" t="s">
        <f>TEXT(D2590,"mmm dd")</f>
        <v>2566</v>
      </c>
      <c r="I2590" t="s">
        <v>493</v>
      </c>
      <c r="J2590" t="s">
        <v>2362</v>
      </c>
    </row>
    <row r="2591" spans="1:23">
      <c r="A2591">
        <v>8</v>
      </c>
      <c r="B2591">
        <v>1</v>
      </c>
      <c r="C2591">
        <v>2018</v>
      </c>
      <c r="D2591" s="3" t="s">
        <f>B2591&amp;"/"&amp;A2591&amp;"/"&amp;C2591</f>
        <v>2657</v>
      </c>
      <c r="E2591">
        <v>0.52083333333333337</v>
      </c>
      <c r="F2591" t="s">
        <f>I2591&amp;" "&amp;J2591&amp;" "&amp;K2591&amp;" "&amp;L2591&amp;" "&amp;M2591&amp;" "&amp;N2591</f>
        <v>2487</v>
      </c>
      <c r="G2591" t="s">
        <f>TEXT(D2591,"mmm dd")</f>
        <v>2566</v>
      </c>
      <c r="I2591" t="s">
        <v>2357</v>
      </c>
      <c r="J2591">
        <v>101</v>
      </c>
      <c r="K2591">
        <v>1</v>
      </c>
    </row>
    <row r="2592" spans="1:23">
      <c r="A2592">
        <v>8</v>
      </c>
      <c r="B2592">
        <v>1</v>
      </c>
      <c r="C2592">
        <v>2018</v>
      </c>
      <c r="D2592" s="3" t="s">
        <f>B2592&amp;"/"&amp;A2592&amp;"/"&amp;C2592</f>
        <v>2657</v>
      </c>
      <c r="E2592">
        <v>0.70833333333333337</v>
      </c>
      <c r="F2592" t="s">
        <f>I2592&amp;" "&amp;J2592&amp;" "&amp;K2592&amp;" "&amp;L2592&amp;" "&amp;M2592&amp;" "&amp;N2592</f>
        <v>2488</v>
      </c>
      <c r="G2592" t="s">
        <f>TEXT(D2592,"mmm dd")</f>
        <v>2566</v>
      </c>
      <c r="I2592" t="s">
        <v>2357</v>
      </c>
      <c r="J2592">
        <v>101</v>
      </c>
      <c r="K2592">
        <v>2</v>
      </c>
    </row>
    <row r="2593" spans="1:23">
      <c r="A2593">
        <v>9</v>
      </c>
      <c r="B2593">
        <v>1</v>
      </c>
      <c r="C2593">
        <v>2018</v>
      </c>
      <c r="D2593" s="3" t="s">
        <f>B2593&amp;"/"&amp;A2593&amp;"/"&amp;C2593</f>
        <v>2660</v>
      </c>
      <c r="E2593">
        <v>0.79166666666666663</v>
      </c>
      <c r="F2593" t="s">
        <f>I2593&amp;" "&amp;J2593&amp;" "&amp;K2593&amp;" "&amp;L2593&amp;" "&amp;M2593&amp;" "&amp;N2593</f>
        <v>2361</v>
      </c>
      <c r="G2593" t="s">
        <f>TEXT(D2593,"mmm dd")</f>
        <v>1476</v>
      </c>
      <c r="I2593" t="s">
        <v>493</v>
      </c>
      <c r="J2593" t="s">
        <v>2362</v>
      </c>
    </row>
    <row r="2594" spans="1:23">
      <c r="A2594">
        <v>9</v>
      </c>
      <c r="B2594">
        <v>1</v>
      </c>
      <c r="C2594">
        <v>2018</v>
      </c>
      <c r="D2594" s="3" t="s">
        <f>B2594&amp;"/"&amp;A2594&amp;"/"&amp;C2594</f>
        <v>2660</v>
      </c>
      <c r="E2594">
        <v>0.52083333333333337</v>
      </c>
      <c r="F2594" t="s">
        <f>I2594&amp;" "&amp;J2594&amp;" "&amp;K2594&amp;" "&amp;L2594&amp;" "&amp;M2594&amp;" "&amp;N2594</f>
        <v>2435</v>
      </c>
      <c r="G2594" t="s">
        <f>TEXT(D2594,"mmm dd")</f>
        <v>1476</v>
      </c>
      <c r="I2594" t="s">
        <v>2357</v>
      </c>
      <c r="J2594">
        <v>317</v>
      </c>
    </row>
    <row r="2595" spans="1:23">
      <c r="A2595">
        <v>10</v>
      </c>
      <c r="B2595">
        <v>1</v>
      </c>
      <c r="C2595">
        <v>2018</v>
      </c>
      <c r="D2595" s="3" t="str">
        <f>B2595&amp;"/"&amp;A2595&amp;"/"&amp;C2595</f>
        <v>1/10/2018</v>
      </c>
      <c r="E2595">
        <v>0.77083333333333337</v>
      </c>
      <c r="F2595" t="s">
        <f>I2595&amp;" "&amp;J2595&amp;" "&amp;K2595&amp;" "&amp;L2595&amp;" "&amp;M2595&amp;" "&amp;N2595</f>
        <v>2361</v>
      </c>
      <c r="G2595" t="s">
        <f>TEXT(D2595,"mmm dd")</f>
        <v>1146</v>
      </c>
      <c r="I2595" t="s">
        <v>493</v>
      </c>
      <c r="J2595" t="s">
        <v>2362</v>
      </c>
    </row>
    <row r="2596" spans="1:23">
      <c r="A2596">
        <v>11</v>
      </c>
      <c r="B2596">
        <v>1</v>
      </c>
      <c r="C2596">
        <v>2018</v>
      </c>
      <c r="D2596" s="3" t="str">
        <f>B2596&amp;"/"&amp;A2596&amp;"/"&amp;C2596</f>
        <v>1/11/2018</v>
      </c>
      <c r="E2596">
        <v>0.58333333333333337</v>
      </c>
      <c r="F2596" t="str">
        <f>I2596&amp;" "&amp;J2596&amp;" "&amp;K2596&amp;" "&amp;L2596&amp;" "&amp;M2596&amp;" "&amp;N2596</f>
        <v>Department meeting for action plan </v>
      </c>
      <c r="G2596" t="s">
        <f>TEXT(D2596,"mmm dd")</f>
        <v>1152</v>
      </c>
      <c r="I2596" t="s">
        <v>2625</v>
      </c>
      <c r="J2596" t="s">
        <v>842</v>
      </c>
      <c r="K2596" t="s">
        <v>439</v>
      </c>
      <c r="L2596" t="inlineStr">
        <is>
          <t>action</t>
        </is>
      </c>
      <c r="M2596" t="s">
        <v>1461</v>
      </c>
    </row>
    <row r="2597" spans="1:23">
      <c r="A2597">
        <v>14</v>
      </c>
      <c r="B2597">
        <v>1</v>
      </c>
      <c r="C2597">
        <v>2018</v>
      </c>
      <c r="D2597" s="3" t="str">
        <f>B2597&amp;"/"&amp;A2597&amp;"/"&amp;C2597</f>
        <v>1/14/2018</v>
      </c>
      <c r="E2597">
        <v>0.54166666666666663</v>
      </c>
      <c r="F2597" t="str">
        <f>I2597&amp;" "&amp;J2597&amp;" "&amp;K2597&amp;" "&amp;L2597&amp;" "&amp;M2597&amp;" "&amp;N2597</f>
        <v>St. Paul's    </v>
      </c>
      <c r="G2597" t="s">
        <f>TEXT(D2597,"mmm dd")</f>
        <v>1166</v>
      </c>
      <c r="I2597" t="s">
        <v>218</v>
      </c>
      <c r="J2597" t="s">
        <v>2471</v>
      </c>
    </row>
    <row r="2598" spans="1:23">
      <c r="A2598">
        <v>16</v>
      </c>
      <c r="B2598">
        <v>1</v>
      </c>
      <c r="C2598">
        <v>2018</v>
      </c>
      <c r="D2598" s="3" t="str">
        <f>B2598&amp;"/"&amp;A2598&amp;"/"&amp;C2598</f>
        <v>1/16/2018</v>
      </c>
      <c r="E2598">
        <v>0.75</v>
      </c>
      <c r="F2598" t="str">
        <f>I2598&amp;" "&amp;J2598&amp;" "&amp;K2598&amp;" "&amp;L2598&amp;" "&amp;M2598&amp;" "&amp;N2598</f>
        <v>Call BP Waldo   </v>
      </c>
      <c r="G2598" t="s">
        <f>TEXT(D2598,"mmm dd")</f>
        <v>1170</v>
      </c>
      <c r="I2598" t="s">
        <v>1028</v>
      </c>
      <c r="J2598" t="inlineStr">
        <is>
          <t>BP</t>
        </is>
      </c>
      <c r="K2598" t="s">
        <v>2516</v>
      </c>
    </row>
    <row r="2599" spans="1:23">
      <c r="A2599">
        <v>21</v>
      </c>
      <c r="B2599">
        <v>1</v>
      </c>
      <c r="C2599">
        <v>2018</v>
      </c>
      <c r="D2599" s="3" t="str">
        <f>B2599&amp;"/"&amp;A2599&amp;"/"&amp;C2599</f>
        <v>1/21/2018</v>
      </c>
      <c r="E2599">
        <v>0.72916666666666663</v>
      </c>
      <c r="F2599" t="s">
        <f>I2599&amp;" "&amp;J2599&amp;" "&amp;K2599&amp;" "&amp;L2599&amp;" "&amp;M2599&amp;" "&amp;N2599</f>
        <v>2552</v>
      </c>
      <c r="G2599" t="s">
        <f>TEXT(D2599,"mmm dd")</f>
        <v>1485</v>
      </c>
      <c r="I2599" t="s">
        <v>1796</v>
      </c>
      <c r="J2599" t="s">
        <v>1980</v>
      </c>
    </row>
    <row r="2600" spans="1:23">
      <c r="A2600">
        <v>22</v>
      </c>
      <c r="B2600">
        <v>1</v>
      </c>
      <c r="C2600">
        <v>2018</v>
      </c>
      <c r="D2600" s="3" t="str">
        <f>B2600&amp;"/"&amp;A2600&amp;"/"&amp;C2600</f>
        <v>1/22/2018</v>
      </c>
      <c r="E2600">
        <v>0.77083333333333337</v>
      </c>
      <c r="F2600" t="s">
        <f>I2600&amp;" "&amp;J2600&amp;" "&amp;K2600&amp;" "&amp;L2600&amp;" "&amp;M2600&amp;" "&amp;N2600</f>
        <v>2361</v>
      </c>
      <c r="G2600" t="s">
        <f>TEXT(D2600,"mmm dd")</f>
        <v>1692</v>
      </c>
      <c r="I2600" t="s">
        <v>493</v>
      </c>
      <c r="J2600" t="s">
        <v>2362</v>
      </c>
    </row>
    <row r="2601" spans="1:23">
      <c r="A2601">
        <v>23</v>
      </c>
      <c r="B2601">
        <v>1</v>
      </c>
      <c r="C2601">
        <v>2018</v>
      </c>
      <c r="D2601" s="3" t="str">
        <f>B2601&amp;"/"&amp;A2601&amp;"/"&amp;C2601</f>
        <v>1/23/2018</v>
      </c>
      <c r="E2601">
        <v>0.66666666666666663</v>
      </c>
      <c r="F2601" t="s">
        <f>I2601&amp;" "&amp;J2601&amp;" "&amp;K2601&amp;" "&amp;L2601&amp;" "&amp;M2601&amp;" "&amp;N2601</f>
        <v>2361</v>
      </c>
      <c r="G2601" t="s">
        <f>TEXT(D2601,"mmm dd")</f>
        <v>1179</v>
      </c>
      <c r="I2601" t="s">
        <v>493</v>
      </c>
      <c r="J2601" t="s">
        <v>2362</v>
      </c>
    </row>
    <row r="2602" spans="1:23">
      <c r="A2602">
        <v>25</v>
      </c>
      <c r="B2602">
        <v>1</v>
      </c>
      <c r="C2602">
        <v>2018</v>
      </c>
      <c r="D2602" s="3" t="str">
        <f>B2602&amp;"/"&amp;A2602&amp;"/"&amp;C2602</f>
        <v>1/25/2018</v>
      </c>
      <c r="E2602">
        <v>0.83333333333333337</v>
      </c>
      <c r="F2602" t="str">
        <f>I2602&amp;" "&amp;J2602&amp;" "&amp;K2602&amp;" "&amp;L2602&amp;" "&amp;M2602&amp;" "&amp;N2602</f>
        <v>Ecard for Karla   </v>
      </c>
      <c r="G2602" t="s">
        <f>TEXT(D2602,"mmm dd")</f>
        <v>1830</v>
      </c>
      <c r="I2602" t="inlineStr">
        <is>
          <t>Ecard</t>
        </is>
      </c>
      <c r="J2602" t="s">
        <v>439</v>
      </c>
      <c r="K2602" t="s">
        <v>2176</v>
      </c>
    </row>
    <row r="2603" spans="1:23">
      <c r="A2603">
        <v>28</v>
      </c>
      <c r="B2603">
        <v>1</v>
      </c>
      <c r="C2603">
        <v>2018</v>
      </c>
      <c r="D2603" s="3" t="str">
        <f>B2603&amp;"/"&amp;A2603&amp;"/"&amp;C2603</f>
        <v>1/28/2018</v>
      </c>
      <c r="E2603">
        <v>0.4375</v>
      </c>
      <c r="F2603" t="s">
        <f>I2603&amp;" "&amp;J2603&amp;" "&amp;K2603&amp;" "&amp;L2603&amp;" "&amp;M2603&amp;" "&amp;N2603</f>
        <v>2640</v>
      </c>
      <c r="G2603" t="s">
        <f>TEXT(D2603,"mmm dd")</f>
        <v>1492</v>
      </c>
      <c r="I2603" t="s">
        <v>2468</v>
      </c>
      <c r="J2603" t="s">
        <v>218</v>
      </c>
      <c r="K2603" t="s">
        <v>2471</v>
      </c>
    </row>
    <row r="2604" spans="1:23">
      <c r="A2604">
        <v>1</v>
      </c>
      <c r="B2604">
        <v>2</v>
      </c>
      <c r="C2604">
        <v>2018</v>
      </c>
      <c r="D2604" s="3" t="str">
        <f>B2604&amp;"/"&amp;A2604&amp;"/"&amp;C2604</f>
        <v>2/1/2018</v>
      </c>
      <c r="E2604" t="s">
        <v>42</v>
      </c>
      <c r="F2604" t="s">
        <f>I2604&amp;" "&amp;J2604&amp;" "&amp;K2604&amp;" "&amp;L2604&amp;" "&amp;M2604&amp;" "&amp;N2604</f>
        <v>2661</v>
      </c>
      <c r="G2604" t="s">
        <f>TEXT(D2604,"mmm dd")</f>
        <v>1838</v>
      </c>
      <c r="I2604" t="s">
        <v>2527</v>
      </c>
      <c r="J2604" t="s">
        <v>2641</v>
      </c>
      <c r="K2604" t="s">
        <v>2642</v>
      </c>
    </row>
    <row r="2605" spans="1:23">
      <c r="A2605">
        <v>2</v>
      </c>
      <c r="B2605">
        <v>2</v>
      </c>
      <c r="C2605">
        <v>2018</v>
      </c>
      <c r="D2605" s="3" t="str">
        <f>B2605&amp;"/"&amp;A2605&amp;"/"&amp;C2605</f>
        <v>2/2/2018</v>
      </c>
      <c r="E2605">
        <v>0.6875</v>
      </c>
      <c r="F2605" t="str">
        <f>I2605&amp;" "&amp;J2605&amp;" "&amp;K2605&amp;" "&amp;L2605&amp;" "&amp;M2605&amp;" "&amp;N2605</f>
        <v>Lab Work    </v>
      </c>
      <c r="G2605" t="s">
        <f>TEXT(D2605,"mmm dd")</f>
        <v>1699</v>
      </c>
      <c r="I2605" t="s">
        <v>2597</v>
      </c>
      <c r="J2605" t="s">
        <v>1663</v>
      </c>
    </row>
    <row r="2606" spans="1:23">
      <c r="A2606">
        <v>4</v>
      </c>
      <c r="B2606">
        <v>2</v>
      </c>
      <c r="C2606">
        <v>2018</v>
      </c>
      <c r="D2606" s="3" t="str">
        <f>B2606&amp;"/"&amp;A2606&amp;"/"&amp;C2606</f>
        <v>2/4/2018</v>
      </c>
      <c r="E2606">
        <v>0.64583333333333337</v>
      </c>
      <c r="F2606" t="s">
        <f>I2606&amp;" "&amp;J2606&amp;" "&amp;K2606&amp;" "&amp;L2606&amp;" "&amp;M2606&amp;" "&amp;N2606</f>
        <v>2470</v>
      </c>
      <c r="G2606" t="s">
        <f>TEXT(D2606,"mmm dd")</f>
        <v>2284</v>
      </c>
      <c r="I2606" t="s">
        <v>2468</v>
      </c>
      <c r="J2606" t="s">
        <v>53</v>
      </c>
      <c r="K2606" t="s">
        <v>218</v>
      </c>
      <c r="L2606" t="s">
        <v>2471</v>
      </c>
    </row>
    <row r="2607" spans="1:23">
      <c r="A2607">
        <v>15</v>
      </c>
      <c r="B2607">
        <v>2</v>
      </c>
      <c r="C2607">
        <v>2018</v>
      </c>
      <c r="D2607" s="3" t="str">
        <f>B2607&amp;"/"&amp;A2607&amp;"/"&amp;C2607</f>
        <v>2/15/2018</v>
      </c>
      <c r="E2607">
        <v>0.125</v>
      </c>
      <c r="F2607" t="s">
        <f>I2607&amp;" "&amp;J2607&amp;" "&amp;K2607&amp;" "&amp;L2607&amp;" "&amp;M2607&amp;" "&amp;N2607</f>
        <v>2470</v>
      </c>
      <c r="G2607" t="s">
        <f>TEXT(D2607,"mmm dd")</f>
        <v>1849</v>
      </c>
      <c r="I2607" t="s">
        <v>2468</v>
      </c>
      <c r="J2607" t="s">
        <v>53</v>
      </c>
      <c r="K2607" t="s">
        <v>218</v>
      </c>
      <c r="L2607" t="s">
        <v>2471</v>
      </c>
    </row>
    <row r="2608" spans="1:23">
      <c r="A2608">
        <v>16</v>
      </c>
      <c r="B2608">
        <v>2</v>
      </c>
      <c r="C2608">
        <v>2018</v>
      </c>
      <c r="D2608" s="3" t="s">
        <f>B2608&amp;"/"&amp;A2608&amp;"/"&amp;C2608</f>
        <v>2662</v>
      </c>
      <c r="E2608" t="s">
        <v>42</v>
      </c>
      <c r="F2608" t="str">
        <f>I2608&amp;" "&amp;J2608&amp;" "&amp;K2608&amp;" "&amp;L2608&amp;" "&amp;M2608&amp;" "&amp;N2608</f>
        <v>Leen in San Antonio  </v>
      </c>
      <c r="G2608" t="s">
        <f>TEXT(D2608,"mmm dd")</f>
        <v>1201</v>
      </c>
      <c r="I2608" t="s">
        <v>721</v>
      </c>
      <c r="J2608" t="s">
        <v>372</v>
      </c>
      <c r="K2608" t="s">
        <v>551</v>
      </c>
      <c r="L2608" t="inlineStr">
        <is>
          <t>Antonio</t>
        </is>
      </c>
    </row>
    <row r="2609" spans="1:23">
      <c r="A2609">
        <v>16</v>
      </c>
      <c r="B2609">
        <v>2</v>
      </c>
      <c r="C2609">
        <v>2018</v>
      </c>
      <c r="D2609" s="3" t="s">
        <f>B2609&amp;"/"&amp;A2609&amp;"/"&amp;C2609</f>
        <v>2662</v>
      </c>
      <c r="E2609">
        <v>0.69444444444444442</v>
      </c>
      <c r="F2609" t="str">
        <f>I2609&amp;" "&amp;J2609&amp;" "&amp;K2609&amp;" "&amp;L2609&amp;" "&amp;M2609&amp;" "&amp;N2609</f>
        <v>Dr. Weber    </v>
      </c>
      <c r="G2609" t="s">
        <f>TEXT(D2609,"mmm dd")</f>
        <v>1201</v>
      </c>
      <c r="I2609" t="s">
        <v>847</v>
      </c>
      <c r="J2609" t="s">
        <v>2594</v>
      </c>
    </row>
    <row r="2610" spans="1:23">
      <c r="A2610">
        <v>18</v>
      </c>
      <c r="B2610">
        <v>2</v>
      </c>
      <c r="C2610">
        <v>2018</v>
      </c>
      <c r="D2610" s="3" t="str">
        <f>B2610&amp;"/"&amp;A2610&amp;"/"&amp;C2610</f>
        <v>2/18/2018</v>
      </c>
      <c r="E2610">
        <v>0.64583333333333337</v>
      </c>
      <c r="F2610" t="s">
        <f>I2610&amp;" "&amp;J2610&amp;" "&amp;K2610&amp;" "&amp;L2610&amp;" "&amp;M2610&amp;" "&amp;N2610</f>
        <v>2470</v>
      </c>
      <c r="G2610" t="s">
        <f>TEXT(D2610,"mmm dd")</f>
        <v>1206</v>
      </c>
      <c r="I2610" t="s">
        <v>2468</v>
      </c>
      <c r="J2610" t="s">
        <v>53</v>
      </c>
      <c r="K2610" t="s">
        <v>218</v>
      </c>
      <c r="L2610" t="s">
        <v>2471</v>
      </c>
    </row>
    <row r="2611" spans="1:23">
      <c r="A2611">
        <v>22</v>
      </c>
      <c r="B2611">
        <v>2</v>
      </c>
      <c r="C2611">
        <v>2018</v>
      </c>
      <c r="D2611" s="3" t="str">
        <f>B2611&amp;"/"&amp;A2611&amp;"/"&amp;C2611</f>
        <v>2/22/2018</v>
      </c>
      <c r="E2611">
        <v>0.83333333333333337</v>
      </c>
      <c r="F2611" t="str">
        <f>I2611&amp;" "&amp;J2611&amp;" "&amp;K2611&amp;" "&amp;L2611&amp;" "&amp;M2611&amp;" "&amp;N2611</f>
        <v>Memorial (Duha)    </v>
      </c>
      <c r="G2611" t="s">
        <f>TEXT(D2611,"mmm dd")</f>
        <v>1213</v>
      </c>
      <c r="I2611" t="s">
        <v>387</v>
      </c>
      <c r="J2611" t="inlineStr">
        <is>
          <t>(Duha)</t>
        </is>
      </c>
    </row>
    <row r="2612" spans="1:23">
      <c r="A2612">
        <v>25</v>
      </c>
      <c r="B2612">
        <v>2</v>
      </c>
      <c r="C2612">
        <v>2018</v>
      </c>
      <c r="D2612" s="3" t="str">
        <f>B2612&amp;"/"&amp;A2612&amp;"/"&amp;C2612</f>
        <v>2/25/2018</v>
      </c>
      <c r="E2612">
        <v>0.4375</v>
      </c>
      <c r="F2612" t="s">
        <f>I2612&amp;" "&amp;J2612&amp;" "&amp;K2612&amp;" "&amp;L2612&amp;" "&amp;M2612&amp;" "&amp;N2612</f>
        <v>2470</v>
      </c>
      <c r="G2612" t="s">
        <f>TEXT(D2612,"mmm dd")</f>
        <v>1216</v>
      </c>
      <c r="I2612" t="s">
        <v>2468</v>
      </c>
      <c r="J2612" t="s">
        <v>53</v>
      </c>
      <c r="K2612" t="s">
        <v>218</v>
      </c>
      <c r="L2612" t="s">
        <v>2471</v>
      </c>
    </row>
    <row r="2613" spans="1:23">
      <c r="A2613">
        <v>4</v>
      </c>
      <c r="B2613">
        <v>3</v>
      </c>
      <c r="C2613">
        <v>2018</v>
      </c>
      <c r="D2613" s="3" t="s">
        <f>B2613&amp;"/"&amp;A2613&amp;"/"&amp;C2613</f>
        <v>2663</v>
      </c>
      <c r="E2613">
        <v>0.52083333333333337</v>
      </c>
      <c r="F2613" t="s">
        <f>I2613&amp;" "&amp;J2613&amp;" "&amp;K2613&amp;" "&amp;L2613&amp;" "&amp;M2613&amp;" "&amp;N2613</f>
        <v>2664</v>
      </c>
      <c r="G2613" t="s">
        <f>TEXT(D2613,"mmm dd")</f>
        <v>1538</v>
      </c>
      <c r="I2613" t="s">
        <v>2468</v>
      </c>
      <c r="J2613" t="s">
        <v>53</v>
      </c>
      <c r="K2613" t="s">
        <v>218</v>
      </c>
      <c r="L2613" t="s">
        <v>2560</v>
      </c>
    </row>
    <row r="2614" spans="1:23">
      <c r="A2614">
        <v>4</v>
      </c>
      <c r="B2614">
        <v>3</v>
      </c>
      <c r="C2614">
        <v>2018</v>
      </c>
      <c r="D2614" s="3" t="s">
        <f>B2614&amp;"/"&amp;A2614&amp;"/"&amp;C2614</f>
        <v>2663</v>
      </c>
      <c r="E2614">
        <v>0.95833333333333337</v>
      </c>
      <c r="F2614" t="str">
        <f>I2614&amp;" "&amp;J2614&amp;" "&amp;K2614&amp;" "&amp;L2614&amp;" "&amp;M2614&amp;" "&amp;N2614</f>
        <v>Gathering at Janice &amp; Pierre </v>
      </c>
      <c r="G2614" t="s">
        <f>TEXT(D2614,"mmm dd")</f>
        <v>1538</v>
      </c>
      <c r="I2614" t="s">
        <v>1442</v>
      </c>
      <c r="J2614" t="s">
        <v>53</v>
      </c>
      <c r="K2614" t="s">
        <v>2503</v>
      </c>
      <c r="L2614" t="s">
        <v>73</v>
      </c>
      <c r="M2614" t="inlineStr">
        <is>
          <t>Pierre</t>
        </is>
      </c>
    </row>
    <row r="2615" spans="1:23">
      <c r="A2615">
        <v>6</v>
      </c>
      <c r="B2615">
        <v>3</v>
      </c>
      <c r="C2615">
        <v>2018</v>
      </c>
      <c r="D2615" s="3" t="str">
        <f>B2615&amp;"/"&amp;A2615&amp;"/"&amp;C2615</f>
        <v>3/6/2018</v>
      </c>
      <c r="E2615">
        <v>0.89583333333333337</v>
      </c>
      <c r="F2615" t="s">
        <f>I2615&amp;" "&amp;J2615&amp;" "&amp;K2615&amp;" "&amp;L2615&amp;" "&amp;M2615&amp;" "&amp;N2615</f>
        <v>2665</v>
      </c>
      <c r="G2615" t="s">
        <f>TEXT(D2615,"mmm dd")</f>
        <v>1237</v>
      </c>
      <c r="I2615" t="s">
        <v>847</v>
      </c>
      <c r="J2615" t="s">
        <v>2666</v>
      </c>
      <c r="K2615" t="s">
        <v>2639</v>
      </c>
    </row>
    <row r="2616" spans="1:23">
      <c r="A2616">
        <v>9</v>
      </c>
      <c r="B2616">
        <v>3</v>
      </c>
      <c r="C2616">
        <v>2018</v>
      </c>
      <c r="D2616" s="3" t="str">
        <f>B2616&amp;"/"&amp;A2616&amp;"/"&amp;C2616</f>
        <v>3/9/2018</v>
      </c>
      <c r="E2616">
        <v>0.80208333333333337</v>
      </c>
      <c r="F2616" t="s">
        <f>I2616&amp;" "&amp;J2616&amp;" "&amp;K2616&amp;" "&amp;L2616&amp;" "&amp;M2616&amp;" "&amp;N2616</f>
        <v>2667</v>
      </c>
      <c r="G2616" t="s">
        <f>TEXT(D2616,"mmm dd")</f>
        <v>1545</v>
      </c>
      <c r="I2616" t="s">
        <v>1791</v>
      </c>
      <c r="J2616" t="s">
        <v>2537</v>
      </c>
    </row>
    <row r="2617" spans="1:23">
      <c r="A2617">
        <v>11</v>
      </c>
      <c r="B2617">
        <v>3</v>
      </c>
      <c r="C2617">
        <v>2018</v>
      </c>
      <c r="D2617" s="3" t="str">
        <f>B2617&amp;"/"&amp;A2617&amp;"/"&amp;C2617</f>
        <v>3/11/2018</v>
      </c>
      <c r="E2617">
        <v>0.60416666666666663</v>
      </c>
      <c r="F2617" t="str">
        <f>I2617&amp;" "&amp;J2617&amp;" "&amp;K2617&amp;" "&amp;L2617&amp;" "&amp;M2617&amp;" "&amp;N2617</f>
        <v>St Paul’s Monroe   </v>
      </c>
      <c r="G2617" t="s">
        <f>TEXT(D2617,"mmm dd")</f>
        <v>1550</v>
      </c>
      <c r="I2617" t="s">
        <v>1796</v>
      </c>
      <c r="J2617" t="s">
        <v>2668</v>
      </c>
      <c r="K2617" t="s">
        <v>2669</v>
      </c>
    </row>
    <row r="2618" spans="1:23">
      <c r="A2618">
        <v>12</v>
      </c>
      <c r="B2618">
        <v>3</v>
      </c>
      <c r="C2618">
        <v>2018</v>
      </c>
      <c r="D2618" s="3" t="str">
        <f>B2618&amp;"/"&amp;A2618&amp;"/"&amp;C2618</f>
        <v>3/12/2018</v>
      </c>
      <c r="E2618">
        <v>0.875</v>
      </c>
      <c r="F2618" t="str">
        <f>I2618&amp;" "&amp;J2618&amp;" "&amp;K2618&amp;" "&amp;L2618&amp;" "&amp;M2618&amp;" "&amp;N2618</f>
        <v>National Tire    </v>
      </c>
      <c r="G2618" t="s">
        <f>TEXT(D2618,"mmm dd")</f>
        <v>1244</v>
      </c>
      <c r="I2618" t="s">
        <v>2670</v>
      </c>
      <c r="J2618" t="inlineStr">
        <is>
          <t>Tire</t>
        </is>
      </c>
    </row>
    <row r="2619" spans="1:23">
      <c r="A2619">
        <v>24</v>
      </c>
      <c r="B2619">
        <v>3</v>
      </c>
      <c r="C2619">
        <v>2018</v>
      </c>
      <c r="D2619" s="3" t="s">
        <f>B2619&amp;"/"&amp;A2619&amp;"/"&amp;C2619</f>
        <v>2671</v>
      </c>
      <c r="E2619">
        <v>0.66666666666666663</v>
      </c>
      <c r="F2619" t="s">
        <f>I2619&amp;" "&amp;J2619&amp;" "&amp;K2619&amp;" "&amp;L2619&amp;" "&amp;M2619&amp;" "&amp;N2619</f>
        <v>2637</v>
      </c>
      <c r="G2619" t="s">
        <f>TEXT(D2619,"mmm dd")</f>
        <v>1265</v>
      </c>
      <c r="I2619" t="s">
        <v>128</v>
      </c>
    </row>
    <row r="2620" spans="1:23">
      <c r="A2620">
        <v>24</v>
      </c>
      <c r="B2620">
        <v>3</v>
      </c>
      <c r="C2620">
        <v>2018</v>
      </c>
      <c r="D2620" s="3" t="s">
        <f>B2620&amp;"/"&amp;A2620&amp;"/"&amp;C2620</f>
        <v>2671</v>
      </c>
      <c r="E2620">
        <v>0.83333333333333337</v>
      </c>
      <c r="F2620" t="str">
        <f>I2620&amp;" "&amp;J2620&amp;" "&amp;K2620&amp;" "&amp;L2620&amp;" "&amp;M2620&amp;" "&amp;N2620</f>
        <v>Raven     </v>
      </c>
      <c r="G2620" t="s">
        <f>TEXT(D2620,"mmm dd")</f>
        <v>1265</v>
      </c>
      <c r="I2620" t="inlineStr">
        <is>
          <t>Raven</t>
        </is>
      </c>
    </row>
    <row r="2621" spans="1:23">
      <c r="A2621">
        <v>25</v>
      </c>
      <c r="B2621">
        <v>3</v>
      </c>
      <c r="C2621">
        <v>2018</v>
      </c>
      <c r="D2621" s="3" t="str">
        <f>B2621&amp;"/"&amp;A2621&amp;"/"&amp;C2621</f>
        <v>3/25/2018</v>
      </c>
      <c r="E2621" t="s">
        <v>42</v>
      </c>
      <c r="F2621" t="s">
        <f>I2621&amp;" "&amp;J2621&amp;" "&amp;K2621&amp;" "&amp;L2621&amp;" "&amp;M2621&amp;" "&amp;N2621</f>
        <v>1561</v>
      </c>
      <c r="G2621" t="s">
        <f>TEXT(D2621,"mmm dd")</f>
        <v>1559</v>
      </c>
      <c r="I2621" t="s">
        <v>1563</v>
      </c>
      <c r="J2621" t="s">
        <v>341</v>
      </c>
    </row>
    <row r="2622" spans="1:23">
      <c r="A2622">
        <v>29</v>
      </c>
      <c r="B2622">
        <v>3</v>
      </c>
      <c r="C2622">
        <v>2018</v>
      </c>
      <c r="D2622" s="3" t="str">
        <f>B2622&amp;"/"&amp;A2622&amp;"/"&amp;C2622</f>
        <v>3/29/2018</v>
      </c>
      <c r="E2622">
        <v>1.0833333333333333</v>
      </c>
      <c r="F2622" t="s">
        <f>I2622&amp;" "&amp;J2622&amp;" "&amp;K2622&amp;" "&amp;L2622&amp;" "&amp;M2622&amp;" "&amp;N2622</f>
        <v>1907</v>
      </c>
      <c r="G2622" t="s">
        <f>TEXT(D2622,"mmm dd")</f>
        <v>1897</v>
      </c>
      <c r="I2622" t="s">
        <v>1564</v>
      </c>
      <c r="J2622" t="s">
        <v>1908</v>
      </c>
    </row>
    <row r="2623" spans="1:23">
      <c r="A2623">
        <v>31</v>
      </c>
      <c r="B2623">
        <v>3</v>
      </c>
      <c r="C2623">
        <v>2018</v>
      </c>
      <c r="D2623" s="3" t="str">
        <f>B2623&amp;"/"&amp;A2623&amp;"/"&amp;C2623</f>
        <v>3/31/2018</v>
      </c>
      <c r="E2623">
        <v>1.0833333333333333</v>
      </c>
      <c r="F2623" t="str">
        <f>I2623&amp;" "&amp;J2623&amp;" "&amp;K2623&amp;" "&amp;L2623&amp;" "&amp;M2623&amp;" "&amp;N2623</f>
        <v>Easter vigil    </v>
      </c>
      <c r="G2623" t="s">
        <f>TEXT(D2623,"mmm dd")</f>
        <v>1267</v>
      </c>
      <c r="I2623" t="s">
        <v>1568</v>
      </c>
      <c r="J2623" t="inlineStr">
        <is>
          <t>vigil</t>
        </is>
      </c>
      <c r="O2623" t="s">
        <v>886</v>
      </c>
    </row>
    <row r="2624" spans="1:23">
      <c r="A2624">
        <v>1</v>
      </c>
      <c r="B2624">
        <v>4</v>
      </c>
      <c r="C2624">
        <v>2018</v>
      </c>
      <c r="D2624" s="3" t="str">
        <f>B2624&amp;"/"&amp;A2624&amp;"/"&amp;C2624</f>
        <v>4/1/2018</v>
      </c>
      <c r="E2624">
        <v>0.45833333333333331</v>
      </c>
      <c r="F2624" t="s">
        <f>I2624&amp;" "&amp;J2624&amp;" "&amp;K2624&amp;" "&amp;L2624&amp;" "&amp;M2624&amp;" "&amp;N2624</f>
        <v>2470</v>
      </c>
      <c r="G2624" t="s">
        <f>TEXT(D2624,"mmm dd")</f>
        <v>43</v>
      </c>
      <c r="I2624" t="s">
        <v>2468</v>
      </c>
      <c r="J2624" t="s">
        <v>53</v>
      </c>
      <c r="K2624" t="s">
        <v>218</v>
      </c>
      <c r="L2624" t="s">
        <v>2471</v>
      </c>
    </row>
    <row r="2625" spans="1:23">
      <c r="A2625">
        <v>2</v>
      </c>
      <c r="B2625">
        <v>4</v>
      </c>
      <c r="C2625">
        <v>2018</v>
      </c>
      <c r="D2625" s="3" t="str">
        <f>B2625&amp;"/"&amp;A2625&amp;"/"&amp;C2625</f>
        <v>4/2/2018</v>
      </c>
      <c r="E2625">
        <v>0.9375</v>
      </c>
      <c r="F2625" t="s">
        <f>I2625&amp;" "&amp;J2625&amp;" "&amp;K2625&amp;" "&amp;L2625&amp;" "&amp;M2625&amp;" "&amp;N2625</f>
        <v>2373</v>
      </c>
      <c r="G2625" t="s">
        <f>TEXT(D2625,"mmm dd")</f>
        <v>65</v>
      </c>
      <c r="I2625" t="s">
        <v>2374</v>
      </c>
      <c r="J2625" t="s">
        <v>439</v>
      </c>
      <c r="K2625" t="s">
        <v>2290</v>
      </c>
    </row>
    <row r="2626" spans="1:23">
      <c r="A2626">
        <v>3</v>
      </c>
      <c r="B2626">
        <v>4</v>
      </c>
      <c r="C2626">
        <v>2018</v>
      </c>
      <c r="D2626" s="3" t="str">
        <f>B2626&amp;"/"&amp;A2626&amp;"/"&amp;C2626</f>
        <v>4/3/2018</v>
      </c>
      <c r="E2626">
        <v>0.90625</v>
      </c>
      <c r="F2626" t="str">
        <f>I2626&amp;" "&amp;J2626&amp;" "&amp;K2626&amp;" "&amp;L2626&amp;" "&amp;M2626&amp;" "&amp;N2626</f>
        <v>Hearing Aid Costco for hearing test</v>
      </c>
      <c r="G2626" t="s">
        <f>TEXT(D2626,"mmm dd")</f>
        <v>83</v>
      </c>
      <c r="I2626" t="s">
        <v>2181</v>
      </c>
      <c r="J2626" t="s">
        <v>2672</v>
      </c>
      <c r="K2626" t="s">
        <v>1826</v>
      </c>
      <c r="L2626" t="s">
        <v>439</v>
      </c>
      <c r="M2626" t="s">
        <v>1835</v>
      </c>
      <c r="N2626" t="s">
        <v>768</v>
      </c>
    </row>
    <row r="2627" spans="1:23">
      <c r="A2627">
        <v>8</v>
      </c>
      <c r="B2627">
        <v>4</v>
      </c>
      <c r="C2627">
        <v>2018</v>
      </c>
      <c r="D2627" s="3" t="str">
        <f>B2627&amp;"/"&amp;A2627&amp;"/"&amp;C2627</f>
        <v>4/8/2018</v>
      </c>
      <c r="E2627">
        <v>0.625</v>
      </c>
      <c r="F2627" t="s">
        <f>I2627&amp;" "&amp;J2627&amp;" "&amp;K2627&amp;" "&amp;L2627&amp;" "&amp;M2627&amp;" "&amp;N2627</f>
        <v>2467</v>
      </c>
      <c r="G2627" t="s">
        <f>TEXT(D2627,"mmm dd")</f>
        <v>141</v>
      </c>
      <c r="I2627" t="s">
        <v>2468</v>
      </c>
      <c r="J2627" t="s">
        <v>53</v>
      </c>
      <c r="K2627" t="s">
        <v>2119</v>
      </c>
      <c r="L2627" t="s">
        <v>2469</v>
      </c>
    </row>
    <row r="2628" spans="1:23">
      <c r="A2628">
        <v>9</v>
      </c>
      <c r="B2628">
        <v>4</v>
      </c>
      <c r="C2628">
        <v>2018</v>
      </c>
      <c r="D2628" s="3" t="str">
        <f>B2628&amp;"/"&amp;A2628&amp;"/"&amp;C2628</f>
        <v>4/9/2018</v>
      </c>
      <c r="E2628" t="s">
        <v>42</v>
      </c>
      <c r="F2628" t="str">
        <f>I2628&amp;" "&amp;J2628&amp;" "&amp;K2628&amp;" "&amp;L2628&amp;" "&amp;M2628&amp;" "&amp;N2628</f>
        <v>Get followup shingles vaccine  </v>
      </c>
      <c r="G2628" t="s">
        <f>TEXT(D2628,"mmm dd")</f>
        <v>147</v>
      </c>
      <c r="I2628" t="s">
        <v>1332</v>
      </c>
      <c r="J2628" t="inlineStr">
        <is>
          <t>followup</t>
        </is>
      </c>
      <c r="K2628" t="inlineStr">
        <is>
          <t>shingles</t>
        </is>
      </c>
      <c r="L2628" t="s">
        <v>2673</v>
      </c>
    </row>
    <row r="2629" spans="1:23">
      <c r="A2629">
        <v>15</v>
      </c>
      <c r="B2629">
        <v>4</v>
      </c>
      <c r="C2629">
        <v>2018</v>
      </c>
      <c r="D2629" s="3" t="str">
        <f>B2629&amp;"/"&amp;A2629&amp;"/"&amp;C2629</f>
        <v>4/15/2018</v>
      </c>
      <c r="E2629">
        <v>0.625</v>
      </c>
      <c r="F2629" t="s">
        <f>I2629&amp;" "&amp;J2629&amp;" "&amp;K2629&amp;" "&amp;L2629&amp;" "&amp;M2629&amp;" "&amp;N2629</f>
        <v>2470</v>
      </c>
      <c r="G2629" t="s">
        <f>TEXT(D2629,"mmm dd")</f>
        <v>179</v>
      </c>
      <c r="I2629" t="s">
        <v>2468</v>
      </c>
      <c r="J2629" t="s">
        <v>53</v>
      </c>
      <c r="K2629" t="s">
        <v>218</v>
      </c>
      <c r="L2629" t="s">
        <v>2471</v>
      </c>
    </row>
    <row r="2630" spans="1:23">
      <c r="A2630">
        <v>19</v>
      </c>
      <c r="B2630">
        <v>4</v>
      </c>
      <c r="C2630">
        <v>2018</v>
      </c>
      <c r="D2630" s="3" t="str">
        <f>B2630&amp;"/"&amp;A2630&amp;"/"&amp;C2630</f>
        <v>4/19/2018</v>
      </c>
      <c r="E2630">
        <v>0.9375</v>
      </c>
      <c r="F2630" t="str">
        <f>I2630&amp;" "&amp;J2630&amp;" "&amp;K2630&amp;" "&amp;L2630&amp;" "&amp;M2630&amp;" "&amp;N2630</f>
        <v>Dr. Geary re. broken tooth </v>
      </c>
      <c r="G2630" t="s">
        <f>TEXT(D2630,"mmm dd")</f>
        <v>196</v>
      </c>
      <c r="I2630" t="s">
        <v>847</v>
      </c>
      <c r="J2630" t="s">
        <v>2537</v>
      </c>
      <c r="K2630" t="s">
        <v>633</v>
      </c>
      <c r="L2630" t="inlineStr">
        <is>
          <t>broken</t>
        </is>
      </c>
      <c r="M2630" t="inlineStr">
        <is>
          <t>tooth</t>
        </is>
      </c>
    </row>
    <row r="2631" spans="1:23">
      <c r="A2631">
        <v>20</v>
      </c>
      <c r="B2631">
        <v>4</v>
      </c>
      <c r="C2631">
        <v>2018</v>
      </c>
      <c r="D2631" s="3" t="str">
        <f>B2631&amp;"/"&amp;A2631&amp;"/"&amp;C2631</f>
        <v>4/20/2018</v>
      </c>
      <c r="E2631">
        <v>0.77083333333333337</v>
      </c>
      <c r="F2631" t="s">
        <f>I2631&amp;" "&amp;J2631&amp;" "&amp;K2631&amp;" "&amp;L2631&amp;" "&amp;M2631&amp;" "&amp;N2631</f>
        <v>2674</v>
      </c>
      <c r="G2631" t="s">
        <f>TEXT(D2631,"mmm dd")</f>
        <v>204</v>
      </c>
      <c r="I2631" t="s">
        <v>2181</v>
      </c>
      <c r="J2631" t="s">
        <v>2672</v>
      </c>
      <c r="K2631" t="s">
        <v>1826</v>
      </c>
      <c r="L2631" t="s">
        <v>439</v>
      </c>
      <c r="M2631" t="s">
        <v>1835</v>
      </c>
    </row>
    <row r="2632" spans="1:23">
      <c r="A2632">
        <v>22</v>
      </c>
      <c r="B2632">
        <v>4</v>
      </c>
      <c r="C2632">
        <v>2018</v>
      </c>
      <c r="D2632" s="3" t="str">
        <f>B2632&amp;"/"&amp;A2632&amp;"/"&amp;C2632</f>
        <v>4/22/2018</v>
      </c>
      <c r="E2632">
        <v>0.625</v>
      </c>
      <c r="F2632" t="s">
        <f>I2632&amp;" "&amp;J2632&amp;" "&amp;K2632&amp;" "&amp;L2632&amp;" "&amp;M2632&amp;" "&amp;N2632</f>
        <v>2470</v>
      </c>
      <c r="G2632" t="s">
        <f>TEXT(D2632,"mmm dd")</f>
        <v>215</v>
      </c>
      <c r="I2632" t="s">
        <v>2468</v>
      </c>
      <c r="J2632" t="s">
        <v>53</v>
      </c>
      <c r="K2632" t="s">
        <v>218</v>
      </c>
      <c r="L2632" t="s">
        <v>2471</v>
      </c>
    </row>
    <row r="2633" spans="1:23">
      <c r="A2633">
        <v>24</v>
      </c>
      <c r="B2633">
        <v>4</v>
      </c>
      <c r="C2633">
        <v>2018</v>
      </c>
      <c r="D2633" s="3" t="str">
        <f>B2633&amp;"/"&amp;A2633&amp;"/"&amp;C2633</f>
        <v>4/24/2018</v>
      </c>
      <c r="E2633">
        <v>1</v>
      </c>
      <c r="F2633" t="str">
        <f>I2633&amp;" "&amp;J2633&amp;" "&amp;K2633&amp;" "&amp;L2633&amp;" "&amp;M2633&amp;" "&amp;N2633</f>
        <v>Grace and Pierson   </v>
      </c>
      <c r="G2633" t="s">
        <f>TEXT(D2633,"mmm dd")</f>
        <v>224</v>
      </c>
      <c r="I2633" t="s">
        <v>2675</v>
      </c>
      <c r="J2633" t="s">
        <v>135</v>
      </c>
      <c r="K2633" t="s">
        <v>2676</v>
      </c>
    </row>
    <row r="2634" spans="1:23">
      <c r="A2634">
        <v>25</v>
      </c>
      <c r="B2634">
        <v>4</v>
      </c>
      <c r="C2634">
        <v>2018</v>
      </c>
      <c r="D2634" s="3" t="str">
        <f>B2634&amp;"/"&amp;A2634&amp;"/"&amp;C2634</f>
        <v>4/25/2018</v>
      </c>
      <c r="E2634">
        <v>0.91666666666666663</v>
      </c>
      <c r="F2634" t="str">
        <f>I2634&amp;" "&amp;J2634&amp;" "&amp;K2634&amp;" "&amp;L2634&amp;" "&amp;M2634&amp;" "&amp;N2634</f>
        <v>101 2 Final   </v>
      </c>
      <c r="G2634" t="s">
        <f>TEXT(D2634,"mmm dd")</f>
        <v>227</v>
      </c>
      <c r="I2634">
        <v>101</v>
      </c>
      <c r="J2634">
        <v>2</v>
      </c>
      <c r="K2634" t="s">
        <v>1763</v>
      </c>
    </row>
    <row r="2635" spans="1:23">
      <c r="A2635">
        <v>26</v>
      </c>
      <c r="B2635">
        <v>4</v>
      </c>
      <c r="C2635">
        <v>2018</v>
      </c>
      <c r="D2635" s="3" t="s">
        <f>B2635&amp;"/"&amp;A2635&amp;"/"&amp;C2635</f>
        <v>2677</v>
      </c>
      <c r="E2635" t="s">
        <v>42</v>
      </c>
      <c r="F2635" t="s">
        <f>I2635&amp;" "&amp;J2635&amp;" "&amp;K2635&amp;" "&amp;L2635&amp;" "&amp;M2635&amp;" "&amp;N2635</f>
        <v>2678</v>
      </c>
      <c r="G2635" t="s">
        <f>TEXT(D2635,"mmm dd")</f>
        <v>232</v>
      </c>
      <c r="I2635" t="s">
        <v>1804</v>
      </c>
      <c r="J2635" t="s">
        <v>2587</v>
      </c>
      <c r="K2635" t="inlineStr">
        <is>
          <t>Swanson</t>
        </is>
      </c>
      <c r="L2635" t="s">
        <v>2326</v>
      </c>
      <c r="M2635" t="inlineStr">
        <is>
          <t>us</t>
        </is>
      </c>
    </row>
    <row r="2636" spans="1:23">
      <c r="A2636">
        <v>27</v>
      </c>
      <c r="B2636">
        <v>4</v>
      </c>
      <c r="C2636">
        <v>2018</v>
      </c>
      <c r="D2636" s="3" t="str">
        <f>B2636&amp;"/"&amp;A2636&amp;"/"&amp;C2636</f>
        <v>4/27/2018</v>
      </c>
      <c r="E2636">
        <v>0.77083333333333337</v>
      </c>
      <c r="F2636" t="str">
        <f>I2636&amp;" "&amp;J2636&amp;" "&amp;K2636&amp;" "&amp;L2636&amp;" "&amp;M2636&amp;" "&amp;N2636</f>
        <v>317 Final    </v>
      </c>
      <c r="G2636" t="s">
        <f>TEXT(D2636,"mmm dd")</f>
        <v>234</v>
      </c>
      <c r="I2636">
        <v>317</v>
      </c>
      <c r="J2636" t="s">
        <v>1763</v>
      </c>
    </row>
    <row r="2637" spans="1:23">
      <c r="A2637">
        <v>29</v>
      </c>
      <c r="B2637">
        <v>4</v>
      </c>
      <c r="C2637">
        <v>2018</v>
      </c>
      <c r="D2637" s="3" t="s">
        <f>B2637&amp;"/"&amp;A2637&amp;"/"&amp;C2637</f>
        <v>2679</v>
      </c>
      <c r="E2637">
        <v>0.625</v>
      </c>
      <c r="F2637" t="s">
        <f>I2637&amp;" "&amp;J2637&amp;" "&amp;K2637&amp;" "&amp;L2637&amp;" "&amp;M2637&amp;" "&amp;N2637</f>
        <v>2467</v>
      </c>
      <c r="G2637" t="s">
        <f>TEXT(D2637,"mmm dd")</f>
        <v>239</v>
      </c>
      <c r="I2637" t="s">
        <v>2468</v>
      </c>
      <c r="J2637" t="s">
        <v>53</v>
      </c>
      <c r="K2637" t="s">
        <v>2119</v>
      </c>
      <c r="L2637" t="s">
        <v>2469</v>
      </c>
    </row>
    <row r="2638" spans="1:23">
      <c r="A2638">
        <v>29</v>
      </c>
      <c r="B2638">
        <v>4</v>
      </c>
      <c r="C2638">
        <v>2018</v>
      </c>
      <c r="D2638" s="3" t="s">
        <f>B2638&amp;"/"&amp;A2638&amp;"/"&amp;C2638</f>
        <v>2679</v>
      </c>
      <c r="E2638">
        <v>0.875</v>
      </c>
      <c r="F2638" t="str">
        <f>I2638&amp;" "&amp;J2638&amp;" "&amp;K2638&amp;" "&amp;L2638&amp;" "&amp;M2638&amp;" "&amp;N2638</f>
        <v>Put leprechaun on porch  </v>
      </c>
      <c r="G2638" t="s">
        <f>TEXT(D2638,"mmm dd")</f>
        <v>239</v>
      </c>
      <c r="I2638" t="inlineStr">
        <is>
          <t>Put</t>
        </is>
      </c>
      <c r="J2638" t="inlineStr">
        <is>
          <t>leprechaun</t>
        </is>
      </c>
      <c r="K2638" t="s">
        <v>1449</v>
      </c>
      <c r="L2638" t="inlineStr">
        <is>
          <t>porch</t>
        </is>
      </c>
    </row>
    <row r="2639" spans="1:23">
      <c r="A2639">
        <v>30</v>
      </c>
      <c r="B2639">
        <v>4</v>
      </c>
      <c r="C2639">
        <v>2018</v>
      </c>
      <c r="D2639" s="3" t="str">
        <f>B2639&amp;"/"&amp;A2639&amp;"/"&amp;C2639</f>
        <v>4/30/2018</v>
      </c>
      <c r="E2639">
        <v>0.77083333333333337</v>
      </c>
      <c r="F2639" t="str">
        <f>I2639&amp;" "&amp;J2639&amp;" "&amp;K2639&amp;" "&amp;L2639&amp;" "&amp;M2639&amp;" "&amp;N2639</f>
        <v>101 1 Final   </v>
      </c>
      <c r="G2639" t="s">
        <f>TEXT(D2639,"mmm dd")</f>
        <v>246</v>
      </c>
      <c r="I2639">
        <v>101</v>
      </c>
      <c r="J2639">
        <v>1</v>
      </c>
      <c r="K2639" t="s">
        <v>1763</v>
      </c>
    </row>
    <row r="2640" spans="1:23">
      <c r="A2640">
        <v>1</v>
      </c>
      <c r="B2640">
        <v>5</v>
      </c>
      <c r="C2640">
        <v>2018</v>
      </c>
      <c r="D2640" s="3" t="str">
        <f>B2640&amp;"/"&amp;A2640&amp;"/"&amp;C2640</f>
        <v>5/1/2018</v>
      </c>
      <c r="E2640">
        <v>0.91666666666666663</v>
      </c>
      <c r="F2640" t="s">
        <f>I2640&amp;" "&amp;J2640&amp;" "&amp;K2640&amp;" "&amp;L2640&amp;" "&amp;M2640&amp;" "&amp;N2640</f>
        <v>2665</v>
      </c>
      <c r="G2640" t="s">
        <f>TEXT(D2640,"mmm dd")</f>
        <v>249</v>
      </c>
      <c r="I2640" t="s">
        <v>847</v>
      </c>
      <c r="J2640" t="s">
        <v>2666</v>
      </c>
      <c r="K2640" t="s">
        <v>2639</v>
      </c>
    </row>
    <row r="2641" spans="1:23">
      <c r="A2641">
        <v>2</v>
      </c>
      <c r="B2641">
        <v>5</v>
      </c>
      <c r="C2641">
        <v>2018</v>
      </c>
      <c r="D2641" s="3" t="s">
        <f>B2641&amp;"/"&amp;A2641&amp;"/"&amp;C2641</f>
        <v>2680</v>
      </c>
      <c r="E2641">
        <v>0.79166666666666663</v>
      </c>
      <c r="F2641" t="s">
        <f>I2641&amp;" "&amp;J2641&amp;" "&amp;K2641&amp;" "&amp;L2641&amp;" "&amp;M2641&amp;" "&amp;N2641</f>
        <v>2681</v>
      </c>
      <c r="G2641" t="s">
        <f>TEXT(D2641,"mmm dd")</f>
        <v>256</v>
      </c>
      <c r="I2641" t="s">
        <v>2173</v>
      </c>
      <c r="J2641" t="s">
        <v>2448</v>
      </c>
    </row>
    <row r="2642" spans="1:23">
      <c r="A2642">
        <v>2</v>
      </c>
      <c r="B2642">
        <v>5</v>
      </c>
      <c r="C2642">
        <v>2018</v>
      </c>
      <c r="D2642" s="3" t="s">
        <f>B2642&amp;"/"&amp;A2642&amp;"/"&amp;C2642</f>
        <v>2680</v>
      </c>
      <c r="E2642">
        <v>0.5625</v>
      </c>
      <c r="F2642" t="s">
        <f>I2642&amp;" "&amp;J2642&amp;" "&amp;K2642&amp;" "&amp;L2642&amp;" "&amp;M2642&amp;" "&amp;N2642</f>
        <v>2467</v>
      </c>
      <c r="G2642" t="s">
        <f>TEXT(D2642,"mmm dd")</f>
        <v>256</v>
      </c>
      <c r="I2642" t="s">
        <v>2468</v>
      </c>
      <c r="J2642" t="s">
        <v>53</v>
      </c>
      <c r="K2642" t="s">
        <v>2119</v>
      </c>
      <c r="L2642" t="s">
        <v>2469</v>
      </c>
    </row>
    <row r="2643" spans="1:23">
      <c r="A2643">
        <v>3</v>
      </c>
      <c r="B2643">
        <v>5</v>
      </c>
      <c r="C2643">
        <v>2018</v>
      </c>
      <c r="D2643" s="3" t="s">
        <f>B2643&amp;"/"&amp;A2643&amp;"/"&amp;C2643</f>
        <v>2682</v>
      </c>
      <c r="E2643">
        <v>0.90625</v>
      </c>
      <c r="F2643" t="s">
        <f>I2643&amp;" "&amp;J2643&amp;" "&amp;K2643&amp;" "&amp;L2643&amp;" "&amp;M2643&amp;" "&amp;N2643</f>
        <v>2674</v>
      </c>
      <c r="G2643" t="s">
        <f>TEXT(D2643,"mmm dd")</f>
        <v>262</v>
      </c>
      <c r="I2643" t="s">
        <v>2181</v>
      </c>
      <c r="J2643" t="s">
        <v>2672</v>
      </c>
      <c r="K2643" t="s">
        <v>1826</v>
      </c>
      <c r="L2643" t="s">
        <v>439</v>
      </c>
      <c r="M2643" t="s">
        <v>1835</v>
      </c>
    </row>
    <row r="2644" spans="1:23">
      <c r="A2644">
        <v>3</v>
      </c>
      <c r="B2644">
        <v>5</v>
      </c>
      <c r="C2644">
        <v>2018</v>
      </c>
      <c r="D2644" s="3" t="s">
        <f>B2644&amp;"/"&amp;A2644&amp;"/"&amp;C2644</f>
        <v>2682</v>
      </c>
      <c r="E2644">
        <v>0.66666666666666663</v>
      </c>
      <c r="F2644" t="str">
        <f>I2644&amp;" "&amp;J2644&amp;" "&amp;K2644&amp;" "&amp;L2644&amp;" "&amp;M2644&amp;" "&amp;N2644</f>
        <v>Matthew exam    </v>
      </c>
      <c r="G2644" t="s">
        <f>TEXT(D2644,"mmm dd")</f>
        <v>262</v>
      </c>
      <c r="I2644" t="s">
        <v>2683</v>
      </c>
      <c r="J2644" t="s">
        <v>2290</v>
      </c>
    </row>
    <row r="2645" spans="1:23">
      <c r="A2645">
        <v>6</v>
      </c>
      <c r="B2645">
        <v>5</v>
      </c>
      <c r="C2645">
        <v>2018</v>
      </c>
      <c r="D2645" s="3" t="str">
        <f>B2645&amp;"/"&amp;A2645&amp;"/"&amp;C2645</f>
        <v>5/6/2018</v>
      </c>
      <c r="E2645">
        <v>0.625</v>
      </c>
      <c r="F2645" t="s">
        <f>I2645&amp;" "&amp;J2645&amp;" "&amp;K2645&amp;" "&amp;L2645&amp;" "&amp;M2645&amp;" "&amp;N2645</f>
        <v>2470</v>
      </c>
      <c r="G2645" t="s">
        <f>TEXT(D2645,"mmm dd")</f>
        <v>277</v>
      </c>
      <c r="I2645" t="s">
        <v>2468</v>
      </c>
      <c r="J2645" t="s">
        <v>53</v>
      </c>
      <c r="K2645" t="s">
        <v>218</v>
      </c>
      <c r="L2645" t="s">
        <v>2471</v>
      </c>
    </row>
    <row r="2646" spans="1:23">
      <c r="A2646">
        <v>8</v>
      </c>
      <c r="B2646">
        <v>5</v>
      </c>
      <c r="C2646">
        <v>2018</v>
      </c>
      <c r="D2646" s="3" t="s">
        <f>B2646&amp;"/"&amp;A2646&amp;"/"&amp;C2646</f>
        <v>2684</v>
      </c>
      <c r="E2646">
        <v>1.0208333333333333</v>
      </c>
      <c r="F2646" t="s">
        <f>I2646&amp;" "&amp;J2646&amp;" "&amp;K2646&amp;" "&amp;L2646&amp;" "&amp;M2646&amp;" "&amp;N2646</f>
        <v>2685</v>
      </c>
      <c r="G2646" t="s">
        <f>TEXT(D2646,"mmm dd")</f>
        <v>282</v>
      </c>
      <c r="I2646" t="s">
        <v>2676</v>
      </c>
      <c r="J2646" t="s">
        <v>73</v>
      </c>
      <c r="K2646" t="s">
        <v>2675</v>
      </c>
    </row>
    <row r="2647" spans="1:23">
      <c r="A2647">
        <v>8</v>
      </c>
      <c r="B2647">
        <v>5</v>
      </c>
      <c r="C2647">
        <v>2018</v>
      </c>
      <c r="D2647" s="3" t="s">
        <f>B2647&amp;"/"&amp;A2647&amp;"/"&amp;C2647</f>
        <v>2684</v>
      </c>
      <c r="E2647">
        <v>0.64583333333333337</v>
      </c>
      <c r="F2647" t="str">
        <f>I2647&amp;" "&amp;J2647&amp;" "&amp;K2647&amp;" "&amp;L2647&amp;" "&amp;M2647&amp;" "&amp;N2647</f>
        <v>EKG     </v>
      </c>
      <c r="G2647" t="s">
        <f>TEXT(D2647,"mmm dd")</f>
        <v>282</v>
      </c>
      <c r="I2647" t="inlineStr">
        <is>
          <t>EKG</t>
        </is>
      </c>
    </row>
    <row r="2648" spans="1:23">
      <c r="A2648">
        <v>9</v>
      </c>
      <c r="B2648">
        <v>5</v>
      </c>
      <c r="C2648">
        <v>2018</v>
      </c>
      <c r="D2648" s="3" t="str">
        <f>B2648&amp;"/"&amp;A2648&amp;"/"&amp;C2648</f>
        <v>5/9/2018</v>
      </c>
      <c r="E2648">
        <v>0.5625</v>
      </c>
      <c r="F2648" t="s">
        <f>I2648&amp;" "&amp;J2648&amp;" "&amp;K2648&amp;" "&amp;L2648&amp;" "&amp;M2648&amp;" "&amp;N2648</f>
        <v>2467</v>
      </c>
      <c r="G2648" t="s">
        <f>TEXT(D2648,"mmm dd")</f>
        <v>295</v>
      </c>
      <c r="I2648" t="s">
        <v>2468</v>
      </c>
      <c r="J2648" t="s">
        <v>53</v>
      </c>
      <c r="K2648" t="s">
        <v>2119</v>
      </c>
      <c r="L2648" t="s">
        <v>2469</v>
      </c>
    </row>
    <row r="2649" spans="1:23">
      <c r="A2649">
        <v>13</v>
      </c>
      <c r="B2649">
        <v>5</v>
      </c>
      <c r="C2649">
        <v>2018</v>
      </c>
      <c r="D2649" s="3" t="str">
        <f>B2649&amp;"/"&amp;A2649&amp;"/"&amp;C2649</f>
        <v>5/13/2018</v>
      </c>
      <c r="E2649">
        <v>0.625</v>
      </c>
      <c r="F2649" t="s">
        <f>I2649&amp;" "&amp;J2649&amp;" "&amp;K2649&amp;" "&amp;L2649&amp;" "&amp;M2649&amp;" "&amp;N2649</f>
        <v>2470</v>
      </c>
      <c r="G2649" t="s">
        <f>TEXT(D2649,"mmm dd")</f>
        <v>321</v>
      </c>
      <c r="I2649" t="s">
        <v>2468</v>
      </c>
      <c r="J2649" t="s">
        <v>53</v>
      </c>
      <c r="K2649" t="s">
        <v>218</v>
      </c>
      <c r="L2649" t="s">
        <v>2471</v>
      </c>
    </row>
    <row r="2650" spans="1:23">
      <c r="A2650">
        <v>15</v>
      </c>
      <c r="B2650">
        <v>5</v>
      </c>
      <c r="C2650">
        <v>2018</v>
      </c>
      <c r="D2650" s="3" t="s">
        <f>B2650&amp;"/"&amp;A2650&amp;"/"&amp;C2650</f>
        <v>2686</v>
      </c>
      <c r="E2650" t="s">
        <v>42</v>
      </c>
      <c r="F2650" t="s">
        <f>I2650&amp;" "&amp;J2650&amp;" "&amp;K2650&amp;" "&amp;L2650&amp;" "&amp;M2650&amp;" "&amp;N2650</f>
        <v>2617</v>
      </c>
      <c r="G2650" t="s">
        <f>TEXT(D2650,"mmm dd")</f>
        <v>326</v>
      </c>
      <c r="I2650" t="s">
        <v>1135</v>
      </c>
    </row>
    <row r="2651" spans="1:23">
      <c r="A2651">
        <v>15</v>
      </c>
      <c r="B2651">
        <v>5</v>
      </c>
      <c r="C2651">
        <v>2018</v>
      </c>
      <c r="D2651" s="3" t="s">
        <f>B2651&amp;"/"&amp;A2651&amp;"/"&amp;C2651</f>
        <v>2686</v>
      </c>
      <c r="E2651">
        <v>0.91319444444444442</v>
      </c>
      <c r="F2651" t="str">
        <f>I2651&amp;" "&amp;J2651&amp;" "&amp;K2651&amp;" "&amp;L2651&amp;" "&amp;M2651&amp;" "&amp;N2651</f>
        <v>Flight to Atlanta (DL 2597) </v>
      </c>
      <c r="G2651" t="s">
        <f>TEXT(D2651,"mmm dd")</f>
        <v>326</v>
      </c>
      <c r="I2651" t="s">
        <v>2365</v>
      </c>
      <c r="J2651" t="s">
        <v>449</v>
      </c>
      <c r="K2651" t="s">
        <v>2369</v>
      </c>
      <c r="L2651" t="s">
        <v>2591</v>
      </c>
      <c r="M2651" t="inlineStr">
        <is>
          <t>2597)</t>
        </is>
      </c>
    </row>
    <row r="2652" spans="1:23">
      <c r="A2652">
        <v>15</v>
      </c>
      <c r="B2652">
        <v>5</v>
      </c>
      <c r="C2652">
        <v>2018</v>
      </c>
      <c r="D2652" s="3" t="s">
        <f>B2652&amp;"/"&amp;A2652&amp;"/"&amp;C2652</f>
        <v>2686</v>
      </c>
      <c r="E2652">
        <v>1.101388888888889</v>
      </c>
      <c r="F2652" t="s">
        <f>I2652&amp;" "&amp;J2652&amp;" "&amp;K2652&amp;" "&amp;L2652&amp;" "&amp;M2652&amp;" "&amp;N2652</f>
        <v>2652</v>
      </c>
      <c r="G2652" t="s">
        <f>TEXT(D2652,"mmm dd")</f>
        <v>326</v>
      </c>
      <c r="I2652" t="s">
        <v>2365</v>
      </c>
      <c r="J2652" t="s">
        <v>449</v>
      </c>
      <c r="K2652" t="s">
        <v>2455</v>
      </c>
      <c r="L2652" t="s">
        <v>2456</v>
      </c>
      <c r="M2652" t="s">
        <v>2591</v>
      </c>
      <c r="N2652" t="s">
        <v>2653</v>
      </c>
    </row>
    <row r="2653" spans="1:23">
      <c r="A2653">
        <v>17</v>
      </c>
      <c r="B2653">
        <v>5</v>
      </c>
      <c r="C2653">
        <v>2018</v>
      </c>
      <c r="D2653" s="3" t="str">
        <f>B2653&amp;"/"&amp;A2653&amp;"/"&amp;C2653</f>
        <v>5/17/2018</v>
      </c>
      <c r="E2653">
        <v>0.75</v>
      </c>
      <c r="F2653" t="str">
        <f>I2653&amp;" "&amp;J2653&amp;" "&amp;K2653&amp;" "&amp;L2653&amp;" "&amp;M2653&amp;" "&amp;N2653</f>
        <v>Jeanne Lutz    </v>
      </c>
      <c r="G2653" t="s">
        <f>TEXT(D2653,"mmm dd")</f>
        <v>335</v>
      </c>
      <c r="I2653" t="inlineStr">
        <is>
          <t>Jeanne</t>
        </is>
      </c>
      <c r="J2653" t="inlineStr">
        <is>
          <t>Lutz</t>
        </is>
      </c>
    </row>
    <row r="2654" spans="1:23">
      <c r="A2654">
        <v>19</v>
      </c>
      <c r="B2654">
        <v>5</v>
      </c>
      <c r="C2654">
        <v>2018</v>
      </c>
      <c r="D2654" s="3" t="str">
        <f>B2654&amp;"/"&amp;A2654&amp;"/"&amp;C2654</f>
        <v>5/19/2018</v>
      </c>
      <c r="E2654">
        <v>0.125</v>
      </c>
      <c r="F2654" t="str">
        <f>I2654&amp;" "&amp;J2654&amp;" "&amp;K2654&amp;" "&amp;L2654&amp;" "&amp;M2654&amp;" "&amp;N2654</f>
        <v>Chili dinner    </v>
      </c>
      <c r="G2654" t="s">
        <f>TEXT(D2654,"mmm dd")</f>
        <v>344</v>
      </c>
      <c r="I2654" t="inlineStr">
        <is>
          <t>Chili</t>
        </is>
      </c>
      <c r="J2654" t="s">
        <v>517</v>
      </c>
    </row>
    <row r="2655" spans="1:23">
      <c r="A2655">
        <v>20</v>
      </c>
      <c r="B2655">
        <v>5</v>
      </c>
      <c r="C2655">
        <v>2018</v>
      </c>
      <c r="D2655" s="3" t="s">
        <f>B2655&amp;"/"&amp;A2655&amp;"/"&amp;C2655</f>
        <v>2687</v>
      </c>
      <c r="E2655">
        <v>1.0909722222222222</v>
      </c>
      <c r="F2655" t="str">
        <f>I2655&amp;" "&amp;J2655&amp;" "&amp;K2655&amp;" "&amp;L2655&amp;" "&amp;M2655&amp;" "&amp;N2655</f>
        <v>Flight to Charlotte (DL 2052) </v>
      </c>
      <c r="G2655" t="s">
        <f>TEXT(D2655,"mmm dd")</f>
        <v>347</v>
      </c>
      <c r="I2655" t="s">
        <v>2365</v>
      </c>
      <c r="J2655" t="s">
        <v>449</v>
      </c>
      <c r="K2655" t="s">
        <v>2372</v>
      </c>
      <c r="L2655" t="s">
        <v>2591</v>
      </c>
      <c r="M2655" t="inlineStr">
        <is>
          <t>2052)</t>
        </is>
      </c>
    </row>
    <row r="2656" spans="1:23">
      <c r="A2656">
        <v>20</v>
      </c>
      <c r="B2656">
        <v>5</v>
      </c>
      <c r="C2656">
        <v>2018</v>
      </c>
      <c r="D2656" s="3" t="s">
        <f>B2656&amp;"/"&amp;A2656&amp;"/"&amp;C2656</f>
        <v>2687</v>
      </c>
      <c r="E2656">
        <v>0.86319444444444449</v>
      </c>
      <c r="F2656" t="s">
        <f>I2656&amp;" "&amp;J2656&amp;" "&amp;K2656&amp;" "&amp;L2656&amp;" "&amp;M2656&amp;" "&amp;N2656</f>
        <v>2590</v>
      </c>
      <c r="G2656" t="s">
        <f>TEXT(D2656,"mmm dd")</f>
        <v>347</v>
      </c>
      <c r="I2656" t="s">
        <v>2365</v>
      </c>
      <c r="J2656" t="s">
        <v>449</v>
      </c>
      <c r="K2656" t="s">
        <v>2369</v>
      </c>
      <c r="L2656" t="s">
        <v>2591</v>
      </c>
      <c r="M2656" t="s">
        <v>2592</v>
      </c>
    </row>
    <row r="2657" spans="1:23">
      <c r="A2657">
        <v>21</v>
      </c>
      <c r="B2657">
        <v>5</v>
      </c>
      <c r="C2657">
        <v>2018</v>
      </c>
      <c r="D2657" s="3" t="str">
        <f>B2657&amp;"/"&amp;A2657&amp;"/"&amp;C2657</f>
        <v>5/21/2018</v>
      </c>
      <c r="E2657">
        <v>0.625</v>
      </c>
      <c r="F2657" t="str">
        <f>I2657&amp;" "&amp;J2657&amp;" "&amp;K2657&amp;" "&amp;L2657&amp;" "&amp;M2657&amp;" "&amp;N2657</f>
        <v>Check AT&amp;T on cruise ship &amp;</v>
      </c>
      <c r="G2657" t="s">
        <f>TEXT(D2657,"mmm dd")</f>
        <v>354</v>
      </c>
      <c r="I2657" t="s">
        <v>2363</v>
      </c>
      <c r="J2657" t="inlineStr">
        <is>
          <t>AT&amp;T</t>
        </is>
      </c>
      <c r="K2657" t="s">
        <v>1449</v>
      </c>
      <c r="L2657" t="s">
        <v>1864</v>
      </c>
      <c r="M2657" t="inlineStr">
        <is>
          <t>ship</t>
        </is>
      </c>
      <c r="N2657" t="s">
        <v>73</v>
      </c>
    </row>
    <row r="2658" spans="1:23">
      <c r="A2658">
        <v>22</v>
      </c>
      <c r="B2658">
        <v>5</v>
      </c>
      <c r="C2658">
        <v>2018</v>
      </c>
      <c r="D2658" s="3" t="str">
        <f>B2658&amp;"/"&amp;A2658&amp;"/"&amp;C2658</f>
        <v>5/22/2018</v>
      </c>
      <c r="E2658" t="s">
        <v>42</v>
      </c>
      <c r="F2658" t="str">
        <f>I2658&amp;" "&amp;J2658&amp;" "&amp;K2658&amp;" "&amp;L2658&amp;" "&amp;M2658&amp;" "&amp;N2658</f>
        <v>Stay at Polo Towers by Diamond</v>
      </c>
      <c r="G2658" t="s">
        <f>TEXT(D2658,"mmm dd")</f>
        <v>357</v>
      </c>
      <c r="I2658" t="s">
        <v>2398</v>
      </c>
      <c r="J2658" t="s">
        <v>53</v>
      </c>
      <c r="K2658" t="inlineStr">
        <is>
          <t>Polo</t>
        </is>
      </c>
      <c r="L2658" t="inlineStr">
        <is>
          <t>Towers</t>
        </is>
      </c>
      <c r="M2658" t="s">
        <v>2688</v>
      </c>
      <c r="N2658" t="s">
        <v>2689</v>
      </c>
    </row>
    <row r="2659" spans="1:23">
      <c r="A2659">
        <v>26</v>
      </c>
      <c r="B2659">
        <v>5</v>
      </c>
      <c r="C2659">
        <v>2018</v>
      </c>
      <c r="D2659" s="3" t="str">
        <f>B2659&amp;"/"&amp;A2659&amp;"/"&amp;C2659</f>
        <v>5/26/2018</v>
      </c>
      <c r="E2659" t="s">
        <v>42</v>
      </c>
      <c r="F2659" t="s">
        <f>I2659&amp;" "&amp;J2659&amp;" "&amp;K2659&amp;" "&amp;L2659&amp;" "&amp;M2659&amp;" "&amp;N2659</f>
        <v>2690</v>
      </c>
      <c r="G2659" t="s">
        <f>TEXT(D2659,"mmm dd")</f>
        <v>386</v>
      </c>
      <c r="I2659" t="s">
        <v>2223</v>
      </c>
      <c r="J2659" t="s">
        <v>2320</v>
      </c>
    </row>
    <row r="2660" spans="1:23">
      <c r="A2660">
        <v>3</v>
      </c>
      <c r="B2660">
        <v>6</v>
      </c>
      <c r="C2660">
        <v>2018</v>
      </c>
      <c r="D2660" s="3" t="str">
        <f>B2660&amp;"/"&amp;A2660&amp;"/"&amp;C2660</f>
        <v>6/3/2018</v>
      </c>
      <c r="E2660">
        <v>0.78125</v>
      </c>
      <c r="F2660" t="str">
        <f>I2660&amp;" "&amp;J2660&amp;" "&amp;K2660&amp;" "&amp;L2660&amp;" "&amp;M2660&amp;" "&amp;N2660</f>
        <v>Church picnic    </v>
      </c>
      <c r="G2660" t="s">
        <f>TEXT(D2660,"mmm dd")</f>
        <v>434</v>
      </c>
      <c r="I2660" t="s">
        <v>964</v>
      </c>
      <c r="J2660" t="s">
        <v>1959</v>
      </c>
    </row>
    <row r="2661" spans="1:23">
      <c r="A2661">
        <v>7</v>
      </c>
      <c r="B2661">
        <v>6</v>
      </c>
      <c r="C2661">
        <v>2018</v>
      </c>
      <c r="D2661" s="3" t="str">
        <f>B2661&amp;"/"&amp;A2661&amp;"/"&amp;C2661</f>
        <v>6/7/2018</v>
      </c>
      <c r="E2661">
        <v>0.25</v>
      </c>
      <c r="F2661" t="s">
        <f>I2661&amp;" "&amp;J2661&amp;" "&amp;K2661&amp;" "&amp;L2661&amp;" "&amp;M2661&amp;" "&amp;N2661</f>
        <v>2690</v>
      </c>
      <c r="G2661" t="s">
        <f>TEXT(D2661,"mmm dd")</f>
        <v>464</v>
      </c>
      <c r="I2661" t="s">
        <v>2223</v>
      </c>
      <c r="J2661" t="s">
        <v>2320</v>
      </c>
    </row>
    <row r="2662" spans="1:23">
      <c r="A2662">
        <v>10</v>
      </c>
      <c r="B2662">
        <v>6</v>
      </c>
      <c r="C2662">
        <v>2018</v>
      </c>
      <c r="D2662" s="3" t="str">
        <f>B2662&amp;"/"&amp;A2662&amp;"/"&amp;C2662</f>
        <v>6/10/2018</v>
      </c>
      <c r="E2662" t="s">
        <v>42</v>
      </c>
      <c r="F2662" t="s">
        <f>I2662&amp;" "&amp;J2662&amp;" "&amp;K2662&amp;" "&amp;L2662&amp;" "&amp;M2662&amp;" "&amp;N2662</f>
        <v>2691</v>
      </c>
      <c r="G2662" t="s">
        <f>TEXT(D2662,"mmm dd")</f>
        <v>475</v>
      </c>
      <c r="I2662" t="s">
        <v>2468</v>
      </c>
      <c r="J2662" t="s">
        <v>2119</v>
      </c>
      <c r="K2662" t="s">
        <v>2469</v>
      </c>
      <c r="O2662" t="inlineStr">
        <is>
          <t>reservation</t>
        </is>
      </c>
    </row>
    <row r="2663" spans="1:23">
      <c r="A2663">
        <v>12</v>
      </c>
      <c r="B2663">
        <v>6</v>
      </c>
      <c r="C2663">
        <v>2018</v>
      </c>
      <c r="D2663" s="3" t="str">
        <f>B2663&amp;"/"&amp;A2663&amp;"/"&amp;C2663</f>
        <v>6/12/2018</v>
      </c>
      <c r="E2663">
        <v>0.27083333333333331</v>
      </c>
      <c r="F2663" t="s">
        <f>I2663&amp;" "&amp;J2663&amp;" "&amp;K2663&amp;" "&amp;L2663&amp;" "&amp;M2663&amp;" "&amp;N2663</f>
        <v>2690</v>
      </c>
      <c r="G2663" t="s">
        <f>TEXT(D2663,"mmm dd")</f>
        <v>501</v>
      </c>
      <c r="I2663" t="s">
        <v>2223</v>
      </c>
      <c r="J2663" t="s">
        <v>2320</v>
      </c>
    </row>
    <row r="2664" spans="1:23">
      <c r="A2664">
        <v>13</v>
      </c>
      <c r="B2664">
        <v>6</v>
      </c>
      <c r="C2664">
        <v>2018</v>
      </c>
      <c r="D2664" s="3" t="str">
        <f>B2664&amp;"/"&amp;A2664&amp;"/"&amp;C2664</f>
        <v>6/13/2018</v>
      </c>
      <c r="E2664" t="s">
        <v>42</v>
      </c>
      <c r="F2664" t="s">
        <f>I2664&amp;" "&amp;J2664&amp;" "&amp;K2664&amp;" "&amp;L2664&amp;" "&amp;M2664&amp;" "&amp;N2664</f>
        <v>2526</v>
      </c>
      <c r="G2664" t="s">
        <f>TEXT(D2664,"mmm dd")</f>
        <v>511</v>
      </c>
      <c r="I2664" t="s">
        <v>2527</v>
      </c>
      <c r="J2664" t="s">
        <v>2528</v>
      </c>
      <c r="K2664" t="s">
        <v>2529</v>
      </c>
    </row>
    <row r="2665" spans="1:23">
      <c r="A2665">
        <v>14</v>
      </c>
      <c r="B2665">
        <v>6</v>
      </c>
      <c r="C2665">
        <v>2018</v>
      </c>
      <c r="D2665" s="3" t="str">
        <f>B2665&amp;"/"&amp;A2665&amp;"/"&amp;C2665</f>
        <v>6/14/2018</v>
      </c>
      <c r="E2665">
        <v>0.625</v>
      </c>
      <c r="F2665" t="str">
        <f>I2665&amp;" "&amp;J2665&amp;" "&amp;K2665&amp;" "&amp;L2665&amp;" "&amp;M2665&amp;" "&amp;N2665</f>
        <v>Dr. Matthews Dentist   </v>
      </c>
      <c r="G2665" t="s">
        <f>TEXT(D2665,"mmm dd")</f>
        <v>524</v>
      </c>
      <c r="I2665" t="s">
        <v>847</v>
      </c>
      <c r="J2665" t="s">
        <v>2513</v>
      </c>
      <c r="K2665" t="s">
        <v>2414</v>
      </c>
    </row>
    <row r="2666" spans="1:23">
      <c r="A2666">
        <v>16</v>
      </c>
      <c r="B2666">
        <v>6</v>
      </c>
      <c r="C2666">
        <v>2018</v>
      </c>
      <c r="D2666" s="3" t="str">
        <f>B2666&amp;"/"&amp;A2666&amp;"/"&amp;C2666</f>
        <v>6/16/2018</v>
      </c>
      <c r="E2666">
        <v>1.0833333333333333</v>
      </c>
      <c r="F2666" t="s">
        <f>I2666&amp;" "&amp;J2666&amp;" "&amp;K2666&amp;" "&amp;L2666&amp;" "&amp;M2666&amp;" "&amp;N2666</f>
        <v>2690</v>
      </c>
      <c r="G2666" t="s">
        <f>TEXT(D2666,"mmm dd")</f>
        <v>543</v>
      </c>
      <c r="I2666" t="s">
        <v>2223</v>
      </c>
      <c r="J2666" t="s">
        <v>2320</v>
      </c>
    </row>
    <row r="2667" spans="1:23">
      <c r="A2667">
        <v>17</v>
      </c>
      <c r="B2667">
        <v>6</v>
      </c>
      <c r="C2667">
        <v>2018</v>
      </c>
      <c r="D2667" s="3" t="str">
        <f>B2667&amp;"/"&amp;A2667&amp;"/"&amp;C2667</f>
        <v>6/17/2018</v>
      </c>
      <c r="E2667" t="s">
        <v>42</v>
      </c>
      <c r="F2667" t="s">
        <f>I2667&amp;" "&amp;J2667&amp;" "&amp;K2667&amp;" "&amp;L2667&amp;" "&amp;M2667&amp;" "&amp;N2667</f>
        <v>2692</v>
      </c>
      <c r="G2667" t="s">
        <f>TEXT(D2667,"mmm dd")</f>
        <v>556</v>
      </c>
      <c r="I2667" t="s">
        <v>2468</v>
      </c>
      <c r="J2667" t="s">
        <v>53</v>
      </c>
      <c r="K2667" t="s">
        <v>218</v>
      </c>
      <c r="L2667" t="s">
        <v>2560</v>
      </c>
      <c r="M2667" t="s">
        <v>1202</v>
      </c>
      <c r="N2667" t="s">
        <v>1739</v>
      </c>
    </row>
    <row r="2668" spans="1:23">
      <c r="A2668">
        <v>19</v>
      </c>
      <c r="B2668">
        <v>6</v>
      </c>
      <c r="C2668">
        <v>2018</v>
      </c>
      <c r="D2668" s="3" t="str">
        <f>B2668&amp;"/"&amp;A2668&amp;"/"&amp;C2668</f>
        <v>6/19/2018</v>
      </c>
      <c r="E2668">
        <v>1</v>
      </c>
      <c r="F2668" t="s">
        <f>I2668&amp;" "&amp;J2668&amp;" "&amp;K2668&amp;" "&amp;L2668&amp;" "&amp;M2668&amp;" "&amp;N2668</f>
        <v>2685</v>
      </c>
      <c r="G2668" t="s">
        <f>TEXT(D2668,"mmm dd")</f>
        <v>564</v>
      </c>
      <c r="I2668" t="s">
        <v>2676</v>
      </c>
      <c r="J2668" t="s">
        <v>73</v>
      </c>
      <c r="K2668" t="s">
        <v>2675</v>
      </c>
    </row>
    <row r="2669" spans="1:23">
      <c r="A2669">
        <v>20</v>
      </c>
      <c r="B2669">
        <v>6</v>
      </c>
      <c r="C2669">
        <v>2018</v>
      </c>
      <c r="D2669" s="3" t="str">
        <f>B2669&amp;"/"&amp;A2669&amp;"/"&amp;C2669</f>
        <v>6/20/2018</v>
      </c>
      <c r="E2669">
        <v>0.70833333333333337</v>
      </c>
      <c r="F2669" t="str">
        <f>I2669&amp;" "&amp;J2669&amp;" "&amp;K2669&amp;" "&amp;L2669&amp;" "&amp;M2669&amp;" "&amp;N2669</f>
        <v>Install ramp    </v>
      </c>
      <c r="G2669" t="s">
        <f>TEXT(D2669,"mmm dd")</f>
        <v>566</v>
      </c>
      <c r="I2669" t="s">
        <v>2693</v>
      </c>
      <c r="J2669" t="inlineStr">
        <is>
          <t>ramp</t>
        </is>
      </c>
    </row>
    <row r="2670" spans="1:23">
      <c r="A2670">
        <v>21</v>
      </c>
      <c r="B2670">
        <v>6</v>
      </c>
      <c r="C2670">
        <v>2018</v>
      </c>
      <c r="D2670" s="3" t="str">
        <f>B2670&amp;"/"&amp;A2670&amp;"/"&amp;C2670</f>
        <v>6/21/2018</v>
      </c>
      <c r="E2670">
        <v>1</v>
      </c>
      <c r="F2670" t="str">
        <f>I2670&amp;" "&amp;J2670&amp;" "&amp;K2670&amp;" "&amp;L2670&amp;" "&amp;M2670&amp;" "&amp;N2670</f>
        <v>Wendy Hope deliver dinner  </v>
      </c>
      <c r="G2670" t="s">
        <f>TEXT(D2670,"mmm dd")</f>
        <v>568</v>
      </c>
      <c r="I2670" t="inlineStr">
        <is>
          <t>Wendy</t>
        </is>
      </c>
      <c r="J2670" t="inlineStr">
        <is>
          <t>Hope</t>
        </is>
      </c>
      <c r="K2670" t="inlineStr">
        <is>
          <t>deliver</t>
        </is>
      </c>
      <c r="L2670" t="s">
        <v>517</v>
      </c>
    </row>
    <row r="2671" spans="1:23">
      <c r="A2671">
        <v>24</v>
      </c>
      <c r="B2671">
        <v>6</v>
      </c>
      <c r="C2671">
        <v>2018</v>
      </c>
      <c r="D2671" s="3" t="str">
        <f>B2671&amp;"/"&amp;A2671&amp;"/"&amp;C2671</f>
        <v>6/24/2018</v>
      </c>
      <c r="E2671" t="s">
        <v>42</v>
      </c>
      <c r="F2671" t="str">
        <f>I2671&amp;" "&amp;J2671&amp;" "&amp;K2671&amp;" "&amp;L2671&amp;" "&amp;M2671&amp;" "&amp;N2671</f>
        <v>Supply at Camden (2 services) </v>
      </c>
      <c r="G2671" t="s">
        <f>TEXT(D2671,"mmm dd")</f>
        <v>583</v>
      </c>
      <c r="I2671" t="s">
        <v>2468</v>
      </c>
      <c r="J2671" t="s">
        <v>53</v>
      </c>
      <c r="K2671" t="s">
        <v>2694</v>
      </c>
      <c r="L2671" t="s">
        <v>2695</v>
      </c>
      <c r="M2671" t="inlineStr">
        <is>
          <t>services)</t>
        </is>
      </c>
    </row>
    <row r="2672" spans="1:23">
      <c r="A2672">
        <v>27</v>
      </c>
      <c r="B2672">
        <v>6</v>
      </c>
      <c r="C2672">
        <v>2018</v>
      </c>
      <c r="D2672" s="3" t="s">
        <f>B2672&amp;"/"&amp;A2672&amp;"/"&amp;C2672</f>
        <v>2696</v>
      </c>
      <c r="E2672">
        <v>0.77083333333333337</v>
      </c>
      <c r="F2672" t="s">
        <f>I2672&amp;" "&amp;J2672&amp;" "&amp;K2672&amp;" "&amp;L2672&amp;" "&amp;M2672&amp;" "&amp;N2672</f>
        <v>2681</v>
      </c>
      <c r="G2672" t="s">
        <f>TEXT(D2672,"mmm dd")</f>
        <v>1336</v>
      </c>
      <c r="I2672" t="s">
        <v>2173</v>
      </c>
      <c r="J2672" t="s">
        <v>2448</v>
      </c>
    </row>
    <row r="2673" spans="1:23">
      <c r="A2673">
        <v>27</v>
      </c>
      <c r="B2673">
        <v>6</v>
      </c>
      <c r="C2673">
        <v>2018</v>
      </c>
      <c r="D2673" s="3" t="s">
        <f>B2673&amp;"/"&amp;A2673&amp;"/"&amp;C2673</f>
        <v>2696</v>
      </c>
      <c r="E2673">
        <v>0.6875</v>
      </c>
      <c r="F2673" t="s">
        <f>I2673&amp;" "&amp;J2673&amp;" "&amp;K2673&amp;" "&amp;L2673&amp;" "&amp;M2673&amp;" "&amp;N2673</f>
        <v>2690</v>
      </c>
      <c r="G2673" t="s">
        <f>TEXT(D2673,"mmm dd")</f>
        <v>1336</v>
      </c>
      <c r="I2673" t="s">
        <v>2223</v>
      </c>
      <c r="J2673" t="s">
        <v>2320</v>
      </c>
    </row>
    <row r="2674" spans="1:23">
      <c r="A2674">
        <v>1</v>
      </c>
      <c r="B2674">
        <v>7</v>
      </c>
      <c r="C2674">
        <v>2018</v>
      </c>
      <c r="D2674" s="3" t="str">
        <f>B2674&amp;"/"&amp;A2674&amp;"/"&amp;C2674</f>
        <v>7/1/2018</v>
      </c>
      <c r="E2674">
        <v>0.60416666666666663</v>
      </c>
      <c r="F2674" t="s">
        <f>I2674&amp;" "&amp;J2674&amp;" "&amp;K2674&amp;" "&amp;L2674&amp;" "&amp;M2674&amp;" "&amp;N2674</f>
        <v>2691</v>
      </c>
      <c r="G2674" t="s">
        <f>TEXT(D2674,"mmm dd")</f>
        <v>13</v>
      </c>
      <c r="I2674" t="s">
        <v>2468</v>
      </c>
      <c r="J2674" t="s">
        <v>2119</v>
      </c>
      <c r="K2674" t="s">
        <v>2469</v>
      </c>
    </row>
    <row r="2675" spans="1:23">
      <c r="A2675">
        <v>7</v>
      </c>
      <c r="B2675">
        <v>7</v>
      </c>
      <c r="C2675">
        <v>2018</v>
      </c>
      <c r="D2675" s="3" t="s">
        <f>B2675&amp;"/"&amp;A2675&amp;"/"&amp;C2675</f>
        <v>2697</v>
      </c>
      <c r="E2675">
        <v>1.0208333333333333</v>
      </c>
      <c r="F2675" t="s">
        <f>I2675&amp;" "&amp;J2675&amp;" "&amp;K2675&amp;" "&amp;L2675&amp;" "&amp;M2675&amp;" "&amp;N2675</f>
        <v>2690</v>
      </c>
      <c r="G2675" t="s">
        <f>TEXT(D2675,"mmm dd")</f>
        <v>24</v>
      </c>
      <c r="I2675" t="s">
        <v>2223</v>
      </c>
      <c r="J2675" t="s">
        <v>2320</v>
      </c>
    </row>
    <row r="2676" spans="1:23">
      <c r="A2676">
        <v>7</v>
      </c>
      <c r="B2676">
        <v>7</v>
      </c>
      <c r="C2676">
        <v>2018</v>
      </c>
      <c r="D2676" s="3" t="s">
        <f>B2676&amp;"/"&amp;A2676&amp;"/"&amp;C2676</f>
        <v>2697</v>
      </c>
      <c r="E2676">
        <v>0.70833333333333337</v>
      </c>
      <c r="F2676" t="str">
        <f>I2676&amp;" "&amp;J2676&amp;" "&amp;K2676&amp;" "&amp;L2676&amp;" "&amp;M2676&amp;" "&amp;N2676</f>
        <v>Homeowners meeting    </v>
      </c>
      <c r="G2676" t="s">
        <f>TEXT(D2676,"mmm dd")</f>
        <v>24</v>
      </c>
      <c r="I2676" t="inlineStr">
        <is>
          <t>Homeowners</t>
        </is>
      </c>
      <c r="J2676" t="s">
        <v>842</v>
      </c>
    </row>
    <row r="2677" spans="1:23">
      <c r="A2677">
        <v>8</v>
      </c>
      <c r="B2677">
        <v>7</v>
      </c>
      <c r="C2677">
        <v>2018</v>
      </c>
      <c r="D2677" s="3" t="str">
        <f>B2677&amp;"/"&amp;A2677&amp;"/"&amp;C2677</f>
        <v>7/8/2018</v>
      </c>
      <c r="E2677" t="s">
        <v>42</v>
      </c>
      <c r="F2677" t="s">
        <f>I2677&amp;" "&amp;J2677&amp;" "&amp;K2677&amp;" "&amp;L2677&amp;" "&amp;M2677&amp;" "&amp;N2677</f>
        <v>2698</v>
      </c>
      <c r="G2677" t="s">
        <f>TEXT(D2677,"mmm dd")</f>
        <v>623</v>
      </c>
      <c r="I2677" t="s">
        <v>2468</v>
      </c>
      <c r="J2677" t="s">
        <v>1317</v>
      </c>
      <c r="K2677" t="s">
        <v>2699</v>
      </c>
    </row>
    <row r="2678" spans="1:23">
      <c r="A2678">
        <v>11</v>
      </c>
      <c r="B2678">
        <v>7</v>
      </c>
      <c r="C2678">
        <v>2018</v>
      </c>
      <c r="D2678" s="3" t="s">
        <f>B2678&amp;"/"&amp;A2678&amp;"/"&amp;C2678</f>
        <v>2700</v>
      </c>
      <c r="E2678">
        <v>0.72916666666666663</v>
      </c>
      <c r="F2678" t="s">
        <f>I2678&amp;" "&amp;J2678&amp;" "&amp;K2678&amp;" "&amp;L2678&amp;" "&amp;M2678&amp;" "&amp;N2678</f>
        <v>2691</v>
      </c>
      <c r="G2678" t="s">
        <f>TEXT(D2678,"mmm dd")</f>
        <v>628</v>
      </c>
      <c r="I2678" t="s">
        <v>2468</v>
      </c>
      <c r="J2678" t="s">
        <v>2119</v>
      </c>
      <c r="K2678" t="s">
        <v>2469</v>
      </c>
    </row>
    <row r="2679" spans="1:23">
      <c r="A2679">
        <v>11</v>
      </c>
      <c r="B2679">
        <v>7</v>
      </c>
      <c r="C2679">
        <v>2018</v>
      </c>
      <c r="D2679" s="3" t="s">
        <f>B2679&amp;"/"&amp;A2679&amp;"/"&amp;C2679</f>
        <v>2700</v>
      </c>
      <c r="E2679">
        <v>0.8125</v>
      </c>
      <c r="F2679" t="str">
        <f>I2679&amp;" "&amp;J2679&amp;" "&amp;K2679&amp;" "&amp;L2679&amp;" "&amp;M2679&amp;" "&amp;N2679</f>
        <v>Drive Spartanburg    </v>
      </c>
      <c r="G2679" t="s">
        <f>TEXT(D2679,"mmm dd")</f>
        <v>628</v>
      </c>
      <c r="I2679" t="s">
        <v>1733</v>
      </c>
      <c r="J2679" t="s">
        <v>2699</v>
      </c>
    </row>
    <row r="2680" spans="1:23">
      <c r="A2680">
        <v>13</v>
      </c>
      <c r="B2680">
        <v>7</v>
      </c>
      <c r="C2680">
        <v>2018</v>
      </c>
      <c r="D2680" s="3" t="s">
        <f>B2680&amp;"/"&amp;A2680&amp;"/"&amp;C2680</f>
        <v>2701</v>
      </c>
      <c r="E2680">
        <v>0.125</v>
      </c>
      <c r="F2680" t="s">
        <f>I2680&amp;" "&amp;J2680&amp;" "&amp;K2680&amp;" "&amp;L2680&amp;" "&amp;M2680&amp;" "&amp;N2680</f>
        <v>2690</v>
      </c>
      <c r="G2680" t="s">
        <f>TEXT(D2680,"mmm dd")</f>
        <v>1989</v>
      </c>
      <c r="I2680" t="s">
        <v>2223</v>
      </c>
      <c r="J2680" t="s">
        <v>2320</v>
      </c>
    </row>
    <row r="2681" spans="1:23">
      <c r="A2681">
        <v>13</v>
      </c>
      <c r="B2681">
        <v>7</v>
      </c>
      <c r="C2681">
        <v>2018</v>
      </c>
      <c r="D2681" s="3" t="s">
        <f>B2681&amp;"/"&amp;A2681&amp;"/"&amp;C2681</f>
        <v>2701</v>
      </c>
      <c r="E2681">
        <v>0.70833333333333337</v>
      </c>
      <c r="F2681" t="str">
        <f>I2681&amp;" "&amp;J2681&amp;" "&amp;K2681&amp;" "&amp;L2681&amp;" "&amp;M2681&amp;" "&amp;N2681</f>
        <v>Call dermatologist    </v>
      </c>
      <c r="G2681" t="s">
        <f>TEXT(D2681,"mmm dd")</f>
        <v>1989</v>
      </c>
      <c r="I2681" t="s">
        <v>1028</v>
      </c>
      <c r="J2681" t="s">
        <v>2702</v>
      </c>
    </row>
    <row r="2682" spans="1:23">
      <c r="A2682">
        <v>15</v>
      </c>
      <c r="B2682">
        <v>7</v>
      </c>
      <c r="C2682">
        <v>2018</v>
      </c>
      <c r="D2682" s="3" t="s">
        <f>B2682&amp;"/"&amp;A2682&amp;"/"&amp;C2682</f>
        <v>2703</v>
      </c>
      <c r="E2682">
        <v>0.9375</v>
      </c>
      <c r="F2682" t="str">
        <f>I2682&amp;" "&amp;J2682&amp;" "&amp;K2682&amp;" "&amp;L2682&amp;" "&amp;M2682&amp;" "&amp;N2682</f>
        <v>Scott at Charlotte   </v>
      </c>
      <c r="G2682" t="s">
        <f>TEXT(D2682,"mmm dd")</f>
        <v>640</v>
      </c>
      <c r="I2682" t="s">
        <v>917</v>
      </c>
      <c r="J2682" t="s">
        <v>53</v>
      </c>
      <c r="K2682" t="s">
        <v>2372</v>
      </c>
    </row>
    <row r="2683" spans="1:23">
      <c r="A2683">
        <v>15</v>
      </c>
      <c r="B2683">
        <v>7</v>
      </c>
      <c r="C2683">
        <v>2018</v>
      </c>
      <c r="D2683" s="3" t="s">
        <f>B2683&amp;"/"&amp;A2683&amp;"/"&amp;C2683</f>
        <v>2703</v>
      </c>
      <c r="E2683">
        <v>0.70833333333333337</v>
      </c>
      <c r="F2683" t="s">
        <f>I2683&amp;" "&amp;J2683&amp;" "&amp;K2683&amp;" "&amp;L2683&amp;" "&amp;M2683&amp;" "&amp;N2683</f>
        <v>2692</v>
      </c>
      <c r="G2683" t="s">
        <f>TEXT(D2683,"mmm dd")</f>
        <v>640</v>
      </c>
      <c r="I2683" t="s">
        <v>2468</v>
      </c>
      <c r="J2683" t="s">
        <v>53</v>
      </c>
      <c r="K2683" t="s">
        <v>218</v>
      </c>
      <c r="L2683" t="s">
        <v>2560</v>
      </c>
      <c r="M2683" t="s">
        <v>1202</v>
      </c>
      <c r="N2683" t="s">
        <v>1739</v>
      </c>
    </row>
    <row r="2684" spans="1:23">
      <c r="A2684">
        <v>18</v>
      </c>
      <c r="B2684">
        <v>7</v>
      </c>
      <c r="C2684">
        <v>2018</v>
      </c>
      <c r="D2684" s="3" t="str">
        <f>B2684&amp;"/"&amp;A2684&amp;"/"&amp;C2684</f>
        <v>7/18/2018</v>
      </c>
      <c r="E2684">
        <v>0.125</v>
      </c>
      <c r="F2684" t="s">
        <f>I2684&amp;" "&amp;J2684&amp;" "&amp;K2684&amp;" "&amp;L2684&amp;" "&amp;M2684&amp;" "&amp;N2684</f>
        <v>2704</v>
      </c>
      <c r="G2684" t="s">
        <f>TEXT(D2684,"mmm dd")</f>
        <v>658</v>
      </c>
      <c r="I2684" t="s">
        <v>2377</v>
      </c>
      <c r="J2684" t="s">
        <v>2320</v>
      </c>
    </row>
    <row r="2685" spans="1:23">
      <c r="A2685">
        <v>19</v>
      </c>
      <c r="B2685">
        <v>7</v>
      </c>
      <c r="C2685">
        <v>2018</v>
      </c>
      <c r="D2685" s="3" t="str">
        <f>B2685&amp;"/"&amp;A2685&amp;"/"&amp;C2685</f>
        <v>7/19/2018</v>
      </c>
      <c r="E2685" t="s">
        <v>42</v>
      </c>
      <c r="F2685" t="str">
        <f>I2685&amp;" "&amp;J2685&amp;" "&amp;K2685&amp;" "&amp;L2685&amp;" "&amp;M2685&amp;" "&amp;N2685</f>
        <v>Scott leave    </v>
      </c>
      <c r="G2685" t="s">
        <f>TEXT(D2685,"mmm dd")</f>
        <v>28</v>
      </c>
      <c r="I2685" t="s">
        <v>917</v>
      </c>
      <c r="J2685" t="s">
        <v>2459</v>
      </c>
    </row>
    <row r="2686" spans="1:23">
      <c r="A2686">
        <v>22</v>
      </c>
      <c r="B2686">
        <v>7</v>
      </c>
      <c r="C2686">
        <v>2018</v>
      </c>
      <c r="D2686" s="3" t="str">
        <f>B2686&amp;"/"&amp;A2686&amp;"/"&amp;C2686</f>
        <v>7/22/2018</v>
      </c>
      <c r="E2686">
        <v>0.75</v>
      </c>
      <c r="F2686" t="s">
        <f>I2686&amp;" "&amp;J2686&amp;" "&amp;K2686&amp;" "&amp;L2686&amp;" "&amp;M2686&amp;" "&amp;N2686</f>
        <v>2704</v>
      </c>
      <c r="G2686" t="s">
        <f>TEXT(D2686,"mmm dd")</f>
        <v>678</v>
      </c>
      <c r="I2686" t="s">
        <v>2377</v>
      </c>
      <c r="J2686" t="s">
        <v>2320</v>
      </c>
    </row>
    <row r="2687" spans="1:23">
      <c r="A2687">
        <v>25</v>
      </c>
      <c r="B2687">
        <v>7</v>
      </c>
      <c r="C2687">
        <v>2018</v>
      </c>
      <c r="D2687" s="3" t="str">
        <f>B2687&amp;"/"&amp;A2687&amp;"/"&amp;C2687</f>
        <v>7/25/2018</v>
      </c>
      <c r="E2687">
        <v>1</v>
      </c>
      <c r="F2687" t="str">
        <f>I2687&amp;" "&amp;J2687&amp;" "&amp;K2687&amp;" "&amp;L2687&amp;" "&amp;M2687&amp;" "&amp;N2687</f>
        <v>Meineke oil change   </v>
      </c>
      <c r="G2687" t="s">
        <f>TEXT(D2687,"mmm dd")</f>
        <v>25</v>
      </c>
      <c r="I2687" t="inlineStr">
        <is>
          <t>Meineke</t>
        </is>
      </c>
      <c r="J2687" t="s">
        <v>2319</v>
      </c>
      <c r="K2687" t="s">
        <v>2320</v>
      </c>
    </row>
    <row r="2688" spans="1:23">
      <c r="A2688">
        <v>26</v>
      </c>
      <c r="B2688">
        <v>7</v>
      </c>
      <c r="C2688">
        <v>2018</v>
      </c>
      <c r="D2688" s="3" t="str">
        <f>B2688&amp;"/"&amp;A2688&amp;"/"&amp;C2688</f>
        <v>7/26/2018</v>
      </c>
      <c r="E2688">
        <v>0.77083333333333337</v>
      </c>
      <c r="F2688" t="str">
        <f>I2688&amp;" "&amp;J2688&amp;" "&amp;K2688&amp;" "&amp;L2688&amp;" "&amp;M2688&amp;" "&amp;N2688</f>
        <v>Lunch Sue Parker   </v>
      </c>
      <c r="G2688" t="s">
        <f>TEXT(D2688,"mmm dd")</f>
        <v>27</v>
      </c>
      <c r="I2688" t="s">
        <v>813</v>
      </c>
      <c r="J2688" t="s">
        <v>2173</v>
      </c>
      <c r="K2688" t="s">
        <v>2448</v>
      </c>
    </row>
    <row r="2689" spans="1:23">
      <c r="A2689">
        <v>29</v>
      </c>
      <c r="B2689">
        <v>7</v>
      </c>
      <c r="C2689">
        <v>2018</v>
      </c>
      <c r="D2689" s="3" t="str">
        <f>B2689&amp;"/"&amp;A2689&amp;"/"&amp;C2689</f>
        <v>7/29/2018</v>
      </c>
      <c r="E2689" t="s">
        <v>42</v>
      </c>
      <c r="F2689" t="str">
        <f>I2689&amp;" "&amp;J2689&amp;" "&amp;K2689&amp;" "&amp;L2689&amp;" "&amp;M2689&amp;" "&amp;N2689</f>
        <v>St. Paul's Ft Mill  </v>
      </c>
      <c r="G2689" t="s">
        <f>TEXT(D2689,"mmm dd")</f>
        <v>705</v>
      </c>
      <c r="I2689" t="s">
        <v>218</v>
      </c>
      <c r="J2689" t="s">
        <v>2471</v>
      </c>
      <c r="K2689" t="inlineStr">
        <is>
          <t>Ft</t>
        </is>
      </c>
      <c r="L2689" t="s">
        <v>2705</v>
      </c>
    </row>
    <row r="2690" spans="1:23">
      <c r="A2690">
        <v>30</v>
      </c>
      <c r="B2690">
        <v>7</v>
      </c>
      <c r="C2690">
        <v>2018</v>
      </c>
      <c r="D2690" s="3" t="str">
        <f>B2690&amp;"/"&amp;A2690&amp;"/"&amp;C2690</f>
        <v>7/30/2018</v>
      </c>
      <c r="E2690" t="s">
        <v>42</v>
      </c>
      <c r="F2690" t="s">
        <f>I2690&amp;" "&amp;J2690&amp;" "&amp;K2690&amp;" "&amp;L2690&amp;" "&amp;M2690&amp;" "&amp;N2690</f>
        <v>2661</v>
      </c>
      <c r="G2690" t="s">
        <f>TEXT(D2690,"mmm dd")</f>
        <v>709</v>
      </c>
      <c r="I2690" t="s">
        <v>2527</v>
      </c>
      <c r="J2690" t="s">
        <v>2641</v>
      </c>
      <c r="K2690" t="s">
        <v>2642</v>
      </c>
    </row>
    <row r="2691" spans="1:23">
      <c r="A2691">
        <v>31</v>
      </c>
      <c r="B2691">
        <v>7</v>
      </c>
      <c r="C2691">
        <v>2018</v>
      </c>
      <c r="D2691" s="3" t="str">
        <f>B2691&amp;"/"&amp;A2691&amp;"/"&amp;C2691</f>
        <v>7/31/2018</v>
      </c>
      <c r="E2691">
        <v>1</v>
      </c>
      <c r="F2691" t="s">
        <f>I2691&amp;" "&amp;J2691&amp;" "&amp;K2691&amp;" "&amp;L2691&amp;" "&amp;M2691&amp;" "&amp;N2691</f>
        <v>2685</v>
      </c>
      <c r="G2691" t="s">
        <f>TEXT(D2691,"mmm dd")</f>
        <v>714</v>
      </c>
      <c r="I2691" t="s">
        <v>2676</v>
      </c>
      <c r="J2691" t="s">
        <v>73</v>
      </c>
      <c r="K2691" t="s">
        <v>2675</v>
      </c>
    </row>
    <row r="2692" spans="1:23">
      <c r="A2692">
        <v>1</v>
      </c>
      <c r="B2692">
        <v>8</v>
      </c>
      <c r="C2692">
        <v>2018</v>
      </c>
      <c r="D2692" s="3" t="s">
        <f>B2692&amp;"/"&amp;A2692&amp;"/"&amp;C2692</f>
        <v>2706</v>
      </c>
      <c r="E2692">
        <v>0.91666666666666663</v>
      </c>
      <c r="F2692" t="s">
        <f>I2692&amp;" "&amp;J2692&amp;" "&amp;K2692&amp;" "&amp;L2692&amp;" "&amp;M2692&amp;" "&amp;N2692</f>
        <v>2707</v>
      </c>
      <c r="G2692" t="s">
        <f>TEXT(D2692,"mmm dd")</f>
        <v>1357</v>
      </c>
      <c r="I2692" t="s">
        <v>1910</v>
      </c>
      <c r="J2692" t="s">
        <v>1911</v>
      </c>
    </row>
    <row r="2693" spans="1:23">
      <c r="A2693">
        <v>1</v>
      </c>
      <c r="B2693">
        <v>8</v>
      </c>
      <c r="C2693">
        <v>2018</v>
      </c>
      <c r="D2693" s="3" t="s">
        <f>B2693&amp;"/"&amp;A2693&amp;"/"&amp;C2693</f>
        <v>2706</v>
      </c>
      <c r="E2693">
        <v>0.90277777777777779</v>
      </c>
      <c r="F2693" t="s">
        <f>I2693&amp;" "&amp;J2693&amp;" "&amp;K2693&amp;" "&amp;L2693&amp;" "&amp;M2693&amp;" "&amp;N2693</f>
        <v>2707</v>
      </c>
      <c r="G2693" t="s">
        <f>TEXT(D2693,"mmm dd")</f>
        <v>1357</v>
      </c>
      <c r="I2693" t="s">
        <v>1910</v>
      </c>
      <c r="J2693" t="s">
        <v>1911</v>
      </c>
    </row>
    <row r="2694" spans="1:23">
      <c r="A2694">
        <v>2</v>
      </c>
      <c r="B2694">
        <v>8</v>
      </c>
      <c r="C2694">
        <v>2018</v>
      </c>
      <c r="D2694" s="3" t="str">
        <f>B2694&amp;"/"&amp;A2694&amp;"/"&amp;C2694</f>
        <v>8/2/2018</v>
      </c>
      <c r="E2694">
        <v>0.625</v>
      </c>
      <c r="F2694" t="str">
        <f>I2694&amp;" "&amp;J2694&amp;" "&amp;K2694&amp;" "&amp;L2694&amp;" "&amp;M2694&amp;" "&amp;N2694</f>
        <v>Yonce   KIA  </v>
      </c>
      <c r="G2694" t="s">
        <f>TEXT(D2694,"mmm dd")</f>
        <v>724</v>
      </c>
      <c r="I2694" t="s">
        <v>2605</v>
      </c>
      <c r="L2694" t="s">
        <v>2708</v>
      </c>
    </row>
    <row r="2695" spans="1:23">
      <c r="A2695">
        <v>3</v>
      </c>
      <c r="B2695">
        <v>8</v>
      </c>
      <c r="C2695">
        <v>2018</v>
      </c>
      <c r="D2695" s="3" t="str">
        <f>B2695&amp;"/"&amp;A2695&amp;"/"&amp;C2695</f>
        <v>8/3/2018</v>
      </c>
      <c r="E2695">
        <v>0.67708333333333337</v>
      </c>
      <c r="F2695" t="s">
        <f>I2695&amp;" "&amp;J2695&amp;" "&amp;K2695&amp;" "&amp;L2695&amp;" "&amp;M2695&amp;" "&amp;N2695</f>
        <v>2596</v>
      </c>
      <c r="G2695" t="s">
        <f>TEXT(D2695,"mmm dd")</f>
        <v>2019</v>
      </c>
      <c r="I2695" t="s">
        <v>2597</v>
      </c>
      <c r="J2695" t="s">
        <v>990</v>
      </c>
      <c r="K2695" t="s">
        <v>767</v>
      </c>
    </row>
    <row r="2696" spans="1:23">
      <c r="A2696">
        <v>5</v>
      </c>
      <c r="B2696">
        <v>8</v>
      </c>
      <c r="C2696">
        <v>2018</v>
      </c>
      <c r="D2696" s="3" t="str">
        <f>B2696&amp;"/"&amp;A2696&amp;"/"&amp;C2696</f>
        <v>8/5/2018</v>
      </c>
      <c r="E2696" t="s">
        <v>42</v>
      </c>
      <c r="F2696" t="str">
        <f>I2696&amp;" "&amp;J2696&amp;" "&amp;K2696&amp;" "&amp;L2696&amp;" "&amp;M2696&amp;" "&amp;N2696</f>
        <v>St. Paul's Ft. Mill  </v>
      </c>
      <c r="G2696" t="s">
        <f>TEXT(D2696,"mmm dd")</f>
        <v>1361</v>
      </c>
      <c r="I2696" t="s">
        <v>218</v>
      </c>
      <c r="J2696" t="s">
        <v>2471</v>
      </c>
      <c r="K2696" t="s">
        <v>2709</v>
      </c>
      <c r="L2696" t="s">
        <v>2705</v>
      </c>
    </row>
    <row r="2697" spans="1:23">
      <c r="A2697">
        <v>10</v>
      </c>
      <c r="B2697">
        <v>8</v>
      </c>
      <c r="C2697">
        <v>2018</v>
      </c>
      <c r="D2697" s="3" t="str">
        <f>B2697&amp;"/"&amp;A2697&amp;"/"&amp;C2697</f>
        <v>8/10/2018</v>
      </c>
      <c r="E2697">
        <v>0.69444444444444442</v>
      </c>
      <c r="F2697" t="s">
        <f>I2697&amp;" "&amp;J2697&amp;" "&amp;K2697&amp;" "&amp;L2697&amp;" "&amp;M2697&amp;" "&amp;N2697</f>
        <v>2606</v>
      </c>
      <c r="G2697" t="s">
        <f>TEXT(D2697,"mmm dd")</f>
        <v>734</v>
      </c>
      <c r="I2697" t="s">
        <v>1791</v>
      </c>
      <c r="J2697" t="s">
        <v>2594</v>
      </c>
    </row>
    <row r="2698" spans="1:23">
      <c r="A2698">
        <v>13</v>
      </c>
      <c r="B2698">
        <v>8</v>
      </c>
      <c r="C2698">
        <v>2018</v>
      </c>
      <c r="D2698" s="3" t="str">
        <f>B2698&amp;"/"&amp;A2698&amp;"/"&amp;C2698</f>
        <v>8/13/2018</v>
      </c>
      <c r="E2698">
        <v>0.70833333333333337</v>
      </c>
      <c r="F2698" t="str">
        <f>I2698&amp;" "&amp;J2698&amp;" "&amp;K2698&amp;" "&amp;L2698&amp;" "&amp;M2698&amp;" "&amp;N2698</f>
        <v>Publix     </v>
      </c>
      <c r="G2698" t="s">
        <f>TEXT(D2698,"mmm dd")</f>
        <v>754</v>
      </c>
      <c r="I2698" t="s">
        <v>2506</v>
      </c>
    </row>
    <row r="2699" spans="1:23">
      <c r="A2699">
        <v>15</v>
      </c>
      <c r="B2699">
        <v>8</v>
      </c>
      <c r="C2699">
        <v>2018</v>
      </c>
      <c r="D2699" s="3" t="s">
        <f>B2699&amp;"/"&amp;A2699&amp;"/"&amp;C2699</f>
        <v>2710</v>
      </c>
      <c r="E2699">
        <v>0.72916666666666663</v>
      </c>
      <c r="F2699" t="str">
        <f>I2699&amp;" "&amp;J2699&amp;" "&amp;K2699&amp;" "&amp;L2699&amp;" "&amp;M2699&amp;" "&amp;N2699</f>
        <v>Our Savior Supply   </v>
      </c>
      <c r="G2699" t="s">
        <f>TEXT(D2699,"mmm dd")</f>
        <v>776</v>
      </c>
      <c r="I2699" t="s">
        <v>2119</v>
      </c>
      <c r="J2699" t="s">
        <v>2469</v>
      </c>
      <c r="K2699" t="s">
        <v>2468</v>
      </c>
      <c r="O2699" t="s">
        <v>2407</v>
      </c>
      <c r="R2699" t="s">
        <v>2711</v>
      </c>
      <c r="S2699" t="s">
        <v>2407</v>
      </c>
      <c r="T2699" t="inlineStr">
        <is>
          <t>T.</t>
        </is>
      </c>
      <c r="U2699" t="inlineStr">
        <is>
          <t>Bowman's</t>
        </is>
      </c>
      <c r="V2699" t="s">
        <v>2712</v>
      </c>
      <c r="W2699" t="s">
        <v>898</v>
      </c>
    </row>
    <row r="2700" spans="1:23">
      <c r="A2700">
        <v>15</v>
      </c>
      <c r="B2700">
        <v>8</v>
      </c>
      <c r="C2700">
        <v>2018</v>
      </c>
      <c r="D2700" s="3" t="s">
        <f>B2700&amp;"/"&amp;A2700&amp;"/"&amp;C2700</f>
        <v>2710</v>
      </c>
      <c r="E2700">
        <v>0.125</v>
      </c>
      <c r="F2700" t="s">
        <f>I2700&amp;" "&amp;J2700&amp;" "&amp;K2700&amp;" "&amp;L2700&amp;" "&amp;M2700&amp;" "&amp;N2700</f>
        <v>2704</v>
      </c>
      <c r="G2700" t="s">
        <f>TEXT(D2700,"mmm dd")</f>
        <v>776</v>
      </c>
      <c r="I2700" t="s">
        <v>2377</v>
      </c>
      <c r="J2700" t="s">
        <v>2320</v>
      </c>
    </row>
    <row r="2701" spans="1:23">
      <c r="A2701">
        <v>17</v>
      </c>
      <c r="B2701">
        <v>8</v>
      </c>
      <c r="C2701">
        <v>2018</v>
      </c>
      <c r="D2701" s="3" t="str">
        <f>B2701&amp;"/"&amp;A2701&amp;"/"&amp;C2701</f>
        <v>8/17/2018</v>
      </c>
      <c r="E2701">
        <v>0.6875</v>
      </c>
      <c r="F2701" t="str">
        <f>I2701&amp;" "&amp;J2701&amp;" "&amp;K2701&amp;" "&amp;L2701&amp;" "&amp;M2701&amp;" "&amp;N2701</f>
        <v>Dr. Ronald E. Warwar\  MD</v>
      </c>
      <c r="G2701" t="s">
        <f>TEXT(D2701,"mmm dd")</f>
        <v>793</v>
      </c>
      <c r="I2701" t="s">
        <v>847</v>
      </c>
      <c r="J2701" t="inlineStr">
        <is>
          <t>Ronald</t>
        </is>
      </c>
      <c r="K2701" t="inlineStr">
        <is>
          <t>E.</t>
        </is>
      </c>
      <c r="L2701" t="inlineStr">
        <is>
          <t>Warwar\</t>
        </is>
      </c>
      <c r="N2701" t="s">
        <v>2713</v>
      </c>
    </row>
    <row r="2702" spans="1:23">
      <c r="A2702">
        <v>20</v>
      </c>
      <c r="B2702">
        <v>8</v>
      </c>
      <c r="C2702">
        <v>2018</v>
      </c>
      <c r="D2702" s="3" t="s">
        <f>B2702&amp;"/"&amp;A2702&amp;"/"&amp;C2702</f>
        <v>2714</v>
      </c>
      <c r="E2702" t="s">
        <v>42</v>
      </c>
      <c r="F2702" t="s">
        <f>I2702&amp;" "&amp;J2702&amp;" "&amp;K2702&amp;" "&amp;L2702&amp;" "&amp;M2702&amp;" "&amp;N2702</f>
        <v>2658</v>
      </c>
      <c r="G2702" t="s">
        <f>TEXT(D2702,"mmm dd")</f>
        <v>812</v>
      </c>
      <c r="I2702" t="s">
        <v>2659</v>
      </c>
      <c r="J2702" t="s">
        <v>2052</v>
      </c>
    </row>
    <row r="2703" spans="1:23">
      <c r="A2703">
        <v>20</v>
      </c>
      <c r="B2703">
        <v>8</v>
      </c>
      <c r="C2703">
        <v>2018</v>
      </c>
      <c r="D2703" s="3" t="s">
        <f>B2703&amp;"/"&amp;A2703&amp;"/"&amp;C2703</f>
        <v>2714</v>
      </c>
      <c r="E2703">
        <v>0.125</v>
      </c>
      <c r="F2703" t="s">
        <f>I2703&amp;" "&amp;J2703&amp;" "&amp;K2703&amp;" "&amp;L2703&amp;" "&amp;M2703&amp;" "&amp;N2703</f>
        <v>2704</v>
      </c>
      <c r="G2703" t="s">
        <f>TEXT(D2703,"mmm dd")</f>
        <v>812</v>
      </c>
      <c r="I2703" t="s">
        <v>2377</v>
      </c>
      <c r="J2703" t="s">
        <v>2320</v>
      </c>
    </row>
    <row r="2704" spans="1:23">
      <c r="A2704">
        <v>21</v>
      </c>
      <c r="B2704">
        <v>8</v>
      </c>
      <c r="C2704">
        <v>2018</v>
      </c>
      <c r="D2704" s="3" t="str">
        <f>B2704&amp;"/"&amp;A2704&amp;"/"&amp;C2704</f>
        <v>8/21/2018</v>
      </c>
      <c r="E2704">
        <v>0.72916666666666663</v>
      </c>
      <c r="F2704" t="str">
        <f>I2704&amp;" "&amp;J2704&amp;" "&amp;K2704&amp;" "&amp;L2704&amp;" "&amp;M2704&amp;" "&amp;N2704</f>
        <v>Palmetto Dermatology    </v>
      </c>
      <c r="G2704" t="s">
        <f>TEXT(D2704,"mmm dd")</f>
        <v>818</v>
      </c>
      <c r="I2704" t="s">
        <v>2715</v>
      </c>
      <c r="J2704" t="s">
        <v>2716</v>
      </c>
      <c r="O2704" t="inlineStr">
        <is>
          <t>timeshare</t>
        </is>
      </c>
      <c r="P2704" t="inlineStr">
        <is>
          <t>bill</t>
        </is>
      </c>
    </row>
    <row r="2705" spans="1:23">
      <c r="A2705">
        <v>22</v>
      </c>
      <c r="B2705">
        <v>8</v>
      </c>
      <c r="C2705">
        <v>2018</v>
      </c>
      <c r="D2705" s="3" t="s">
        <f>B2705&amp;"/"&amp;A2705&amp;"/"&amp;C2705</f>
        <v>2717</v>
      </c>
      <c r="E2705">
        <v>0.70833333333333337</v>
      </c>
      <c r="F2705" t="str">
        <f>I2705&amp;" "&amp;J2705&amp;" "&amp;K2705&amp;" "&amp;L2705&amp;" "&amp;M2705&amp;" "&amp;N2705</f>
        <v>Relg 101 2   </v>
      </c>
      <c r="G2705" t="s">
        <f>TEXT(D2705,"mmm dd")</f>
        <v>824</v>
      </c>
      <c r="I2705" t="s">
        <v>2450</v>
      </c>
      <c r="J2705">
        <v>101</v>
      </c>
      <c r="K2705">
        <v>2</v>
      </c>
    </row>
    <row r="2706" spans="1:23">
      <c r="A2706">
        <v>22</v>
      </c>
      <c r="B2706">
        <v>8</v>
      </c>
      <c r="C2706">
        <v>2018</v>
      </c>
      <c r="D2706" s="3" t="s">
        <f>B2706&amp;"/"&amp;A2706&amp;"/"&amp;C2706</f>
        <v>2717</v>
      </c>
      <c r="E2706">
        <v>0.52083333333333337</v>
      </c>
      <c r="F2706" t="str">
        <f>I2706&amp;" "&amp;J2706&amp;" "&amp;K2706&amp;" "&amp;L2706&amp;" "&amp;M2706&amp;" "&amp;N2706</f>
        <v>Relg 101 1   </v>
      </c>
      <c r="G2706" t="s">
        <f>TEXT(D2706,"mmm dd")</f>
        <v>824</v>
      </c>
      <c r="I2706" t="s">
        <v>2450</v>
      </c>
      <c r="J2706">
        <v>101</v>
      </c>
      <c r="K2706">
        <v>1</v>
      </c>
    </row>
    <row r="2707" spans="1:23">
      <c r="A2707">
        <v>24</v>
      </c>
      <c r="B2707">
        <v>8</v>
      </c>
      <c r="C2707">
        <v>2018</v>
      </c>
      <c r="D2707" s="3" t="s">
        <f>B2707&amp;"/"&amp;A2707&amp;"/"&amp;C2707</f>
        <v>2718</v>
      </c>
      <c r="E2707">
        <v>0.8125</v>
      </c>
      <c r="F2707" t="s">
        <f>I2707&amp;" "&amp;J2707&amp;" "&amp;K2707&amp;" "&amp;L2707&amp;" "&amp;M2707&amp;" "&amp;N2707</f>
        <v>2609</v>
      </c>
      <c r="G2707" t="s">
        <f>TEXT(D2707,"mmm dd")</f>
        <v>1372</v>
      </c>
      <c r="I2707" t="s">
        <v>2352</v>
      </c>
      <c r="J2707" t="s">
        <v>2610</v>
      </c>
      <c r="K2707" t="s">
        <v>842</v>
      </c>
    </row>
    <row r="2708" spans="1:23">
      <c r="A2708">
        <v>24</v>
      </c>
      <c r="B2708">
        <v>8</v>
      </c>
      <c r="C2708">
        <v>2018</v>
      </c>
      <c r="D2708" s="3" t="s">
        <f>B2708&amp;"/"&amp;A2708&amp;"/"&amp;C2708</f>
        <v>2718</v>
      </c>
      <c r="E2708">
        <v>0.79166666666666663</v>
      </c>
      <c r="F2708" t="s">
        <f>I2708&amp;" "&amp;J2708&amp;" "&amp;K2708&amp;" "&amp;L2708&amp;" "&amp;M2708&amp;" "&amp;N2708</f>
        <v>2704</v>
      </c>
      <c r="G2708" t="s">
        <f>TEXT(D2708,"mmm dd")</f>
        <v>1372</v>
      </c>
      <c r="I2708" t="s">
        <v>2377</v>
      </c>
      <c r="J2708" t="s">
        <v>2320</v>
      </c>
    </row>
    <row r="2709" spans="1:23">
      <c r="A2709">
        <v>29</v>
      </c>
      <c r="B2709">
        <v>8</v>
      </c>
      <c r="C2709">
        <v>2018</v>
      </c>
      <c r="D2709" s="3" t="s">
        <f>B2709&amp;"/"&amp;A2709&amp;"/"&amp;C2709</f>
        <v>2719</v>
      </c>
      <c r="E2709">
        <v>1</v>
      </c>
      <c r="F2709" t="s">
        <f>I2709&amp;" "&amp;J2709&amp;" "&amp;K2709&amp;" "&amp;L2709&amp;" "&amp;M2709&amp;" "&amp;N2709</f>
        <v>2685</v>
      </c>
      <c r="G2709" t="s">
        <f>TEXT(D2709,"mmm dd")</f>
        <v>841</v>
      </c>
      <c r="I2709" t="s">
        <v>2676</v>
      </c>
      <c r="J2709" t="s">
        <v>73</v>
      </c>
      <c r="K2709" t="s">
        <v>2675</v>
      </c>
    </row>
    <row r="2710" spans="1:23">
      <c r="A2710">
        <v>29</v>
      </c>
      <c r="B2710">
        <v>8</v>
      </c>
      <c r="C2710">
        <v>2018</v>
      </c>
      <c r="D2710" s="3" t="s">
        <f>B2710&amp;"/"&amp;A2710&amp;"/"&amp;C2710</f>
        <v>2719</v>
      </c>
      <c r="E2710">
        <v>0.20833333333333334</v>
      </c>
      <c r="F2710" t="s">
        <f>I2710&amp;" "&amp;J2710&amp;" "&amp;K2710&amp;" "&amp;L2710&amp;" "&amp;M2710&amp;" "&amp;N2710</f>
        <v>2690</v>
      </c>
      <c r="G2710" t="s">
        <f>TEXT(D2710,"mmm dd")</f>
        <v>841</v>
      </c>
      <c r="I2710" t="s">
        <v>2223</v>
      </c>
      <c r="J2710" t="s">
        <v>2320</v>
      </c>
    </row>
    <row r="2711" spans="1:23">
      <c r="A2711">
        <v>2</v>
      </c>
      <c r="B2711">
        <v>9</v>
      </c>
      <c r="C2711">
        <v>2018</v>
      </c>
      <c r="D2711" s="3" t="s">
        <f>B2711&amp;"/"&amp;A2711&amp;"/"&amp;C2711</f>
        <v>2720</v>
      </c>
      <c r="E2711">
        <v>0.70833333333333337</v>
      </c>
      <c r="F2711" t="str">
        <f>I2711&amp;" "&amp;J2711&amp;" "&amp;K2711&amp;" "&amp;L2711&amp;" "&amp;M2711&amp;" "&amp;N2711</f>
        <v>Sue Parker preaching   </v>
      </c>
      <c r="G2711" t="s">
        <f>TEXT(D2711,"mmm dd")</f>
        <v>1376</v>
      </c>
      <c r="I2711" t="s">
        <v>2173</v>
      </c>
      <c r="J2711" t="s">
        <v>2448</v>
      </c>
      <c r="K2711" t="inlineStr">
        <is>
          <t>preaching</t>
        </is>
      </c>
    </row>
    <row r="2712" spans="1:23">
      <c r="A2712">
        <v>2</v>
      </c>
      <c r="B2712">
        <v>9</v>
      </c>
      <c r="C2712">
        <v>2018</v>
      </c>
      <c r="D2712" s="3" t="s">
        <f>B2712&amp;"/"&amp;A2712&amp;"/"&amp;C2712</f>
        <v>2720</v>
      </c>
      <c r="E2712" t="s">
        <v>42</v>
      </c>
      <c r="F2712" t="str">
        <f>I2712&amp;" "&amp;J2712&amp;" "&amp;K2712&amp;" "&amp;L2712&amp;" "&amp;M2712&amp;" "&amp;N2712</f>
        <v>Supply Grace Camden   </v>
      </c>
      <c r="G2712" t="s">
        <f>TEXT(D2712,"mmm dd")</f>
        <v>1376</v>
      </c>
      <c r="I2712" t="s">
        <v>2468</v>
      </c>
      <c r="J2712" t="s">
        <v>2675</v>
      </c>
      <c r="K2712" t="s">
        <v>2694</v>
      </c>
    </row>
    <row r="2713" spans="1:23">
      <c r="A2713">
        <v>2</v>
      </c>
      <c r="B2713">
        <v>9</v>
      </c>
      <c r="C2713">
        <v>2018</v>
      </c>
      <c r="D2713" s="3" t="s">
        <f>B2713&amp;"/"&amp;A2713&amp;"/"&amp;C2713</f>
        <v>2720</v>
      </c>
      <c r="E2713" t="s">
        <v>42</v>
      </c>
      <c r="F2713" t="str">
        <f>I2713&amp;" "&amp;J2713&amp;" "&amp;K2713&amp;" "&amp;L2713&amp;" "&amp;M2713&amp;" "&amp;N2713</f>
        <v>Picnic at Judge's   </v>
      </c>
      <c r="G2713" t="s">
        <f>TEXT(D2713,"mmm dd")</f>
        <v>1376</v>
      </c>
      <c r="I2713" t="s">
        <v>2721</v>
      </c>
      <c r="J2713" t="s">
        <v>53</v>
      </c>
      <c r="K2713" t="s">
        <v>2722</v>
      </c>
    </row>
    <row r="2714" spans="1:23">
      <c r="A2714">
        <v>2</v>
      </c>
      <c r="B2714">
        <v>9</v>
      </c>
      <c r="C2714">
        <v>2018</v>
      </c>
      <c r="D2714" s="3" t="s">
        <f>B2714&amp;"/"&amp;A2714&amp;"/"&amp;C2714</f>
        <v>2720</v>
      </c>
      <c r="E2714">
        <v>0.95833333333333337</v>
      </c>
      <c r="F2714" t="str">
        <f>I2714&amp;" "&amp;J2714&amp;" "&amp;K2714&amp;" "&amp;L2714&amp;" "&amp;M2714&amp;" "&amp;N2714</f>
        <v>Picnic @ Judge's   </v>
      </c>
      <c r="G2714" t="s">
        <f>TEXT(D2714,"mmm dd")</f>
        <v>1376</v>
      </c>
      <c r="I2714" t="s">
        <v>2721</v>
      </c>
      <c r="J2714" t="s">
        <v>48</v>
      </c>
      <c r="K2714" t="s">
        <v>2722</v>
      </c>
    </row>
    <row r="2715" spans="1:23">
      <c r="A2715">
        <v>3</v>
      </c>
      <c r="B2715">
        <v>9</v>
      </c>
      <c r="C2715">
        <v>2018</v>
      </c>
      <c r="D2715" s="3" t="str">
        <f>B2715&amp;"/"&amp;A2715&amp;"/"&amp;C2715</f>
        <v>9/3/2018</v>
      </c>
      <c r="E2715">
        <v>0.125</v>
      </c>
      <c r="F2715" t="s">
        <f>I2715&amp;" "&amp;J2715&amp;" "&amp;K2715&amp;" "&amp;L2715&amp;" "&amp;M2715&amp;" "&amp;N2715</f>
        <v>2704</v>
      </c>
      <c r="G2715" t="s">
        <f>TEXT(D2715,"mmm dd")</f>
        <v>850</v>
      </c>
      <c r="I2715" t="s">
        <v>2377</v>
      </c>
      <c r="J2715" t="s">
        <v>2320</v>
      </c>
    </row>
    <row r="2716" spans="1:23">
      <c r="A2716">
        <v>4</v>
      </c>
      <c r="B2716">
        <v>9</v>
      </c>
      <c r="C2716">
        <v>2018</v>
      </c>
      <c r="D2716" s="3" t="str">
        <f>B2716&amp;"/"&amp;A2716&amp;"/"&amp;C2716</f>
        <v>9/4/2018</v>
      </c>
      <c r="E2716">
        <v>1.0208333333333333</v>
      </c>
      <c r="F2716" t="str">
        <f>I2716&amp;" "&amp;J2716&amp;" "&amp;K2716&amp;" "&amp;L2716&amp;" "&amp;M2716&amp;" "&amp;N2716</f>
        <v>Pierson &amp; Grace (Resch)  </v>
      </c>
      <c r="G2716" t="s">
        <f>TEXT(D2716,"mmm dd")</f>
        <v>1766</v>
      </c>
      <c r="I2716" t="s">
        <v>2676</v>
      </c>
      <c r="J2716" t="s">
        <v>73</v>
      </c>
      <c r="K2716" t="s">
        <v>2675</v>
      </c>
      <c r="L2716" t="inlineStr">
        <is>
          <t>(Resch)</t>
        </is>
      </c>
    </row>
    <row r="2717" spans="1:23">
      <c r="A2717">
        <v>5</v>
      </c>
      <c r="B2717">
        <v>9</v>
      </c>
      <c r="C2717">
        <v>2018</v>
      </c>
      <c r="D2717" s="3" t="str">
        <f>B2717&amp;"/"&amp;A2717&amp;"/"&amp;C2717</f>
        <v>9/5/2018</v>
      </c>
      <c r="E2717">
        <v>0.625</v>
      </c>
      <c r="F2717" t="str">
        <f>I2717&amp;" "&amp;J2717&amp;" "&amp;K2717&amp;" "&amp;L2717&amp;" "&amp;M2717&amp;" "&amp;N2717</f>
        <v>Craig remove deck   </v>
      </c>
      <c r="G2717" t="s">
        <f>TEXT(D2717,"mmm dd")</f>
        <v>1378</v>
      </c>
      <c r="I2717" t="inlineStr">
        <is>
          <t>Craig</t>
        </is>
      </c>
      <c r="J2717" t="inlineStr">
        <is>
          <t>remove</t>
        </is>
      </c>
      <c r="K2717" t="inlineStr">
        <is>
          <t>deck</t>
        </is>
      </c>
    </row>
    <row r="2718" spans="1:23">
      <c r="A2718">
        <v>7</v>
      </c>
      <c r="B2718">
        <v>9</v>
      </c>
      <c r="C2718">
        <v>2018</v>
      </c>
      <c r="D2718" s="3" t="str">
        <f>B2718&amp;"/"&amp;A2718&amp;"/"&amp;C2718</f>
        <v>9/7/2018</v>
      </c>
      <c r="E2718">
        <v>1</v>
      </c>
      <c r="F2718" t="s">
        <f>I2718&amp;" "&amp;J2718&amp;" "&amp;K2718&amp;" "&amp;L2718&amp;" "&amp;M2718&amp;" "&amp;N2718</f>
        <v>2704</v>
      </c>
      <c r="G2718" t="s">
        <f>TEXT(D2718,"mmm dd")</f>
        <v>1381</v>
      </c>
      <c r="I2718" t="s">
        <v>2377</v>
      </c>
      <c r="J2718" t="s">
        <v>2320</v>
      </c>
    </row>
    <row r="2719" spans="1:23">
      <c r="A2719">
        <v>12</v>
      </c>
      <c r="B2719">
        <v>9</v>
      </c>
      <c r="C2719">
        <v>2018</v>
      </c>
      <c r="D2719" s="3" t="str">
        <f>B2719&amp;"/"&amp;A2719&amp;"/"&amp;C2719</f>
        <v>9/12/2018</v>
      </c>
      <c r="E2719">
        <v>0.29166666666666669</v>
      </c>
      <c r="F2719" t="s">
        <f>I2719&amp;" "&amp;J2719&amp;" "&amp;K2719&amp;" "&amp;L2719&amp;" "&amp;M2719&amp;" "&amp;N2719</f>
        <v>2704</v>
      </c>
      <c r="G2719" t="s">
        <f>TEXT(D2719,"mmm dd")</f>
        <v>1386</v>
      </c>
      <c r="I2719" t="s">
        <v>2377</v>
      </c>
      <c r="J2719" t="s">
        <v>2320</v>
      </c>
    </row>
    <row r="2720" spans="1:23">
      <c r="A2720">
        <v>13</v>
      </c>
      <c r="B2720">
        <v>9</v>
      </c>
      <c r="C2720">
        <v>2018</v>
      </c>
      <c r="D2720" s="3" t="str">
        <f>B2720&amp;"/"&amp;A2720&amp;"/"&amp;C2720</f>
        <v>9/13/2018</v>
      </c>
      <c r="E2720">
        <v>0.8125</v>
      </c>
      <c r="F2720" t="str">
        <f>I2720&amp;" "&amp;J2720&amp;" "&amp;K2720&amp;" "&amp;L2720&amp;" "&amp;M2720&amp;" "&amp;N2720</f>
        <v>Relg dept meeting   </v>
      </c>
      <c r="G2720" t="s">
        <f>TEXT(D2720,"mmm dd")</f>
        <v>866</v>
      </c>
      <c r="I2720" t="s">
        <v>2450</v>
      </c>
      <c r="J2720" t="inlineStr">
        <is>
          <t>dept</t>
        </is>
      </c>
      <c r="K2720" t="s">
        <v>842</v>
      </c>
    </row>
    <row r="2721" spans="1:23">
      <c r="A2721">
        <v>14</v>
      </c>
      <c r="B2721">
        <v>9</v>
      </c>
      <c r="C2721">
        <v>2018</v>
      </c>
      <c r="D2721" s="3" t="str">
        <f>B2721&amp;"/"&amp;A2721&amp;"/"&amp;C2721</f>
        <v>9/14/2018</v>
      </c>
      <c r="E2721">
        <v>0.76041666666666663</v>
      </c>
      <c r="F2721" t="s">
        <f>I2721&amp;" "&amp;J2721&amp;" "&amp;K2721&amp;" "&amp;L2721&amp;" "&amp;M2721&amp;" "&amp;N2721</f>
        <v>2667</v>
      </c>
      <c r="G2721" t="s">
        <f>TEXT(D2721,"mmm dd")</f>
        <v>1390</v>
      </c>
      <c r="I2721" t="s">
        <v>1791</v>
      </c>
      <c r="J2721" t="s">
        <v>2537</v>
      </c>
    </row>
    <row r="2722" spans="1:23">
      <c r="A2722">
        <v>16</v>
      </c>
      <c r="B2722">
        <v>9</v>
      </c>
      <c r="C2722">
        <v>2018</v>
      </c>
      <c r="D2722" s="3" t="str">
        <f>B2722&amp;"/"&amp;A2722&amp;"/"&amp;C2722</f>
        <v>9/16/2018</v>
      </c>
      <c r="E2722" t="s">
        <v>42</v>
      </c>
      <c r="F2722" t="str">
        <f>I2722&amp;" "&amp;J2722&amp;" "&amp;K2722&amp;" "&amp;L2722&amp;" "&amp;M2722&amp;" "&amp;N2722</f>
        <v>Supply St. Christopher's Spartanburg  </v>
      </c>
      <c r="G2722" t="s">
        <f>TEXT(D2722,"mmm dd")</f>
        <v>870</v>
      </c>
      <c r="I2722" t="s">
        <v>2468</v>
      </c>
      <c r="J2722" t="s">
        <v>218</v>
      </c>
      <c r="K2722" t="inlineStr">
        <is>
          <t>Christopher's</t>
        </is>
      </c>
      <c r="L2722" t="s">
        <v>2699</v>
      </c>
    </row>
    <row r="2723" spans="1:23">
      <c r="A2723">
        <v>17</v>
      </c>
      <c r="B2723">
        <v>9</v>
      </c>
      <c r="C2723">
        <v>2018</v>
      </c>
      <c r="D2723" s="3" t="str">
        <f>B2723&amp;"/"&amp;A2723&amp;"/"&amp;C2723</f>
        <v>9/17/2018</v>
      </c>
      <c r="E2723">
        <v>0.25</v>
      </c>
      <c r="F2723" t="s">
        <f>I2723&amp;" "&amp;J2723&amp;" "&amp;K2723&amp;" "&amp;L2723&amp;" "&amp;M2723&amp;" "&amp;N2723</f>
        <v>2704</v>
      </c>
      <c r="G2723" t="s">
        <f>TEXT(D2723,"mmm dd")</f>
        <v>872</v>
      </c>
      <c r="I2723" t="s">
        <v>2377</v>
      </c>
      <c r="J2723" t="s">
        <v>2320</v>
      </c>
    </row>
    <row r="2724" spans="1:23">
      <c r="A2724">
        <v>21</v>
      </c>
      <c r="B2724">
        <v>9</v>
      </c>
      <c r="C2724">
        <v>2018</v>
      </c>
      <c r="D2724" s="3" t="str">
        <f>B2724&amp;"/"&amp;A2724&amp;"/"&amp;C2724</f>
        <v>9/21/2018</v>
      </c>
      <c r="E2724">
        <v>1.0833333333333333</v>
      </c>
      <c r="F2724" t="s">
        <f>I2724&amp;" "&amp;J2724&amp;" "&amp;K2724&amp;" "&amp;L2724&amp;" "&amp;M2724&amp;" "&amp;N2724</f>
        <v>2704</v>
      </c>
      <c r="G2724" t="s">
        <f>TEXT(D2724,"mmm dd")</f>
        <v>890</v>
      </c>
      <c r="I2724" t="s">
        <v>2377</v>
      </c>
      <c r="J2724" t="s">
        <v>2320</v>
      </c>
    </row>
    <row r="2725" spans="1:23">
      <c r="A2725">
        <v>23</v>
      </c>
      <c r="B2725">
        <v>9</v>
      </c>
      <c r="C2725">
        <v>2018</v>
      </c>
      <c r="D2725" s="3" t="str">
        <f>B2725&amp;"/"&amp;A2725&amp;"/"&amp;C2725</f>
        <v>9/23/2018</v>
      </c>
      <c r="E2725">
        <v>0.60416666666666663</v>
      </c>
      <c r="F2725" t="s">
        <f>I2725&amp;" "&amp;J2725&amp;" "&amp;K2725&amp;" "&amp;L2725&amp;" "&amp;M2725&amp;" "&amp;N2725</f>
        <v>2467</v>
      </c>
      <c r="G2725" t="s">
        <f>TEXT(D2725,"mmm dd")</f>
        <v>892</v>
      </c>
      <c r="I2725" t="s">
        <v>2468</v>
      </c>
      <c r="J2725" t="s">
        <v>53</v>
      </c>
      <c r="K2725" t="s">
        <v>2119</v>
      </c>
      <c r="L2725" t="s">
        <v>2469</v>
      </c>
    </row>
    <row r="2726" spans="1:23">
      <c r="A2726">
        <v>26</v>
      </c>
      <c r="B2726">
        <v>9</v>
      </c>
      <c r="C2726">
        <v>2018</v>
      </c>
      <c r="D2726" s="3" t="str">
        <f>B2726&amp;"/"&amp;A2726&amp;"/"&amp;C2726</f>
        <v>9/26/2018</v>
      </c>
      <c r="E2726">
        <v>0.9375</v>
      </c>
      <c r="F2726" t="s">
        <f>I2726&amp;" "&amp;J2726&amp;" "&amp;K2726&amp;" "&amp;L2726&amp;" "&amp;M2726&amp;" "&amp;N2726</f>
        <v>2690</v>
      </c>
      <c r="G2726" t="s">
        <f>TEXT(D2726,"mmm dd")</f>
        <v>895</v>
      </c>
      <c r="I2726" t="s">
        <v>2223</v>
      </c>
      <c r="J2726" t="s">
        <v>2320</v>
      </c>
    </row>
    <row r="2727" spans="1:23">
      <c r="A2727">
        <v>28</v>
      </c>
      <c r="B2727">
        <v>9</v>
      </c>
      <c r="C2727">
        <v>2018</v>
      </c>
      <c r="D2727" s="3" t="s">
        <f>B2727&amp;"/"&amp;A2727&amp;"/"&amp;C2727</f>
        <v>2723</v>
      </c>
      <c r="E2727">
        <v>1.0416666666666667</v>
      </c>
      <c r="F2727" t="str">
        <f>I2727&amp;" "&amp;J2727&amp;" "&amp;K2727&amp;" "&amp;L2727&amp;" "&amp;M2727&amp;" "&amp;N2727</f>
        <v>Dinner at Maria &amp; Lorenzo’s </v>
      </c>
      <c r="G2727" t="s">
        <f>TEXT(D2727,"mmm dd")</f>
        <v>912</v>
      </c>
      <c r="I2727" t="s">
        <v>838</v>
      </c>
      <c r="J2727" t="s">
        <v>53</v>
      </c>
      <c r="K2727" t="s">
        <v>673</v>
      </c>
      <c r="L2727" t="s">
        <v>73</v>
      </c>
      <c r="M2727" t="inlineStr">
        <is>
          <t>Lorenzo’s</t>
        </is>
      </c>
    </row>
    <row r="2728" spans="1:23">
      <c r="A2728">
        <v>28</v>
      </c>
      <c r="B2728">
        <v>9</v>
      </c>
      <c r="C2728">
        <v>2018</v>
      </c>
      <c r="D2728" s="3" t="s">
        <f>B2728&amp;"/"&amp;A2728&amp;"/"&amp;C2728</f>
        <v>2723</v>
      </c>
      <c r="E2728">
        <v>0.66666666666666663</v>
      </c>
      <c r="F2728" t="str">
        <f>I2728&amp;" "&amp;J2728&amp;" "&amp;K2728&amp;" "&amp;L2728&amp;" "&amp;M2728&amp;" "&amp;N2728</f>
        <v>Car repair    </v>
      </c>
      <c r="G2728" t="s">
        <f>TEXT(D2728,"mmm dd")</f>
        <v>912</v>
      </c>
      <c r="I2728" t="s">
        <v>2724</v>
      </c>
      <c r="J2728" t="s">
        <v>2104</v>
      </c>
    </row>
    <row r="2729" spans="1:23">
      <c r="A2729">
        <v>30</v>
      </c>
      <c r="B2729">
        <v>9</v>
      </c>
      <c r="C2729">
        <v>2018</v>
      </c>
      <c r="D2729" s="3" t="str">
        <f>B2729&amp;"/"&amp;A2729&amp;"/"&amp;C2729</f>
        <v>9/30/2018</v>
      </c>
      <c r="E2729">
        <v>0.60416666666666663</v>
      </c>
      <c r="F2729" t="s">
        <f>I2729&amp;" "&amp;J2729&amp;" "&amp;K2729&amp;" "&amp;L2729&amp;" "&amp;M2729&amp;" "&amp;N2729</f>
        <v>2467</v>
      </c>
      <c r="G2729" t="s">
        <f>TEXT(D2729,"mmm dd")</f>
        <v>916</v>
      </c>
      <c r="I2729" t="s">
        <v>2468</v>
      </c>
      <c r="J2729" t="s">
        <v>53</v>
      </c>
      <c r="K2729" t="s">
        <v>2119</v>
      </c>
      <c r="L2729" t="s">
        <v>2469</v>
      </c>
    </row>
    <row r="2730" spans="1:23">
      <c r="A2730">
        <v>1</v>
      </c>
      <c r="B2730">
        <v>10</v>
      </c>
      <c r="C2730">
        <v>2018</v>
      </c>
      <c r="D2730" s="3" t="s">
        <f>B2730&amp;"/"&amp;A2730&amp;"/"&amp;C2730</f>
        <v>2725</v>
      </c>
      <c r="E2730">
        <v>0.66666666666666663</v>
      </c>
      <c r="F2730" t="s">
        <f>I2730&amp;" "&amp;J2730&amp;" "&amp;K2730&amp;" "&amp;L2730&amp;" "&amp;M2730&amp;" "&amp;N2730</f>
        <v>2704</v>
      </c>
      <c r="G2730" t="s">
        <f>TEXT(D2730,"mmm dd")</f>
        <v>2099</v>
      </c>
      <c r="I2730" t="s">
        <v>2377</v>
      </c>
      <c r="J2730" t="s">
        <v>2320</v>
      </c>
    </row>
    <row r="2731" spans="1:23">
      <c r="A2731">
        <v>1</v>
      </c>
      <c r="B2731">
        <v>10</v>
      </c>
      <c r="C2731">
        <v>2018</v>
      </c>
      <c r="D2731" s="3" t="s">
        <f>B2731&amp;"/"&amp;A2731&amp;"/"&amp;C2731</f>
        <v>2725</v>
      </c>
      <c r="E2731" t="s">
        <v>42</v>
      </c>
      <c r="F2731" t="s">
        <f>I2731&amp;" "&amp;J2731&amp;" "&amp;K2731&amp;" "&amp;L2731&amp;" "&amp;M2731&amp;" "&amp;N2731</f>
        <v>2635</v>
      </c>
      <c r="G2731" t="s">
        <f>TEXT(D2731,"mmm dd")</f>
        <v>2099</v>
      </c>
      <c r="I2731" t="s">
        <v>917</v>
      </c>
      <c r="J2731" t="s">
        <v>2636</v>
      </c>
      <c r="K2731" t="s">
        <v>319</v>
      </c>
    </row>
    <row r="2732" spans="1:23">
      <c r="A2732">
        <v>5</v>
      </c>
      <c r="B2732">
        <v>10</v>
      </c>
      <c r="C2732">
        <v>2018</v>
      </c>
      <c r="D2732" s="3" t="str">
        <f>B2732&amp;"/"&amp;A2732&amp;"/"&amp;C2732</f>
        <v>10/5/2018</v>
      </c>
      <c r="E2732">
        <v>1.0833333333333333</v>
      </c>
      <c r="F2732" t="s">
        <f>I2732&amp;" "&amp;J2732&amp;" "&amp;K2732&amp;" "&amp;L2732&amp;" "&amp;M2732&amp;" "&amp;N2732</f>
        <v>2704</v>
      </c>
      <c r="G2732" t="s">
        <f>TEXT(D2732,"mmm dd")</f>
        <v>1612</v>
      </c>
      <c r="I2732" t="s">
        <v>2377</v>
      </c>
      <c r="J2732" t="s">
        <v>2320</v>
      </c>
    </row>
    <row r="2733" spans="1:23">
      <c r="A2733">
        <v>7</v>
      </c>
      <c r="B2733">
        <v>10</v>
      </c>
      <c r="C2733">
        <v>2018</v>
      </c>
      <c r="D2733" s="3" t="str">
        <f>B2733&amp;"/"&amp;A2733&amp;"/"&amp;C2733</f>
        <v>10/7/2018</v>
      </c>
      <c r="E2733" t="s">
        <v>42</v>
      </c>
      <c r="F2733" t="str">
        <f>I2733&amp;" "&amp;J2733&amp;" "&amp;K2733&amp;" "&amp;L2733&amp;" "&amp;M2733&amp;" "&amp;N2733</f>
        <v>Our Savior no sermon  </v>
      </c>
      <c r="G2733" t="s">
        <f>TEXT(D2733,"mmm dd")</f>
        <v>1399</v>
      </c>
      <c r="I2733" t="s">
        <v>2119</v>
      </c>
      <c r="J2733" t="s">
        <v>2469</v>
      </c>
      <c r="K2733" t="inlineStr">
        <is>
          <t>no</t>
        </is>
      </c>
      <c r="L2733" t="inlineStr">
        <is>
          <t>sermon</t>
        </is>
      </c>
    </row>
    <row r="2734" spans="1:23">
      <c r="A2734">
        <v>9</v>
      </c>
      <c r="B2734">
        <v>10</v>
      </c>
      <c r="C2734">
        <v>2018</v>
      </c>
      <c r="D2734" s="3" t="str">
        <f>B2734&amp;"/"&amp;A2734&amp;"/"&amp;C2734</f>
        <v>10/9/2018</v>
      </c>
      <c r="E2734">
        <v>1.0208333333333333</v>
      </c>
      <c r="F2734" t="str">
        <f>I2734&amp;" "&amp;J2734&amp;" "&amp;K2734&amp;" "&amp;L2734&amp;" "&amp;M2734&amp;" "&amp;N2734</f>
        <v>Pierson &amp; Grace wedding resch </v>
      </c>
      <c r="G2734" t="s">
        <f>TEXT(D2734,"mmm dd")</f>
        <v>924</v>
      </c>
      <c r="I2734" t="s">
        <v>2676</v>
      </c>
      <c r="J2734" t="s">
        <v>73</v>
      </c>
      <c r="K2734" t="s">
        <v>2675</v>
      </c>
      <c r="L2734" t="s">
        <v>861</v>
      </c>
      <c r="M2734" t="inlineStr">
        <is>
          <t>resch</t>
        </is>
      </c>
    </row>
    <row r="2735" spans="1:23">
      <c r="A2735">
        <v>15</v>
      </c>
      <c r="B2735">
        <v>10</v>
      </c>
      <c r="C2735">
        <v>2018</v>
      </c>
      <c r="D2735" s="3" t="s">
        <f>B2735&amp;"/"&amp;A2735&amp;"/"&amp;C2735</f>
        <v>2726</v>
      </c>
      <c r="E2735">
        <v>0.24652777777777779</v>
      </c>
      <c r="F2735" t="s">
        <f>I2735&amp;" "&amp;J2735&amp;" "&amp;K2735&amp;" "&amp;L2735&amp;" "&amp;M2735&amp;" "&amp;N2735</f>
        <v>2704</v>
      </c>
      <c r="G2735" t="s">
        <f>TEXT(D2735,"mmm dd")</f>
        <v>942</v>
      </c>
      <c r="I2735" t="s">
        <v>2377</v>
      </c>
      <c r="J2735" t="s">
        <v>2320</v>
      </c>
    </row>
    <row r="2736" spans="1:23">
      <c r="A2736">
        <v>15</v>
      </c>
      <c r="B2736">
        <v>10</v>
      </c>
      <c r="C2736">
        <v>2018</v>
      </c>
      <c r="D2736" s="3" t="s">
        <f>B2736&amp;"/"&amp;A2736&amp;"/"&amp;C2736</f>
        <v>2726</v>
      </c>
      <c r="E2736">
        <v>1.0833333333333333</v>
      </c>
      <c r="F2736" t="str">
        <f>I2736&amp;" "&amp;J2736&amp;" "&amp;K2736&amp;" "&amp;L2736&amp;" "&amp;M2736&amp;" "&amp;N2736</f>
        <v>Oratory presentation    </v>
      </c>
      <c r="G2736" t="s">
        <f>TEXT(D2736,"mmm dd")</f>
        <v>942</v>
      </c>
      <c r="I2736" t="s">
        <v>128</v>
      </c>
      <c r="J2736" t="s">
        <v>1286</v>
      </c>
    </row>
    <row r="2737" spans="1:23">
      <c r="A2737">
        <v>19</v>
      </c>
      <c r="B2737">
        <v>10</v>
      </c>
      <c r="C2737">
        <v>2018</v>
      </c>
      <c r="D2737" s="3" t="str">
        <f>B2737&amp;"/"&amp;A2737&amp;"/"&amp;C2737</f>
        <v>10/19/2018</v>
      </c>
      <c r="E2737">
        <v>0.66666666666666663</v>
      </c>
      <c r="F2737" t="s">
        <f>I2737&amp;" "&amp;J2737&amp;" "&amp;K2737&amp;" "&amp;L2737&amp;" "&amp;M2737&amp;" "&amp;N2737</f>
        <v>2704</v>
      </c>
      <c r="G2737" t="s">
        <f>TEXT(D2737,"mmm dd")</f>
        <v>1626</v>
      </c>
      <c r="I2737" t="s">
        <v>2377</v>
      </c>
      <c r="J2737" t="s">
        <v>2320</v>
      </c>
    </row>
    <row r="2738" spans="1:23">
      <c r="A2738">
        <v>21</v>
      </c>
      <c r="B2738">
        <v>10</v>
      </c>
      <c r="C2738">
        <v>2018</v>
      </c>
      <c r="D2738" s="3" t="str">
        <f>B2738&amp;"/"&amp;A2738&amp;"/"&amp;C2738</f>
        <v>10/21/2018</v>
      </c>
      <c r="E2738" t="s">
        <v>42</v>
      </c>
      <c r="F2738" t="s">
        <f>I2738&amp;" "&amp;J2738&amp;" "&amp;K2738&amp;" "&amp;L2738&amp;" "&amp;M2738&amp;" "&amp;N2738</f>
        <v>2664</v>
      </c>
      <c r="G2738" t="s">
        <f>TEXT(D2738,"mmm dd")</f>
        <v>1629</v>
      </c>
      <c r="I2738" t="s">
        <v>2468</v>
      </c>
      <c r="J2738" t="s">
        <v>53</v>
      </c>
      <c r="K2738" t="s">
        <v>218</v>
      </c>
      <c r="L2738" t="s">
        <v>2560</v>
      </c>
    </row>
    <row r="2739" spans="1:23">
      <c r="A2739">
        <v>22</v>
      </c>
      <c r="B2739">
        <v>10</v>
      </c>
      <c r="C2739">
        <v>2018</v>
      </c>
      <c r="D2739" s="3" t="str">
        <f>B2739&amp;"/"&amp;A2739&amp;"/"&amp;C2739</f>
        <v>10/22/2018</v>
      </c>
      <c r="E2739">
        <v>1.0833333333333333</v>
      </c>
      <c r="F2739" t="str">
        <f>I2739&amp;" "&amp;J2739&amp;" "&amp;K2739&amp;" "&amp;L2739&amp;" "&amp;M2739&amp;" "&amp;N2739</f>
        <v>Oratory presentation Peter Judge  </v>
      </c>
      <c r="G2739" t="s">
        <f>TEXT(D2739,"mmm dd")</f>
        <v>1410</v>
      </c>
      <c r="I2739" t="s">
        <v>128</v>
      </c>
      <c r="J2739" t="s">
        <v>1286</v>
      </c>
      <c r="K2739" t="s">
        <v>604</v>
      </c>
      <c r="L2739" t="s">
        <v>2333</v>
      </c>
    </row>
    <row r="2740" spans="1:23">
      <c r="A2740">
        <v>23</v>
      </c>
      <c r="B2740">
        <v>10</v>
      </c>
      <c r="C2740">
        <v>2018</v>
      </c>
      <c r="D2740" s="3" t="s">
        <f>B2740&amp;"/"&amp;A2740&amp;"/"&amp;C2740</f>
        <v>2727</v>
      </c>
      <c r="E2740">
        <v>0.75</v>
      </c>
      <c r="F2740" t="str">
        <f>I2740&amp;" "&amp;J2740&amp;" "&amp;K2740&amp;" "&amp;L2740&amp;" "&amp;M2740&amp;" "&amp;N2740</f>
        <v>Catalina re. exam questions  </v>
      </c>
      <c r="G2740" t="s">
        <f>TEXT(D2740,"mmm dd")</f>
        <v>953</v>
      </c>
      <c r="I2740" t="inlineStr">
        <is>
          <t>Catalina</t>
        </is>
      </c>
      <c r="J2740" t="s">
        <v>633</v>
      </c>
      <c r="K2740" t="s">
        <v>2290</v>
      </c>
      <c r="L2740" t="inlineStr">
        <is>
          <t>questions</t>
        </is>
      </c>
    </row>
    <row r="2741" spans="1:23">
      <c r="A2741">
        <v>23</v>
      </c>
      <c r="B2741">
        <v>10</v>
      </c>
      <c r="C2741">
        <v>2018</v>
      </c>
      <c r="D2741" s="3" t="s">
        <f>B2741&amp;"/"&amp;A2741&amp;"/"&amp;C2741</f>
        <v>2727</v>
      </c>
      <c r="E2741">
        <v>0.66666666666666663</v>
      </c>
      <c r="F2741" t="s">
        <f>I2741&amp;" "&amp;J2741&amp;" "&amp;K2741&amp;" "&amp;L2741&amp;" "&amp;M2741&amp;" "&amp;N2741</f>
        <v>2525</v>
      </c>
      <c r="G2741" t="s">
        <f>TEXT(D2741,"mmm dd")</f>
        <v>953</v>
      </c>
      <c r="I2741" t="s">
        <v>46</v>
      </c>
      <c r="J2741" t="s">
        <v>110</v>
      </c>
    </row>
    <row r="2742" spans="1:23">
      <c r="A2742">
        <v>24</v>
      </c>
      <c r="B2742">
        <v>10</v>
      </c>
      <c r="C2742">
        <v>2018</v>
      </c>
      <c r="D2742" s="3" t="str">
        <f>B2742&amp;"/"&amp;A2742&amp;"/"&amp;C2742</f>
        <v>10/24/2018</v>
      </c>
      <c r="E2742">
        <v>0.79166666666666663</v>
      </c>
      <c r="F2742" t="s">
        <f>I2742&amp;" "&amp;J2742&amp;" "&amp;K2742&amp;" "&amp;L2742&amp;" "&amp;M2742&amp;" "&amp;N2742</f>
        <v>2704</v>
      </c>
      <c r="G2742" t="s">
        <f>TEXT(D2742,"mmm dd")</f>
        <v>956</v>
      </c>
      <c r="I2742" t="s">
        <v>2377</v>
      </c>
      <c r="J2742" t="s">
        <v>2320</v>
      </c>
    </row>
    <row r="2743" spans="1:23">
      <c r="A2743">
        <v>26</v>
      </c>
      <c r="B2743">
        <v>10</v>
      </c>
      <c r="C2743">
        <v>2018</v>
      </c>
      <c r="D2743" s="3" t="str">
        <f>B2743&amp;"/"&amp;A2743&amp;"/"&amp;C2743</f>
        <v>10/26/2018</v>
      </c>
      <c r="E2743">
        <v>0.77083333333333337</v>
      </c>
      <c r="F2743" t="str">
        <f>I2743&amp;" "&amp;J2743&amp;" "&amp;K2743&amp;" "&amp;L2743&amp;" "&amp;M2743&amp;" "&amp;N2743</f>
        <v>Call eye insurance   </v>
      </c>
      <c r="G2743" t="s">
        <f>TEXT(D2743,"mmm dd")</f>
        <v>1633</v>
      </c>
      <c r="I2743" t="s">
        <v>1028</v>
      </c>
      <c r="J2743" t="s">
        <v>1923</v>
      </c>
      <c r="K2743" t="s">
        <v>2406</v>
      </c>
    </row>
    <row r="2744" spans="1:23">
      <c r="A2744">
        <v>27</v>
      </c>
      <c r="B2744">
        <v>10</v>
      </c>
      <c r="C2744">
        <v>2018</v>
      </c>
      <c r="D2744" s="3" t="s">
        <f>B2744&amp;"/"&amp;A2744&amp;"/"&amp;C2744</f>
        <v>2728</v>
      </c>
      <c r="E2744">
        <v>0.125</v>
      </c>
      <c r="F2744" t="str">
        <f>I2744&amp;" "&amp;J2744&amp;" "&amp;K2744&amp;" "&amp;L2744&amp;" "&amp;M2744&amp;" "&amp;N2744</f>
        <v>Hamilton     </v>
      </c>
      <c r="G2744" t="s">
        <f>TEXT(D2744,"mmm dd")</f>
        <v>1781</v>
      </c>
      <c r="I2744" t="inlineStr">
        <is>
          <t>Hamilton</t>
        </is>
      </c>
    </row>
    <row r="2745" spans="1:23">
      <c r="A2745">
        <v>27</v>
      </c>
      <c r="B2745">
        <v>10</v>
      </c>
      <c r="C2745">
        <v>2018</v>
      </c>
      <c r="D2745" s="3" t="s">
        <f>B2745&amp;"/"&amp;A2745&amp;"/"&amp;C2745</f>
        <v>2728</v>
      </c>
      <c r="E2745">
        <v>0.80208333333333337</v>
      </c>
      <c r="F2745" t="str">
        <f>I2745&amp;" "&amp;J2745&amp;" "&amp;K2745&amp;" "&amp;L2745&amp;" "&amp;M2745&amp;" "&amp;N2745</f>
        <v>Art museum    </v>
      </c>
      <c r="G2745" t="s">
        <f>TEXT(D2745,"mmm dd")</f>
        <v>1781</v>
      </c>
      <c r="I2745" t="inlineStr">
        <is>
          <t>Art</t>
        </is>
      </c>
      <c r="J2745" t="s">
        <v>1746</v>
      </c>
    </row>
    <row r="2746" spans="1:23">
      <c r="A2746">
        <v>28</v>
      </c>
      <c r="B2746">
        <v>10</v>
      </c>
      <c r="C2746">
        <v>2018</v>
      </c>
      <c r="D2746" s="3" t="str">
        <f>B2746&amp;"/"&amp;A2746&amp;"/"&amp;C2746</f>
        <v>10/28/2018</v>
      </c>
      <c r="E2746">
        <v>0.60416666666666663</v>
      </c>
      <c r="F2746" t="s">
        <f>I2746&amp;" "&amp;J2746&amp;" "&amp;K2746&amp;" "&amp;L2746&amp;" "&amp;M2746&amp;" "&amp;N2746</f>
        <v>2467</v>
      </c>
      <c r="G2746" t="s">
        <f>TEXT(D2746,"mmm dd")</f>
        <v>959</v>
      </c>
      <c r="I2746" t="s">
        <v>2468</v>
      </c>
      <c r="J2746" t="s">
        <v>53</v>
      </c>
      <c r="K2746" t="s">
        <v>2119</v>
      </c>
      <c r="L2746" t="s">
        <v>2469</v>
      </c>
    </row>
    <row r="2747" spans="1:23">
      <c r="A2747">
        <v>29</v>
      </c>
      <c r="B2747">
        <v>10</v>
      </c>
      <c r="C2747">
        <v>2018</v>
      </c>
      <c r="D2747" s="3" t="str">
        <f>B2747&amp;"/"&amp;A2747&amp;"/"&amp;C2747</f>
        <v>10/29/2018</v>
      </c>
      <c r="E2747">
        <v>0.25</v>
      </c>
      <c r="F2747" t="str">
        <f>I2747&amp;" "&amp;J2747&amp;" "&amp;K2747&amp;" "&amp;L2747&amp;" "&amp;M2747&amp;" "&amp;N2747</f>
        <v>Bat     </v>
      </c>
      <c r="G2747" t="s">
        <f>TEXT(D2747,"mmm dd")</f>
        <v>962</v>
      </c>
      <c r="I2747" t="inlineStr">
        <is>
          <t>Bat</t>
        </is>
      </c>
    </row>
    <row r="2748" spans="1:23">
      <c r="A2748">
        <v>1</v>
      </c>
      <c r="B2748">
        <v>11</v>
      </c>
      <c r="C2748">
        <v>2018</v>
      </c>
      <c r="D2748" s="3" t="s">
        <f>B2748&amp;"/"&amp;A2748&amp;"/"&amp;C2748</f>
        <v>2729</v>
      </c>
      <c r="E2748">
        <v>1.0416666666666667</v>
      </c>
      <c r="F2748" t="str">
        <f>I2748&amp;" "&amp;J2748&amp;" "&amp;K2748&amp;" "&amp;L2748&amp;" "&amp;M2748&amp;" "&amp;N2748</f>
        <v>Dinner auth Susan Parker  </v>
      </c>
      <c r="G2748" t="s">
        <f>TEXT(D2748,"mmm dd")</f>
        <v>978</v>
      </c>
      <c r="I2748" t="s">
        <v>838</v>
      </c>
      <c r="J2748" t="inlineStr">
        <is>
          <t>auth</t>
        </is>
      </c>
      <c r="K2748" t="s">
        <v>1725</v>
      </c>
      <c r="L2748" t="s">
        <v>2448</v>
      </c>
    </row>
    <row r="2749" spans="1:23">
      <c r="A2749">
        <v>1</v>
      </c>
      <c r="B2749">
        <v>11</v>
      </c>
      <c r="C2749">
        <v>2018</v>
      </c>
      <c r="D2749" s="3" t="s">
        <f>B2749&amp;"/"&amp;A2749&amp;"/"&amp;C2749</f>
        <v>2729</v>
      </c>
      <c r="E2749">
        <v>0.81597222222222221</v>
      </c>
      <c r="F2749" t="s">
        <f>I2749&amp;" "&amp;J2749&amp;" "&amp;K2749&amp;" "&amp;L2749&amp;" "&amp;M2749&amp;" "&amp;N2749</f>
        <v>1867</v>
      </c>
      <c r="G2749" t="s">
        <f>TEXT(D2749,"mmm dd")</f>
        <v>978</v>
      </c>
      <c r="I2749" t="s">
        <v>1855</v>
      </c>
    </row>
    <row r="2750" spans="1:23">
      <c r="A2750">
        <v>2</v>
      </c>
      <c r="B2750">
        <v>11</v>
      </c>
      <c r="C2750">
        <v>2018</v>
      </c>
      <c r="D2750" s="3" t="str">
        <f>B2750&amp;"/"&amp;A2750&amp;"/"&amp;C2750</f>
        <v>11/2/2018</v>
      </c>
      <c r="E2750">
        <v>0.79166666666666663</v>
      </c>
      <c r="F2750" t="s">
        <f>I2750&amp;" "&amp;J2750&amp;" "&amp;K2750&amp;" "&amp;L2750&amp;" "&amp;M2750&amp;" "&amp;N2750</f>
        <v>2730</v>
      </c>
      <c r="G2750" t="s">
        <f>TEXT(D2750,"mmm dd")</f>
        <v>32</v>
      </c>
      <c r="I2750" t="s">
        <v>2731</v>
      </c>
      <c r="J2750" t="s">
        <v>2290</v>
      </c>
    </row>
    <row r="2751" spans="1:23">
      <c r="A2751">
        <v>4</v>
      </c>
      <c r="B2751">
        <v>11</v>
      </c>
      <c r="C2751">
        <v>2018</v>
      </c>
      <c r="D2751" s="3" t="str">
        <f>B2751&amp;"/"&amp;A2751&amp;"/"&amp;C2751</f>
        <v>11/4/2018</v>
      </c>
      <c r="E2751">
        <v>0.79166666666666663</v>
      </c>
      <c r="F2751" t="s">
        <f>I2751&amp;" "&amp;J2751&amp;" "&amp;K2751&amp;" "&amp;L2751&amp;" "&amp;M2751&amp;" "&amp;N2751</f>
        <v>2732</v>
      </c>
      <c r="G2751" t="s">
        <f>TEXT(D2751,"mmm dd")</f>
        <v>34</v>
      </c>
      <c r="I2751" t="s">
        <v>218</v>
      </c>
      <c r="J2751" t="s">
        <v>1298</v>
      </c>
      <c r="K2751" t="s">
        <v>1846</v>
      </c>
    </row>
    <row r="2752" spans="1:23">
      <c r="A2752">
        <v>7</v>
      </c>
      <c r="B2752">
        <v>11</v>
      </c>
      <c r="C2752">
        <v>2018</v>
      </c>
      <c r="D2752" s="3" t="str">
        <f>B2752&amp;"/"&amp;A2752&amp;"/"&amp;C2752</f>
        <v>11/7/2018</v>
      </c>
      <c r="E2752">
        <v>1.0416666666666667</v>
      </c>
      <c r="F2752" t="s">
        <f>I2752&amp;" "&amp;J2752&amp;" "&amp;K2752&amp;" "&amp;L2752&amp;" "&amp;M2752&amp;" "&amp;N2752</f>
        <v>2704</v>
      </c>
      <c r="G2752" t="s">
        <f>TEXT(D2752,"mmm dd")</f>
        <v>1417</v>
      </c>
      <c r="I2752" t="s">
        <v>2377</v>
      </c>
      <c r="J2752" t="s">
        <v>2320</v>
      </c>
    </row>
    <row r="2753" spans="1:23">
      <c r="A2753">
        <v>11</v>
      </c>
      <c r="B2753">
        <v>11</v>
      </c>
      <c r="C2753">
        <v>2018</v>
      </c>
      <c r="D2753" s="3" t="s">
        <f>B2753&amp;"/"&amp;A2753&amp;"/"&amp;C2753</f>
        <v>2733</v>
      </c>
      <c r="E2753">
        <v>0.16666666666666666</v>
      </c>
      <c r="F2753" t="s">
        <f>I2753&amp;" "&amp;J2753&amp;" "&amp;K2753&amp;" "&amp;L2753&amp;" "&amp;M2753&amp;" "&amp;N2753</f>
        <v>2690</v>
      </c>
      <c r="G2753" t="s">
        <f>TEXT(D2753,"mmm dd")</f>
        <v>986</v>
      </c>
      <c r="I2753" t="s">
        <v>2223</v>
      </c>
      <c r="J2753" t="s">
        <v>2320</v>
      </c>
    </row>
    <row r="2754" spans="1:23">
      <c r="A2754">
        <v>11</v>
      </c>
      <c r="B2754">
        <v>11</v>
      </c>
      <c r="C2754">
        <v>2018</v>
      </c>
      <c r="D2754" s="3" t="s">
        <f>B2754&amp;"/"&amp;A2754&amp;"/"&amp;C2754</f>
        <v>2733</v>
      </c>
      <c r="E2754">
        <v>0.70833333333333337</v>
      </c>
      <c r="F2754" t="str">
        <f>I2754&amp;" "&amp;J2754&amp;" "&amp;K2754&amp;" "&amp;L2754&amp;" "&amp;M2754&amp;" "&amp;N2754</f>
        <v>Spartanburg supply (Walters)   </v>
      </c>
      <c r="G2754" t="s">
        <f>TEXT(D2754,"mmm dd")</f>
        <v>986</v>
      </c>
      <c r="I2754" t="s">
        <v>2699</v>
      </c>
      <c r="J2754" t="s">
        <v>2554</v>
      </c>
      <c r="K2754" t="inlineStr">
        <is>
          <t>(Walters)</t>
        </is>
      </c>
    </row>
    <row r="2755" spans="1:23">
      <c r="A2755">
        <v>12</v>
      </c>
      <c r="B2755">
        <v>11</v>
      </c>
      <c r="C2755">
        <v>2018</v>
      </c>
      <c r="D2755" s="3" t="str">
        <f>B2755&amp;"/"&amp;A2755&amp;"/"&amp;C2755</f>
        <v>11/12/2018</v>
      </c>
      <c r="E2755">
        <v>0.97916666666666663</v>
      </c>
      <c r="F2755" t="str">
        <f>I2755&amp;" "&amp;J2755&amp;" "&amp;K2755&amp;" "&amp;L2755&amp;" "&amp;M2755&amp;" "&amp;N2755</f>
        <v>Savannah Browser for exam  </v>
      </c>
      <c r="G2755" t="s">
        <f>TEXT(D2755,"mmm dd")</f>
        <v>993</v>
      </c>
      <c r="I2755" t="s">
        <v>2734</v>
      </c>
      <c r="J2755" t="inlineStr">
        <is>
          <t>Browser</t>
        </is>
      </c>
      <c r="K2755" t="s">
        <v>439</v>
      </c>
      <c r="L2755" t="s">
        <v>2290</v>
      </c>
    </row>
    <row r="2756" spans="1:23">
      <c r="A2756">
        <v>15</v>
      </c>
      <c r="B2756">
        <v>11</v>
      </c>
      <c r="C2756">
        <v>2018</v>
      </c>
      <c r="D2756" s="3" t="str">
        <f>B2756&amp;"/"&amp;A2756&amp;"/"&amp;C2756</f>
        <v>11/15/2018</v>
      </c>
      <c r="E2756">
        <v>0.79166666666666663</v>
      </c>
      <c r="F2756" t="s">
        <f>I2756&amp;" "&amp;J2756&amp;" "&amp;K2756&amp;" "&amp;L2756&amp;" "&amp;M2756&amp;" "&amp;N2756</f>
        <v>2704</v>
      </c>
      <c r="G2756" t="s">
        <f>TEXT(D2756,"mmm dd")</f>
        <v>1012</v>
      </c>
      <c r="I2756" t="s">
        <v>2377</v>
      </c>
      <c r="J2756" t="s">
        <v>2320</v>
      </c>
    </row>
    <row r="2757" spans="1:23">
      <c r="A2757">
        <v>18</v>
      </c>
      <c r="B2757">
        <v>11</v>
      </c>
      <c r="C2757">
        <v>2018</v>
      </c>
      <c r="D2757" s="3" t="str">
        <f>B2757&amp;"/"&amp;A2757&amp;"/"&amp;C2757</f>
        <v>11/18/2018</v>
      </c>
      <c r="E2757">
        <v>0.79166666666666663</v>
      </c>
      <c r="F2757" t="s">
        <f>I2757&amp;" "&amp;J2757&amp;" "&amp;K2757&amp;" "&amp;L2757&amp;" "&amp;M2757&amp;" "&amp;N2757</f>
        <v>2732</v>
      </c>
      <c r="G2757" t="s">
        <f>TEXT(D2757,"mmm dd")</f>
        <v>1024</v>
      </c>
      <c r="I2757" t="s">
        <v>218</v>
      </c>
      <c r="J2757" t="s">
        <v>1298</v>
      </c>
      <c r="K2757" t="s">
        <v>1846</v>
      </c>
    </row>
    <row r="2758" spans="1:23">
      <c r="A2758">
        <v>20</v>
      </c>
      <c r="B2758">
        <v>11</v>
      </c>
      <c r="C2758">
        <v>2018</v>
      </c>
      <c r="D2758" s="3" t="str">
        <f>B2758&amp;"/"&amp;A2758&amp;"/"&amp;C2758</f>
        <v>11/20/2018</v>
      </c>
      <c r="E2758">
        <v>1.0625</v>
      </c>
      <c r="F2758" t="str">
        <f>I2758&amp;" "&amp;J2758&amp;" "&amp;K2758&amp;" "&amp;L2758&amp;" "&amp;M2758&amp;" "&amp;N2758</f>
        <v>Meet grace Pearson   </v>
      </c>
      <c r="G2758" t="s">
        <f>TEXT(D2758,"mmm dd")</f>
        <v>1030</v>
      </c>
      <c r="I2758" t="s">
        <v>300</v>
      </c>
      <c r="J2758" t="inlineStr">
        <is>
          <t>grace</t>
        </is>
      </c>
      <c r="K2758" t="inlineStr">
        <is>
          <t>Pearson</t>
        </is>
      </c>
    </row>
    <row r="2759" spans="1:23">
      <c r="A2759">
        <v>21</v>
      </c>
      <c r="B2759">
        <v>11</v>
      </c>
      <c r="C2759">
        <v>2018</v>
      </c>
      <c r="D2759" s="3" t="str">
        <f>B2759&amp;"/"&amp;A2759&amp;"/"&amp;C2759</f>
        <v>11/21/2018</v>
      </c>
      <c r="E2759">
        <v>0.25</v>
      </c>
      <c r="F2759" t="s">
        <f>I2759&amp;" "&amp;J2759&amp;" "&amp;K2759&amp;" "&amp;L2759&amp;" "&amp;M2759&amp;" "&amp;N2759</f>
        <v>2704</v>
      </c>
      <c r="G2759" t="s">
        <f>TEXT(D2759,"mmm dd")</f>
        <v>2146</v>
      </c>
      <c r="I2759" t="s">
        <v>2377</v>
      </c>
      <c r="J2759" t="s">
        <v>2320</v>
      </c>
    </row>
    <row r="2760" spans="1:23">
      <c r="A2760">
        <v>25</v>
      </c>
      <c r="B2760">
        <v>11</v>
      </c>
      <c r="C2760">
        <v>2018</v>
      </c>
      <c r="D2760" s="3" t="str">
        <f>B2760&amp;"/"&amp;A2760&amp;"/"&amp;C2760</f>
        <v>11/25/2018</v>
      </c>
      <c r="E2760">
        <v>0.79166666666666663</v>
      </c>
      <c r="F2760" t="s">
        <f>I2760&amp;" "&amp;J2760&amp;" "&amp;K2760&amp;" "&amp;L2760&amp;" "&amp;M2760&amp;" "&amp;N2760</f>
        <v>2732</v>
      </c>
      <c r="G2760" t="s">
        <f>TEXT(D2760,"mmm dd")</f>
        <v>1433</v>
      </c>
      <c r="I2760" t="s">
        <v>218</v>
      </c>
      <c r="J2760" t="s">
        <v>1298</v>
      </c>
      <c r="K2760" t="s">
        <v>1846</v>
      </c>
    </row>
    <row r="2761" spans="1:23">
      <c r="A2761">
        <v>27</v>
      </c>
      <c r="B2761">
        <v>11</v>
      </c>
      <c r="C2761">
        <v>2018</v>
      </c>
      <c r="D2761" s="3" t="str">
        <f>B2761&amp;"/"&amp;A2761&amp;"/"&amp;C2761</f>
        <v>11/27/2018</v>
      </c>
      <c r="E2761">
        <v>0.83333333333333337</v>
      </c>
      <c r="F2761" t="str">
        <f>I2761&amp;" "&amp;J2761&amp;" "&amp;K2761&amp;" "&amp;L2761&amp;" "&amp;M2761&amp;" "&amp;N2761</f>
        <v>Lunch with Janey   </v>
      </c>
      <c r="G2761" t="s">
        <f>TEXT(D2761,"mmm dd")</f>
        <v>1045</v>
      </c>
      <c r="I2761" t="s">
        <v>813</v>
      </c>
      <c r="J2761" t="s">
        <v>755</v>
      </c>
      <c r="K2761" t="s">
        <v>2735</v>
      </c>
    </row>
    <row r="2762" spans="1:23">
      <c r="A2762">
        <v>29</v>
      </c>
      <c r="B2762">
        <v>11</v>
      </c>
      <c r="C2762">
        <v>2018</v>
      </c>
      <c r="D2762" s="3" t="str">
        <f>B2762&amp;"/"&amp;A2762&amp;"/"&amp;C2762</f>
        <v>11/29/2018</v>
      </c>
      <c r="E2762">
        <v>0.95833333333333337</v>
      </c>
      <c r="F2762" t="s">
        <f>I2762&amp;" "&amp;J2762&amp;" "&amp;K2762&amp;" "&amp;L2762&amp;" "&amp;M2762&amp;" "&amp;N2762</f>
        <v>2690</v>
      </c>
      <c r="G2762" t="s">
        <f>TEXT(D2762,"mmm dd")</f>
        <v>2736</v>
      </c>
      <c r="I2762" t="s">
        <v>2223</v>
      </c>
      <c r="J2762" t="s">
        <v>2320</v>
      </c>
    </row>
    <row r="2763" spans="1:23">
      <c r="A2763">
        <v>2</v>
      </c>
      <c r="B2763">
        <v>12</v>
      </c>
      <c r="C2763">
        <v>2018</v>
      </c>
      <c r="D2763" s="3" t="s">
        <f>B2763&amp;"/"&amp;A2763&amp;"/"&amp;C2763</f>
        <v>2737</v>
      </c>
      <c r="E2763">
        <v>0.79166666666666663</v>
      </c>
      <c r="F2763" t="str">
        <f>I2763&amp;" "&amp;J2763&amp;" "&amp;K2763&amp;" "&amp;L2763&amp;" "&amp;M2763&amp;" "&amp;N2763</f>
        <v>St John's    </v>
      </c>
      <c r="G2763" t="s">
        <f>TEXT(D2763,"mmm dd")</f>
        <v>1438</v>
      </c>
      <c r="I2763" t="s">
        <v>1796</v>
      </c>
      <c r="J2763" t="s">
        <v>2738</v>
      </c>
    </row>
    <row r="2764" spans="1:23">
      <c r="A2764">
        <v>2</v>
      </c>
      <c r="B2764">
        <v>12</v>
      </c>
      <c r="C2764">
        <v>2018</v>
      </c>
      <c r="D2764" s="3" t="s">
        <f>B2764&amp;"/"&amp;A2764&amp;"/"&amp;C2764</f>
        <v>2737</v>
      </c>
      <c r="E2764">
        <v>0.875</v>
      </c>
      <c r="F2764" t="s">
        <f>I2764&amp;" "&amp;J2764&amp;" "&amp;K2764&amp;" "&amp;L2764&amp;" "&amp;M2764&amp;" "&amp;N2764</f>
        <v>2331</v>
      </c>
      <c r="G2764" t="s">
        <f>TEXT(D2764,"mmm dd")</f>
        <v>1438</v>
      </c>
      <c r="I2764" t="s">
        <v>1028</v>
      </c>
      <c r="J2764" t="s">
        <v>1008</v>
      </c>
    </row>
    <row r="2765" spans="1:23">
      <c r="A2765">
        <v>3</v>
      </c>
      <c r="B2765">
        <v>12</v>
      </c>
      <c r="C2765">
        <v>2018</v>
      </c>
      <c r="D2765" s="3" t="str">
        <f>B2765&amp;"/"&amp;A2765&amp;"/"&amp;C2765</f>
        <v>12/3/2018</v>
      </c>
      <c r="E2765">
        <v>0.97916666666666663</v>
      </c>
      <c r="F2765" t="str">
        <f>I2765&amp;" "&amp;J2765&amp;" "&amp;K2765&amp;" "&amp;L2765&amp;" "&amp;M2765&amp;" "&amp;N2765</f>
        <v>Exam for Savannah   </v>
      </c>
      <c r="G2765" t="s">
        <f>TEXT(D2765,"mmm dd")</f>
        <v>1662</v>
      </c>
      <c r="I2765" t="s">
        <v>2313</v>
      </c>
      <c r="J2765" t="s">
        <v>439</v>
      </c>
      <c r="K2765" t="s">
        <v>2734</v>
      </c>
    </row>
    <row r="2766" spans="1:23">
      <c r="A2766">
        <v>4</v>
      </c>
      <c r="B2766">
        <v>12</v>
      </c>
      <c r="C2766">
        <v>2018</v>
      </c>
      <c r="D2766" s="3" t="str">
        <f>B2766&amp;"/"&amp;A2766&amp;"/"&amp;C2766</f>
        <v>12/4/2018</v>
      </c>
      <c r="E2766">
        <v>0.75</v>
      </c>
      <c r="F2766" t="str">
        <f>I2766&amp;" "&amp;J2766&amp;" "&amp;K2766&amp;" "&amp;L2766&amp;" "&amp;M2766&amp;" "&amp;N2766</f>
        <v>Meet Jordi    </v>
      </c>
      <c r="G2766" t="s">
        <f>TEXT(D2766,"mmm dd")</f>
        <v>1057</v>
      </c>
      <c r="I2766" t="s">
        <v>300</v>
      </c>
      <c r="J2766" t="s">
        <v>2731</v>
      </c>
    </row>
    <row r="2767" spans="1:23">
      <c r="A2767">
        <v>5</v>
      </c>
      <c r="B2767">
        <v>12</v>
      </c>
      <c r="C2767">
        <v>2018</v>
      </c>
      <c r="D2767" s="3" t="str">
        <f>B2767&amp;"/"&amp;A2767&amp;"/"&amp;C2767</f>
        <v>12/5/2018</v>
      </c>
      <c r="E2767">
        <v>0.95833333333333337</v>
      </c>
      <c r="F2767" t="str">
        <f>I2767&amp;" "&amp;J2767&amp;" "&amp;K2767&amp;" "&amp;L2767&amp;" "&amp;M2767&amp;" "&amp;N2767</f>
        <v>REL 101 2 Final  </v>
      </c>
      <c r="G2767" t="s">
        <f>TEXT(D2767,"mmm dd")</f>
        <v>1060</v>
      </c>
      <c r="I2767" t="s">
        <v>2739</v>
      </c>
      <c r="J2767">
        <v>101</v>
      </c>
      <c r="K2767">
        <v>2</v>
      </c>
      <c r="L2767" t="s">
        <v>1763</v>
      </c>
    </row>
    <row r="2768" spans="1:23">
      <c r="A2768">
        <v>6</v>
      </c>
      <c r="B2768">
        <v>12</v>
      </c>
      <c r="C2768">
        <v>2018</v>
      </c>
      <c r="D2768" s="3" t="str">
        <f>B2768&amp;"/"&amp;A2768&amp;"/"&amp;C2768</f>
        <v>12/6/2018</v>
      </c>
      <c r="E2768">
        <v>0.83333333333333337</v>
      </c>
      <c r="F2768" t="s">
        <f>I2768&amp;" "&amp;J2768&amp;" "&amp;K2768&amp;" "&amp;L2768&amp;" "&amp;M2768&amp;" "&amp;N2768</f>
        <v>2730</v>
      </c>
      <c r="G2768" t="s">
        <f>TEXT(D2768,"mmm dd")</f>
        <v>1445</v>
      </c>
      <c r="I2768" t="s">
        <v>2731</v>
      </c>
      <c r="J2768" t="s">
        <v>2290</v>
      </c>
    </row>
    <row r="2769" spans="1:23">
      <c r="A2769">
        <v>9</v>
      </c>
      <c r="B2769">
        <v>12</v>
      </c>
      <c r="C2769">
        <v>2018</v>
      </c>
      <c r="D2769" s="3" t="str">
        <f>B2769&amp;"/"&amp;A2769&amp;"/"&amp;C2769</f>
        <v>12/9/2018</v>
      </c>
      <c r="E2769">
        <v>0.2673611111111111</v>
      </c>
      <c r="F2769" t="s">
        <f>I2769&amp;" "&amp;J2769&amp;" "&amp;K2769&amp;" "&amp;L2769&amp;" "&amp;M2769&amp;" "&amp;N2769</f>
        <v>2690</v>
      </c>
      <c r="G2769" t="s">
        <f>TEXT(D2769,"mmm dd")</f>
        <v>1064</v>
      </c>
      <c r="I2769" t="s">
        <v>2223</v>
      </c>
      <c r="J2769" t="s">
        <v>2320</v>
      </c>
    </row>
    <row r="2770" spans="1:23">
      <c r="A2770">
        <v>10</v>
      </c>
      <c r="B2770">
        <v>12</v>
      </c>
      <c r="C2770">
        <v>2018</v>
      </c>
      <c r="D2770" s="3" t="s">
        <f>B2770&amp;"/"&amp;A2770&amp;"/"&amp;C2770</f>
        <v>2740</v>
      </c>
      <c r="E2770">
        <v>0.8125</v>
      </c>
      <c r="F2770" t="str">
        <f>I2770&amp;" "&amp;J2770&amp;" "&amp;K2770&amp;" "&amp;L2770&amp;" "&amp;M2770&amp;" "&amp;N2770</f>
        <v>REL 101 1 Final  </v>
      </c>
      <c r="G2770" t="s">
        <f>TEXT(D2770,"mmm dd")</f>
        <v>1452</v>
      </c>
      <c r="I2770" t="s">
        <v>2739</v>
      </c>
      <c r="J2770">
        <v>101</v>
      </c>
      <c r="K2770">
        <v>1</v>
      </c>
      <c r="L2770" t="s">
        <v>1763</v>
      </c>
    </row>
    <row r="2771" spans="1:23">
      <c r="A2771">
        <v>10</v>
      </c>
      <c r="B2771">
        <v>12</v>
      </c>
      <c r="C2771">
        <v>2018</v>
      </c>
      <c r="D2771" s="3" t="s">
        <f>B2771&amp;"/"&amp;A2771&amp;"/"&amp;C2771</f>
        <v>2740</v>
      </c>
      <c r="E2771">
        <v>0.70833333333333337</v>
      </c>
      <c r="F2771" t="str">
        <f>I2771&amp;" "&amp;J2771&amp;" "&amp;K2771&amp;" "&amp;L2771&amp;" "&amp;M2771&amp;" "&amp;N2771</f>
        <v>Dr. Matthews Periodontist (R)  </v>
      </c>
      <c r="G2771" t="s">
        <f>TEXT(D2771,"mmm dd")</f>
        <v>1452</v>
      </c>
      <c r="I2771" t="s">
        <v>847</v>
      </c>
      <c r="J2771" t="s">
        <v>2513</v>
      </c>
      <c r="K2771" t="s">
        <v>2523</v>
      </c>
      <c r="L2771" t="s">
        <v>1314</v>
      </c>
    </row>
    <row r="2772" spans="1:23">
      <c r="A2772">
        <v>11</v>
      </c>
      <c r="B2772">
        <v>12</v>
      </c>
      <c r="C2772">
        <v>2018</v>
      </c>
      <c r="D2772" s="3" t="str">
        <f>B2772&amp;"/"&amp;A2772&amp;"/"&amp;C2772</f>
        <v>12/11/2018</v>
      </c>
      <c r="E2772">
        <v>0.75</v>
      </c>
      <c r="F2772" t="str">
        <f>I2772&amp;" "&amp;J2772&amp;" "&amp;K2772&amp;" "&amp;L2772&amp;" "&amp;M2772&amp;" "&amp;N2772</f>
        <v>Christmas surprise (Jeannie)   </v>
      </c>
      <c r="G2772" t="s">
        <f>TEXT(D2772,"mmm dd")</f>
        <v>1455</v>
      </c>
      <c r="I2772" t="s">
        <v>1068</v>
      </c>
      <c r="J2772" t="inlineStr">
        <is>
          <t>surprise</t>
        </is>
      </c>
      <c r="K2772" t="inlineStr">
        <is>
          <t>(Jeannie)</t>
        </is>
      </c>
    </row>
    <row r="2773" spans="1:23">
      <c r="A2773">
        <v>14</v>
      </c>
      <c r="B2773">
        <v>12</v>
      </c>
      <c r="C2773">
        <v>2018</v>
      </c>
      <c r="D2773" s="3" t="s">
        <f>B2773&amp;"/"&amp;A2773&amp;"/"&amp;C2773</f>
        <v>2741</v>
      </c>
      <c r="E2773">
        <v>0.2013888888888889</v>
      </c>
      <c r="F2773" t="s">
        <f>I2773&amp;" "&amp;J2773&amp;" "&amp;K2773&amp;" "&amp;L2773&amp;" "&amp;M2773&amp;" "&amp;N2773</f>
        <v>2690</v>
      </c>
      <c r="G2773" t="s">
        <f>TEXT(D2773,"mmm dd")</f>
        <v>1079</v>
      </c>
      <c r="I2773" t="s">
        <v>2223</v>
      </c>
      <c r="J2773" t="s">
        <v>2320</v>
      </c>
    </row>
    <row r="2774" spans="1:23">
      <c r="A2774">
        <v>14</v>
      </c>
      <c r="B2774">
        <v>12</v>
      </c>
      <c r="C2774">
        <v>2018</v>
      </c>
      <c r="D2774" s="3" t="s">
        <f>B2774&amp;"/"&amp;A2774&amp;"/"&amp;C2774</f>
        <v>2741</v>
      </c>
      <c r="E2774">
        <v>0.85416666666666663</v>
      </c>
      <c r="F2774" t="str">
        <f>I2774&amp;" "&amp;J2774&amp;" "&amp;K2774&amp;" "&amp;L2774&amp;" "&amp;M2774&amp;" "&amp;N2774</f>
        <v>Breakfast with Murray?   </v>
      </c>
      <c r="G2774" t="s">
        <f>TEXT(D2774,"mmm dd")</f>
        <v>1079</v>
      </c>
      <c r="I2774" t="s">
        <v>1650</v>
      </c>
      <c r="J2774" t="s">
        <v>755</v>
      </c>
      <c r="K2774" t="inlineStr">
        <is>
          <t>Murray?</t>
        </is>
      </c>
    </row>
    <row r="2775" spans="1:23">
      <c r="A2775">
        <v>15</v>
      </c>
      <c r="B2775">
        <v>12</v>
      </c>
      <c r="C2775">
        <v>2018</v>
      </c>
      <c r="D2775" s="3" t="str">
        <f>B2775&amp;"/"&amp;A2775&amp;"/"&amp;C2775</f>
        <v>12/15/2018</v>
      </c>
      <c r="E2775">
        <v>1.0625</v>
      </c>
      <c r="F2775" t="str">
        <f>I2775&amp;" "&amp;J2775&amp;" "&amp;K2775&amp;" "&amp;L2775&amp;" "&amp;M2775&amp;" "&amp;N2775</f>
        <v>Murray &amp; Young Mi lunch </v>
      </c>
      <c r="G2775" t="s">
        <f>TEXT(D2775,"mmm dd")</f>
        <v>1088</v>
      </c>
      <c r="I2775" t="s">
        <v>1008</v>
      </c>
      <c r="J2775" t="s">
        <v>73</v>
      </c>
      <c r="K2775" t="s">
        <v>2329</v>
      </c>
      <c r="L2775" t="s">
        <v>2330</v>
      </c>
      <c r="M2775" t="s">
        <v>440</v>
      </c>
    </row>
    <row r="2776" spans="1:23">
      <c r="A2776">
        <v>16</v>
      </c>
      <c r="B2776">
        <v>12</v>
      </c>
      <c r="C2776">
        <v>2018</v>
      </c>
      <c r="D2776" s="3" t="s">
        <f>B2776&amp;"/"&amp;A2776&amp;"/"&amp;C2776</f>
        <v>2742</v>
      </c>
      <c r="E2776" t="s">
        <v>42</v>
      </c>
      <c r="F2776" t="s">
        <f>I2776&amp;" "&amp;J2776&amp;" "&amp;K2776&amp;" "&amp;L2776&amp;" "&amp;M2776&amp;" "&amp;N2776</f>
        <v>2743</v>
      </c>
      <c r="G2776" t="s">
        <f>TEXT(D2776,"mmm dd")</f>
        <v>1093</v>
      </c>
      <c r="I2776" t="inlineStr">
        <is>
          <t>Kay</t>
        </is>
      </c>
      <c r="J2776" t="s">
        <v>2744</v>
      </c>
      <c r="K2776" t="s">
        <v>1116</v>
      </c>
    </row>
    <row r="2777" spans="1:23">
      <c r="A2777">
        <v>16</v>
      </c>
      <c r="B2777">
        <v>12</v>
      </c>
      <c r="C2777">
        <v>2018</v>
      </c>
      <c r="D2777" s="3" t="s">
        <f>B2777&amp;"/"&amp;A2777&amp;"/"&amp;C2777</f>
        <v>2742</v>
      </c>
      <c r="E2777">
        <v>0.875</v>
      </c>
      <c r="F2777" t="str">
        <f>I2777&amp;" "&amp;J2777&amp;" "&amp;K2777&amp;" "&amp;L2777&amp;" "&amp;M2777&amp;" "&amp;N2777</f>
        <v>Call Janet at  Winnsboro </v>
      </c>
      <c r="G2777" t="s">
        <f>TEXT(D2777,"mmm dd")</f>
        <v>1093</v>
      </c>
      <c r="I2777" t="s">
        <v>1028</v>
      </c>
      <c r="J2777" t="s">
        <v>2745</v>
      </c>
      <c r="K2777" t="s">
        <v>53</v>
      </c>
      <c r="M2777" t="s">
        <v>2547</v>
      </c>
    </row>
    <row r="2778" spans="1:23">
      <c r="A2778">
        <v>17</v>
      </c>
      <c r="B2778">
        <v>12</v>
      </c>
      <c r="C2778">
        <v>2018</v>
      </c>
      <c r="D2778" s="3" t="str">
        <f>B2778&amp;"/"&amp;A2778&amp;"/"&amp;C2778</f>
        <v>12/17/2018</v>
      </c>
      <c r="E2778">
        <v>1.0625</v>
      </c>
      <c r="F2778" t="str">
        <f>I2778&amp;" "&amp;J2778&amp;" "&amp;K2778&amp;" "&amp;L2778&amp;" "&amp;M2778&amp;" "&amp;N2778</f>
        <v>lunch with Murray and Yong Mi</v>
      </c>
      <c r="G2778" t="s">
        <f>TEXT(D2778,"mmm dd")</f>
        <v>1097</v>
      </c>
      <c r="I2778" t="s">
        <v>440</v>
      </c>
      <c r="J2778" t="s">
        <v>755</v>
      </c>
      <c r="K2778" t="s">
        <v>1008</v>
      </c>
      <c r="L2778" t="s">
        <v>135</v>
      </c>
      <c r="M2778" t="inlineStr">
        <is>
          <t>Yong</t>
        </is>
      </c>
      <c r="N2778" t="s">
        <v>2330</v>
      </c>
    </row>
    <row r="2779" spans="1:23">
      <c r="A2779">
        <v>18</v>
      </c>
      <c r="B2779">
        <v>12</v>
      </c>
      <c r="C2779">
        <v>2018</v>
      </c>
      <c r="D2779" s="3" t="str">
        <f>B2779&amp;"/"&amp;A2779&amp;"/"&amp;C2779</f>
        <v>12/18/2018</v>
      </c>
      <c r="E2779">
        <v>0.83333333333333337</v>
      </c>
      <c r="F2779" t="s">
        <f>I2779&amp;" "&amp;J2779&amp;" "&amp;K2779&amp;" "&amp;L2779&amp;" "&amp;M2779&amp;" "&amp;N2779</f>
        <v>2690</v>
      </c>
      <c r="G2779" t="s">
        <f>TEXT(D2779,"mmm dd")</f>
        <v>1104</v>
      </c>
      <c r="I2779" t="s">
        <v>2223</v>
      </c>
      <c r="J2779" t="s">
        <v>2320</v>
      </c>
    </row>
    <row r="2780" spans="1:23">
      <c r="A2780">
        <v>19</v>
      </c>
      <c r="B2780">
        <v>12</v>
      </c>
      <c r="C2780">
        <v>2018</v>
      </c>
      <c r="D2780" s="3" t="str">
        <f>B2780&amp;"/"&amp;A2780&amp;"/"&amp;C2780</f>
        <v>12/19/2018</v>
      </c>
      <c r="E2780">
        <v>0.12569444444444444</v>
      </c>
      <c r="F2780" t="str">
        <f>I2780&amp;" "&amp;J2780&amp;" "&amp;K2780&amp;" "&amp;L2780&amp;" "&amp;M2780&amp;" "&amp;N2780</f>
        <v>Flight to Kauai (HA 153) </v>
      </c>
      <c r="G2780" t="s">
        <f>TEXT(D2780,"mmm dd")</f>
        <v>1114</v>
      </c>
      <c r="I2780" t="s">
        <v>2365</v>
      </c>
      <c r="J2780" t="s">
        <v>449</v>
      </c>
      <c r="K2780" t="s">
        <v>1385</v>
      </c>
      <c r="L2780" t="s">
        <v>2649</v>
      </c>
      <c r="M2780" t="inlineStr">
        <is>
          <t>153)</t>
        </is>
      </c>
    </row>
    <row r="2781" spans="1:23">
      <c r="A2781">
        <v>20</v>
      </c>
      <c r="B2781">
        <v>12</v>
      </c>
      <c r="C2781">
        <v>2018</v>
      </c>
      <c r="D2781" s="3" t="str">
        <f>B2781&amp;"/"&amp;A2781&amp;"/"&amp;C2781</f>
        <v>12/20/2018</v>
      </c>
      <c r="E2781">
        <v>0.97569444444444442</v>
      </c>
      <c r="F2781" t="s">
        <f>I2781&amp;" "&amp;J2781&amp;" "&amp;K2781&amp;" "&amp;L2781&amp;" "&amp;M2781&amp;" "&amp;N2781</f>
        <v>2648</v>
      </c>
      <c r="G2781" t="s">
        <f>TEXT(D2781,"mmm dd")</f>
        <v>1120</v>
      </c>
      <c r="I2781" t="s">
        <v>2365</v>
      </c>
      <c r="J2781" t="s">
        <v>449</v>
      </c>
      <c r="K2781" t="s">
        <v>609</v>
      </c>
      <c r="L2781" t="s">
        <v>2649</v>
      </c>
      <c r="M2781" t="s">
        <v>2650</v>
      </c>
    </row>
    <row r="2782" spans="1:23">
      <c r="A2782">
        <v>22</v>
      </c>
      <c r="B2782">
        <v>12</v>
      </c>
      <c r="C2782">
        <v>2018</v>
      </c>
      <c r="D2782" s="3" t="str">
        <f>B2782&amp;"/"&amp;A2782&amp;"/"&amp;C2782</f>
        <v>12/22/2018</v>
      </c>
      <c r="E2782">
        <v>0.95833333333333337</v>
      </c>
      <c r="F2782" t="s">
        <f>I2782&amp;" "&amp;J2782&amp;" "&amp;K2782&amp;" "&amp;L2782&amp;" "&amp;M2782&amp;" "&amp;N2782</f>
        <v>2690</v>
      </c>
      <c r="G2782" t="s">
        <f>TEXT(D2782,"mmm dd")</f>
        <v>1670</v>
      </c>
      <c r="I2782" t="s">
        <v>2223</v>
      </c>
      <c r="J2782" t="s">
        <v>2320</v>
      </c>
    </row>
    <row r="2783" spans="1:23">
      <c r="A2783">
        <v>26</v>
      </c>
      <c r="B2783">
        <v>12</v>
      </c>
      <c r="C2783">
        <v>2018</v>
      </c>
      <c r="D2783" s="3" t="str">
        <f>B2783&amp;"/"&amp;A2783&amp;"/"&amp;C2783</f>
        <v>12/26/2018</v>
      </c>
      <c r="E2783">
        <v>1.0333333333333334</v>
      </c>
      <c r="F2783" t="str">
        <f>I2783&amp;" "&amp;J2783&amp;" "&amp;K2783&amp;" "&amp;L2783&amp;" "&amp;M2783&amp;" "&amp;N2783</f>
        <v>Flight to Honolulu (HA 144) </v>
      </c>
      <c r="G2783" t="s">
        <f>TEXT(D2783,"mmm dd")</f>
        <v>2272</v>
      </c>
      <c r="I2783" t="s">
        <v>2365</v>
      </c>
      <c r="J2783" t="s">
        <v>449</v>
      </c>
      <c r="K2783" t="s">
        <v>609</v>
      </c>
      <c r="L2783" t="s">
        <v>2649</v>
      </c>
      <c r="M2783" t="inlineStr">
        <is>
          <t>144)</t>
        </is>
      </c>
    </row>
    <row r="2784" spans="1:23">
      <c r="A2784">
        <v>28</v>
      </c>
      <c r="B2784">
        <v>12</v>
      </c>
      <c r="C2784">
        <v>2018</v>
      </c>
      <c r="D2784" s="3" t="str">
        <f>B2784&amp;"/"&amp;A2784&amp;"/"&amp;C2784</f>
        <v>12/28/2018</v>
      </c>
      <c r="E2784">
        <v>0.16666666666666666</v>
      </c>
      <c r="F2784" t="s">
        <f>I2784&amp;" "&amp;J2784&amp;" "&amp;K2784&amp;" "&amp;L2784&amp;" "&amp;M2784&amp;" "&amp;N2784</f>
        <v>2690</v>
      </c>
      <c r="G2784" t="s">
        <f>TEXT(D2784,"mmm dd")</f>
        <v>1675</v>
      </c>
      <c r="I2784" t="s">
        <v>2223</v>
      </c>
      <c r="J2784" t="s">
        <v>2320</v>
      </c>
    </row>
    <row r="2785" spans="1:23">
      <c r="A2785">
        <v>29</v>
      </c>
      <c r="B2785">
        <v>12</v>
      </c>
      <c r="C2785">
        <v>2018</v>
      </c>
      <c r="D2785" s="3" t="str">
        <f>B2785&amp;"/"&amp;A2785&amp;"/"&amp;C2785</f>
        <v>12/29/2018</v>
      </c>
      <c r="E2785" t="s">
        <v>42</v>
      </c>
      <c r="F2785" t="str">
        <f>I2785&amp;" "&amp;J2785&amp;" "&amp;K2785&amp;" "&amp;L2785&amp;" "&amp;M2785&amp;" "&amp;N2785</f>
        <v>Pierson &amp; Grace wedding  </v>
      </c>
      <c r="G2785" t="s">
        <f>TEXT(D2785,"mmm dd")</f>
        <v>2482</v>
      </c>
      <c r="I2785" t="s">
        <v>2676</v>
      </c>
      <c r="J2785" t="s">
        <v>73</v>
      </c>
      <c r="K2785" t="s">
        <v>2675</v>
      </c>
      <c r="L2785" t="s">
        <v>861</v>
      </c>
    </row>
    <row r="2786" spans="1:23">
      <c r="A2786">
        <v>31</v>
      </c>
      <c r="B2786">
        <v>12</v>
      </c>
      <c r="C2786">
        <v>2018</v>
      </c>
      <c r="D2786" s="3" t="str">
        <f>B2786&amp;"/"&amp;A2786&amp;"/"&amp;C2786</f>
        <v>12/31/2018</v>
      </c>
      <c r="E2786" t="s">
        <v>42</v>
      </c>
      <c r="F2786" t="str">
        <f>I2786&amp;" "&amp;J2786&amp;" "&amp;K2786&amp;" "&amp;L2786&amp;" "&amp;M2786&amp;" "&amp;N2786</f>
        <v>Call UPS    </v>
      </c>
      <c r="G2786" t="s">
        <f>TEXT(D2786,"mmm dd")</f>
        <v>1134</v>
      </c>
      <c r="I2786" t="s">
        <v>1028</v>
      </c>
      <c r="J2786" t="inlineStr">
        <is>
          <t>UPS</t>
        </is>
      </c>
    </row>
    <row r="2787" spans="1:23">
      <c r="A2787">
        <v>6</v>
      </c>
      <c r="B2787">
        <v>1</v>
      </c>
      <c r="C2787">
        <v>2019</v>
      </c>
      <c r="D2787" s="3" t="str">
        <f>B2787&amp;"/"&amp;A2787&amp;"/"&amp;C2787</f>
        <v>1/6/2019</v>
      </c>
      <c r="E2787">
        <v>0.95833333333333337</v>
      </c>
      <c r="F2787" t="s">
        <f>I2787&amp;" "&amp;J2787&amp;" "&amp;K2787&amp;" "&amp;L2787&amp;" "&amp;M2787&amp;" "&amp;N2787</f>
        <v>2690</v>
      </c>
      <c r="G2787" t="s">
        <f>TEXT(D2787,"mmm dd")</f>
        <v>1142</v>
      </c>
      <c r="I2787" t="s">
        <v>2223</v>
      </c>
      <c r="J2787" t="s">
        <v>2320</v>
      </c>
    </row>
    <row r="2788" spans="1:23">
      <c r="A2788">
        <v>7</v>
      </c>
      <c r="B2788">
        <v>1</v>
      </c>
      <c r="C2788">
        <v>2019</v>
      </c>
      <c r="D2788" s="3" t="s">
        <f>B2788&amp;"/"&amp;A2788&amp;"/"&amp;C2788</f>
        <v>2746</v>
      </c>
      <c r="E2788">
        <v>0.52083333333333337</v>
      </c>
      <c r="F2788" t="s">
        <f>I2788&amp;" "&amp;J2788&amp;" "&amp;K2788&amp;" "&amp;L2788&amp;" "&amp;M2788&amp;" "&amp;N2788</f>
        <v>2487</v>
      </c>
      <c r="G2788" t="s">
        <f>TEXT(D2788,"mmm dd")</f>
        <v>1682</v>
      </c>
      <c r="I2788" t="s">
        <v>2357</v>
      </c>
      <c r="J2788">
        <v>101</v>
      </c>
      <c r="K2788">
        <v>1</v>
      </c>
    </row>
    <row r="2789" spans="1:23">
      <c r="A2789">
        <v>7</v>
      </c>
      <c r="B2789">
        <v>1</v>
      </c>
      <c r="C2789">
        <v>2019</v>
      </c>
      <c r="D2789" s="3" t="s">
        <f>B2789&amp;"/"&amp;A2789&amp;"/"&amp;C2789</f>
        <v>2746</v>
      </c>
      <c r="E2789">
        <v>0.70833333333333337</v>
      </c>
      <c r="F2789" t="s">
        <f>I2789&amp;" "&amp;J2789&amp;" "&amp;K2789&amp;" "&amp;L2789&amp;" "&amp;M2789&amp;" "&amp;N2789</f>
        <v>2488</v>
      </c>
      <c r="G2789" t="s">
        <f>TEXT(D2789,"mmm dd")</f>
        <v>1682</v>
      </c>
      <c r="I2789" t="s">
        <v>2357</v>
      </c>
      <c r="J2789">
        <v>101</v>
      </c>
      <c r="K2789">
        <v>2</v>
      </c>
    </row>
    <row r="2790" spans="1:23">
      <c r="A2790">
        <v>11</v>
      </c>
      <c r="B2790">
        <v>1</v>
      </c>
      <c r="C2790">
        <v>2019</v>
      </c>
      <c r="D2790" s="3" t="str">
        <f>B2790&amp;"/"&amp;A2790&amp;"/"&amp;C2790</f>
        <v>1/11/2019</v>
      </c>
      <c r="E2790">
        <v>1.0833333333333333</v>
      </c>
      <c r="F2790" t="str">
        <f>I2790&amp;" "&amp;J2790&amp;" "&amp;K2790&amp;" "&amp;L2790&amp;" "&amp;M2790&amp;" "&amp;N2790</f>
        <v>Dinner at Prevosts   </v>
      </c>
      <c r="G2790" t="s">
        <f>TEXT(D2790,"mmm dd")</f>
        <v>1152</v>
      </c>
      <c r="I2790" t="s">
        <v>838</v>
      </c>
      <c r="J2790" t="s">
        <v>53</v>
      </c>
      <c r="K2790" t="inlineStr">
        <is>
          <t>Prevosts</t>
        </is>
      </c>
    </row>
    <row r="2791" spans="1:23">
      <c r="A2791">
        <v>12</v>
      </c>
      <c r="B2791">
        <v>1</v>
      </c>
      <c r="C2791">
        <v>2019</v>
      </c>
      <c r="D2791" s="3" t="str">
        <f>B2791&amp;"/"&amp;A2791&amp;"/"&amp;C2791</f>
        <v>1/12/2019</v>
      </c>
      <c r="E2791">
        <v>0.16666666666666666</v>
      </c>
      <c r="F2791" t="s">
        <f>I2791&amp;" "&amp;J2791&amp;" "&amp;K2791&amp;" "&amp;L2791&amp;" "&amp;M2791&amp;" "&amp;N2791</f>
        <v>2690</v>
      </c>
      <c r="G2791" t="s">
        <f>TEXT(D2791,"mmm dd")</f>
        <v>1478</v>
      </c>
      <c r="I2791" t="s">
        <v>2223</v>
      </c>
      <c r="J2791" t="s">
        <v>2320</v>
      </c>
    </row>
    <row r="2792" spans="1:23">
      <c r="A2792">
        <v>14</v>
      </c>
      <c r="B2792">
        <v>1</v>
      </c>
      <c r="C2792">
        <v>2019</v>
      </c>
      <c r="D2792" s="3" t="str">
        <f>B2792&amp;"/"&amp;A2792&amp;"/"&amp;C2792</f>
        <v>1/14/2019</v>
      </c>
      <c r="E2792">
        <v>0.80208333333333337</v>
      </c>
      <c r="F2792" t="str">
        <f>I2792&amp;" "&amp;J2792&amp;" "&amp;K2792&amp;" "&amp;L2792&amp;" "&amp;M2792&amp;" "&amp;N2792</f>
        <v>Call Winnsboro    </v>
      </c>
      <c r="G2792" t="s">
        <f>TEXT(D2792,"mmm dd")</f>
        <v>1166</v>
      </c>
      <c r="I2792" t="s">
        <v>1028</v>
      </c>
      <c r="J2792" t="s">
        <v>2547</v>
      </c>
    </row>
    <row r="2793" spans="1:23">
      <c r="A2793">
        <v>15</v>
      </c>
      <c r="B2793">
        <v>1</v>
      </c>
      <c r="C2793">
        <v>2019</v>
      </c>
      <c r="D2793" s="3" t="str">
        <f>B2793&amp;"/"&amp;A2793&amp;"/"&amp;C2793</f>
        <v>1/15/2019</v>
      </c>
      <c r="E2793">
        <v>0.71875</v>
      </c>
      <c r="F2793" t="s">
        <f>I2793&amp;" "&amp;J2793&amp;" "&amp;K2793&amp;" "&amp;L2793&amp;" "&amp;M2793&amp;" "&amp;N2793</f>
        <v>2525</v>
      </c>
      <c r="G2793" t="s">
        <f>TEXT(D2793,"mmm dd")</f>
        <v>1686</v>
      </c>
      <c r="I2793" t="s">
        <v>46</v>
      </c>
      <c r="J2793" t="s">
        <v>110</v>
      </c>
    </row>
    <row r="2794" spans="1:23">
      <c r="A2794">
        <v>16</v>
      </c>
      <c r="B2794">
        <v>1</v>
      </c>
      <c r="C2794">
        <v>2019</v>
      </c>
      <c r="D2794" s="3" t="s">
        <f>B2794&amp;"/"&amp;A2794&amp;"/"&amp;C2794</f>
        <v>2747</v>
      </c>
      <c r="E2794">
        <v>1.0520833333333333</v>
      </c>
      <c r="F2794" t="str">
        <f>I2794&amp;" "&amp;J2794&amp;" "&amp;K2794&amp;" "&amp;L2794&amp;" "&amp;M2794&amp;" "&amp;N2794</f>
        <v>Buy movie tickets   </v>
      </c>
      <c r="G2794" t="s">
        <f>TEXT(D2794,"mmm dd")</f>
        <v>1170</v>
      </c>
      <c r="I2794" t="s">
        <v>1384</v>
      </c>
      <c r="J2794" t="s">
        <v>1749</v>
      </c>
      <c r="K2794" t="inlineStr">
        <is>
          <t>tickets</t>
        </is>
      </c>
    </row>
    <row r="2795" spans="1:23">
      <c r="A2795">
        <v>16</v>
      </c>
      <c r="B2795">
        <v>1</v>
      </c>
      <c r="C2795">
        <v>2019</v>
      </c>
      <c r="D2795" s="3" t="s">
        <f>B2795&amp;"/"&amp;A2795&amp;"/"&amp;C2795</f>
        <v>2747</v>
      </c>
      <c r="E2795">
        <v>1</v>
      </c>
      <c r="F2795" t="s">
        <f>I2795&amp;" "&amp;J2795&amp;" "&amp;K2795&amp;" "&amp;L2795&amp;" "&amp;M2795&amp;" "&amp;N2795</f>
        <v>2690</v>
      </c>
      <c r="G2795" t="s">
        <f>TEXT(D2795,"mmm dd")</f>
        <v>1170</v>
      </c>
      <c r="I2795" t="s">
        <v>2223</v>
      </c>
      <c r="J2795" t="s">
        <v>2320</v>
      </c>
    </row>
    <row r="2796" spans="1:23">
      <c r="A2796">
        <v>21</v>
      </c>
      <c r="B2796">
        <v>1</v>
      </c>
      <c r="C2796">
        <v>2019</v>
      </c>
      <c r="D2796" s="3" t="str">
        <f>B2796&amp;"/"&amp;A2796&amp;"/"&amp;C2796</f>
        <v>1/21/2019</v>
      </c>
      <c r="E2796">
        <v>1.0416666666666667</v>
      </c>
      <c r="F2796" t="s">
        <f>I2796&amp;" "&amp;J2796&amp;" "&amp;K2796&amp;" "&amp;L2796&amp;" "&amp;M2796&amp;" "&amp;N2796</f>
        <v>2690</v>
      </c>
      <c r="G2796" t="s">
        <f>TEXT(D2796,"mmm dd")</f>
        <v>1485</v>
      </c>
      <c r="I2796" t="s">
        <v>2223</v>
      </c>
      <c r="J2796" t="s">
        <v>2320</v>
      </c>
    </row>
    <row r="2797" spans="1:23">
      <c r="A2797">
        <v>24</v>
      </c>
      <c r="B2797">
        <v>1</v>
      </c>
      <c r="C2797">
        <v>2019</v>
      </c>
      <c r="D2797" s="3" t="str">
        <f>B2797&amp;"/"&amp;A2797&amp;"/"&amp;C2797</f>
        <v>1/24/2019</v>
      </c>
      <c r="E2797">
        <v>0.91666666666666663</v>
      </c>
      <c r="F2797" t="str">
        <f>I2797&amp;" "&amp;J2797&amp;" "&amp;K2797&amp;" "&amp;L2797&amp;" "&amp;M2797&amp;" "&amp;N2797</f>
        <v>Yonce Motors    </v>
      </c>
      <c r="G2797" t="s">
        <f>TEXT(D2797,"mmm dd")</f>
        <v>1829</v>
      </c>
      <c r="I2797" t="s">
        <v>2605</v>
      </c>
      <c r="J2797" t="inlineStr">
        <is>
          <t>Motors</t>
        </is>
      </c>
    </row>
    <row r="2798" spans="1:23">
      <c r="A2798">
        <v>26</v>
      </c>
      <c r="B2798">
        <v>1</v>
      </c>
      <c r="C2798">
        <v>2019</v>
      </c>
      <c r="D2798" s="3" t="str">
        <f>B2798&amp;"/"&amp;A2798&amp;"/"&amp;C2798</f>
        <v>1/26/2019</v>
      </c>
      <c r="E2798">
        <v>1.0416666666666667</v>
      </c>
      <c r="F2798" t="s">
        <f>I2798&amp;" "&amp;J2798&amp;" "&amp;K2798&amp;" "&amp;L2798&amp;" "&amp;M2798&amp;" "&amp;N2798</f>
        <v>2690</v>
      </c>
      <c r="G2798" t="s">
        <f>TEXT(D2798,"mmm dd")</f>
        <v>1488</v>
      </c>
      <c r="I2798" t="s">
        <v>2223</v>
      </c>
      <c r="J2798" t="s">
        <v>2320</v>
      </c>
    </row>
    <row r="2799" spans="1:23">
      <c r="A2799">
        <v>3</v>
      </c>
      <c r="B2799">
        <v>2</v>
      </c>
      <c r="C2799">
        <v>2019</v>
      </c>
      <c r="D2799" s="3" t="str">
        <f>B2799&amp;"/"&amp;A2799&amp;"/"&amp;C2799</f>
        <v>2/3/2019</v>
      </c>
      <c r="E2799">
        <v>0.79166666666666663</v>
      </c>
      <c r="F2799" t="s">
        <f>I2799&amp;" "&amp;J2799&amp;" "&amp;K2799&amp;" "&amp;L2799&amp;" "&amp;M2799&amp;" "&amp;N2799</f>
        <v>2748</v>
      </c>
      <c r="G2799" t="s">
        <f>TEXT(D2799,"mmm dd")</f>
        <v>1501</v>
      </c>
      <c r="I2799" t="s">
        <v>2554</v>
      </c>
      <c r="J2799" t="s">
        <v>218</v>
      </c>
      <c r="K2799" t="s">
        <v>2749</v>
      </c>
      <c r="M2799" t="s">
        <v>2547</v>
      </c>
    </row>
    <row r="2800" spans="1:23">
      <c r="A2800">
        <v>5</v>
      </c>
      <c r="B2800">
        <v>2</v>
      </c>
      <c r="C2800">
        <v>2019</v>
      </c>
      <c r="D2800" s="3" t="s">
        <f>B2800&amp;"/"&amp;A2800&amp;"/"&amp;C2800</f>
        <v>2750</v>
      </c>
      <c r="E2800">
        <v>0.72916666666666663</v>
      </c>
      <c r="F2800" t="s">
        <f>I2800&amp;" "&amp;J2800&amp;" "&amp;K2800&amp;" "&amp;L2800&amp;" "&amp;M2800&amp;" "&amp;N2800</f>
        <v>2596</v>
      </c>
      <c r="G2800" t="s">
        <f>TEXT(D2800,"mmm dd")</f>
        <v>1182</v>
      </c>
      <c r="I2800" t="s">
        <v>2597</v>
      </c>
      <c r="J2800" t="s">
        <v>990</v>
      </c>
      <c r="K2800" t="s">
        <v>767</v>
      </c>
    </row>
    <row r="2801" spans="1:23">
      <c r="A2801">
        <v>5</v>
      </c>
      <c r="B2801">
        <v>2</v>
      </c>
      <c r="C2801">
        <v>2019</v>
      </c>
      <c r="D2801" s="3" t="s">
        <f>B2801&amp;"/"&amp;A2801&amp;"/"&amp;C2801</f>
        <v>2750</v>
      </c>
      <c r="E2801">
        <v>0.72916666666666663</v>
      </c>
      <c r="F2801" t="str">
        <f>I2801&amp;" "&amp;J2801&amp;" "&amp;K2801&amp;" "&amp;L2801&amp;" "&amp;M2801&amp;" "&amp;N2801</f>
        <v>Lab work    </v>
      </c>
      <c r="G2801" t="s">
        <f>TEXT(D2801,"mmm dd")</f>
        <v>1182</v>
      </c>
      <c r="I2801" t="s">
        <v>2597</v>
      </c>
      <c r="J2801" t="s">
        <v>990</v>
      </c>
    </row>
    <row r="2802" spans="1:23">
      <c r="A2802">
        <v>5</v>
      </c>
      <c r="B2802">
        <v>2</v>
      </c>
      <c r="C2802">
        <v>2019</v>
      </c>
      <c r="D2802" s="3" t="s">
        <f>B2802&amp;"/"&amp;A2802&amp;"/"&amp;C2802</f>
        <v>2750</v>
      </c>
      <c r="E2802">
        <v>0.95833333333333337</v>
      </c>
      <c r="F2802" t="s">
        <f>I2802&amp;" "&amp;J2802&amp;" "&amp;K2802&amp;" "&amp;L2802&amp;" "&amp;M2802&amp;" "&amp;N2802</f>
        <v>2690</v>
      </c>
      <c r="G2802" t="s">
        <f>TEXT(D2802,"mmm dd")</f>
        <v>1182</v>
      </c>
      <c r="I2802" t="s">
        <v>2223</v>
      </c>
      <c r="J2802" t="s">
        <v>2320</v>
      </c>
    </row>
    <row r="2803" spans="1:23">
      <c r="A2803">
        <v>6</v>
      </c>
      <c r="B2803">
        <v>2</v>
      </c>
      <c r="C2803">
        <v>2019</v>
      </c>
      <c r="D2803" s="3" t="s">
        <f>B2803&amp;"/"&amp;A2803&amp;"/"&amp;C2803</f>
        <v>2751</v>
      </c>
      <c r="E2803">
        <v>0.79305555555555551</v>
      </c>
      <c r="F2803" t="str">
        <f>I2803&amp;" "&amp;J2803&amp;" "&amp;K2803&amp;" "&amp;L2803&amp;" "&amp;M2803&amp;" "&amp;N2803</f>
        <v>Flight to Atlanta (DL 2386) </v>
      </c>
      <c r="G2803" t="s">
        <f>TEXT(D2803,"mmm dd")</f>
        <v>1185</v>
      </c>
      <c r="I2803" t="s">
        <v>2365</v>
      </c>
      <c r="J2803" t="s">
        <v>449</v>
      </c>
      <c r="K2803" t="s">
        <v>2369</v>
      </c>
      <c r="L2803" t="s">
        <v>2591</v>
      </c>
      <c r="M2803" t="inlineStr">
        <is>
          <t>2386)</t>
        </is>
      </c>
    </row>
    <row r="2804" spans="1:23">
      <c r="A2804">
        <v>6</v>
      </c>
      <c r="B2804">
        <v>2</v>
      </c>
      <c r="C2804">
        <v>2019</v>
      </c>
      <c r="D2804" s="3" t="s">
        <f>B2804&amp;"/"&amp;A2804&amp;"/"&amp;C2804</f>
        <v>2751</v>
      </c>
      <c r="E2804">
        <v>0.91319444444444442</v>
      </c>
      <c r="F2804" t="str">
        <f>I2804&amp;" "&amp;J2804&amp;" "&amp;K2804&amp;" "&amp;L2804&amp;" "&amp;M2804&amp;" "&amp;N2804</f>
        <v>Flight to Orlando (DL 1099) </v>
      </c>
      <c r="G2804" t="s">
        <f>TEXT(D2804,"mmm dd")</f>
        <v>1185</v>
      </c>
      <c r="I2804" t="s">
        <v>2365</v>
      </c>
      <c r="J2804" t="s">
        <v>449</v>
      </c>
      <c r="K2804" t="s">
        <v>2367</v>
      </c>
      <c r="L2804" t="s">
        <v>2591</v>
      </c>
      <c r="M2804" t="inlineStr">
        <is>
          <t>1099)</t>
        </is>
      </c>
    </row>
    <row r="2805" spans="1:23">
      <c r="A2805">
        <v>9</v>
      </c>
      <c r="B2805">
        <v>2</v>
      </c>
      <c r="C2805">
        <v>2019</v>
      </c>
      <c r="D2805" s="3" t="s">
        <f>B2805&amp;"/"&amp;A2805&amp;"/"&amp;C2805</f>
        <v>2752</v>
      </c>
      <c r="E2805">
        <v>1.0736111111111111</v>
      </c>
      <c r="F2805" t="str">
        <f>I2805&amp;" "&amp;J2805&amp;" "&amp;K2805&amp;" "&amp;L2805&amp;" "&amp;M2805&amp;" "&amp;N2805</f>
        <v>Flight to Charlotte (DL 2438) </v>
      </c>
      <c r="G2805" t="s">
        <f>TEXT(D2805,"mmm dd")</f>
        <v>1504</v>
      </c>
      <c r="I2805" t="s">
        <v>2365</v>
      </c>
      <c r="J2805" t="s">
        <v>449</v>
      </c>
      <c r="K2805" t="s">
        <v>2372</v>
      </c>
      <c r="L2805" t="s">
        <v>2591</v>
      </c>
      <c r="M2805" t="inlineStr">
        <is>
          <t>2438)</t>
        </is>
      </c>
    </row>
    <row r="2806" spans="1:23">
      <c r="A2806">
        <v>9</v>
      </c>
      <c r="B2806">
        <v>2</v>
      </c>
      <c r="C2806">
        <v>2019</v>
      </c>
      <c r="D2806" s="3" t="s">
        <f>B2806&amp;"/"&amp;A2806&amp;"/"&amp;C2806</f>
        <v>2752</v>
      </c>
      <c r="E2806">
        <v>0.93402777777777779</v>
      </c>
      <c r="F2806" t="str">
        <f>I2806&amp;" "&amp;J2806&amp;" "&amp;K2806&amp;" "&amp;L2806&amp;" "&amp;M2806&amp;" "&amp;N2806</f>
        <v>Flight to Atlanta (DL 1083) </v>
      </c>
      <c r="G2806" t="s">
        <f>TEXT(D2806,"mmm dd")</f>
        <v>1504</v>
      </c>
      <c r="I2806" t="s">
        <v>2365</v>
      </c>
      <c r="J2806" t="s">
        <v>449</v>
      </c>
      <c r="K2806" t="s">
        <v>2369</v>
      </c>
      <c r="L2806" t="s">
        <v>2591</v>
      </c>
      <c r="M2806" t="inlineStr">
        <is>
          <t>1083)</t>
        </is>
      </c>
    </row>
    <row r="2807" spans="1:23">
      <c r="A2807">
        <v>10</v>
      </c>
      <c r="B2807">
        <v>2</v>
      </c>
      <c r="C2807">
        <v>2019</v>
      </c>
      <c r="D2807" s="3" t="str">
        <f>B2807&amp;"/"&amp;A2807&amp;"/"&amp;C2807</f>
        <v>2/10/2019</v>
      </c>
      <c r="E2807">
        <v>0.95833333333333337</v>
      </c>
      <c r="F2807" t="s">
        <f>I2807&amp;" "&amp;J2807&amp;" "&amp;K2807&amp;" "&amp;L2807&amp;" "&amp;M2807&amp;" "&amp;N2807</f>
        <v>2690</v>
      </c>
      <c r="G2807" t="s">
        <f>TEXT(D2807,"mmm dd")</f>
        <v>1190</v>
      </c>
      <c r="I2807" t="s">
        <v>2223</v>
      </c>
      <c r="J2807" t="s">
        <v>2320</v>
      </c>
    </row>
    <row r="2808" spans="1:23">
      <c r="A2808">
        <v>12</v>
      </c>
      <c r="B2808">
        <v>2</v>
      </c>
      <c r="C2808">
        <v>2019</v>
      </c>
      <c r="D2808" s="3" t="str">
        <f>B2808&amp;"/"&amp;A2808&amp;"/"&amp;C2808</f>
        <v>2/12/2019</v>
      </c>
      <c r="E2808">
        <v>0.73611111111111116</v>
      </c>
      <c r="F2808" t="s">
        <f>I2808&amp;" "&amp;J2808&amp;" "&amp;K2808&amp;" "&amp;L2808&amp;" "&amp;M2808&amp;" "&amp;N2808</f>
        <v>2606</v>
      </c>
      <c r="G2808" t="s">
        <f>TEXT(D2808,"mmm dd")</f>
        <v>1194</v>
      </c>
      <c r="I2808" t="s">
        <v>1791</v>
      </c>
      <c r="J2808" t="s">
        <v>2594</v>
      </c>
    </row>
    <row r="2809" spans="1:23">
      <c r="A2809">
        <v>14</v>
      </c>
      <c r="B2809">
        <v>2</v>
      </c>
      <c r="C2809">
        <v>2019</v>
      </c>
      <c r="D2809" s="3" t="str">
        <f>B2809&amp;"/"&amp;A2809&amp;"/"&amp;C2809</f>
        <v>2/14/2019</v>
      </c>
      <c r="E2809">
        <v>0.79166666666666663</v>
      </c>
      <c r="F2809" t="str">
        <f>I2809&amp;" "&amp;J2809&amp;" "&amp;K2809&amp;" "&amp;L2809&amp;" "&amp;M2809&amp;" "&amp;N2809</f>
        <v>Meet Parker at school  </v>
      </c>
      <c r="G2809" t="s">
        <f>TEXT(D2809,"mmm dd")</f>
        <v>2180</v>
      </c>
      <c r="I2809" t="s">
        <v>300</v>
      </c>
      <c r="J2809" t="s">
        <v>2448</v>
      </c>
      <c r="K2809" t="s">
        <v>53</v>
      </c>
      <c r="L2809" t="s">
        <v>778</v>
      </c>
    </row>
    <row r="2810" spans="1:23">
      <c r="A2810">
        <v>15</v>
      </c>
      <c r="B2810">
        <v>2</v>
      </c>
      <c r="C2810">
        <v>2019</v>
      </c>
      <c r="D2810" s="3" t="str">
        <f>B2810&amp;"/"&amp;A2810&amp;"/"&amp;C2810</f>
        <v>2/15/2019</v>
      </c>
      <c r="E2810">
        <v>0.79166666666666663</v>
      </c>
      <c r="F2810" t="s">
        <f>I2810&amp;" "&amp;J2810&amp;" "&amp;K2810&amp;" "&amp;L2810&amp;" "&amp;M2810&amp;" "&amp;N2810</f>
        <v>2690</v>
      </c>
      <c r="G2810" t="s">
        <f>TEXT(D2810,"mmm dd")</f>
        <v>1849</v>
      </c>
      <c r="I2810" t="s">
        <v>2223</v>
      </c>
      <c r="J2810" t="s">
        <v>2320</v>
      </c>
    </row>
    <row r="2811" spans="1:23">
      <c r="A2811">
        <v>19</v>
      </c>
      <c r="B2811">
        <v>2</v>
      </c>
      <c r="C2811">
        <v>2019</v>
      </c>
      <c r="D2811" s="3" t="str">
        <f>B2811&amp;"/"&amp;A2811&amp;"/"&amp;C2811</f>
        <v>2/19/2019</v>
      </c>
      <c r="E2811">
        <v>0.75</v>
      </c>
      <c r="F2811" t="str">
        <f>I2811&amp;" "&amp;J2811&amp;" "&amp;K2811&amp;" "&amp;L2811&amp;" "&amp;M2811&amp;" "&amp;N2811</f>
        <v>Antonionin for exam   </v>
      </c>
      <c r="G2811" t="s">
        <f>TEXT(D2811,"mmm dd")</f>
        <v>1209</v>
      </c>
      <c r="I2811" t="inlineStr">
        <is>
          <t>Antonionin</t>
        </is>
      </c>
      <c r="J2811" t="s">
        <v>439</v>
      </c>
      <c r="K2811" t="s">
        <v>2290</v>
      </c>
    </row>
    <row r="2812" spans="1:23">
      <c r="A2812">
        <v>24</v>
      </c>
      <c r="B2812">
        <v>2</v>
      </c>
      <c r="C2812">
        <v>2019</v>
      </c>
      <c r="D2812" s="3" t="str">
        <f>B2812&amp;"/"&amp;A2812&amp;"/"&amp;C2812</f>
        <v>2/24/2019</v>
      </c>
      <c r="E2812">
        <v>0.66666666666666663</v>
      </c>
      <c r="F2812" t="str">
        <f>I2812&amp;" "&amp;J2812&amp;" "&amp;K2812&amp;" "&amp;L2812&amp;" "&amp;M2812&amp;" "&amp;N2812</f>
        <v>supply St. Paul Ft. Mill </v>
      </c>
      <c r="G2812" t="s">
        <f>TEXT(D2812,"mmm dd")</f>
        <v>2498</v>
      </c>
      <c r="I2812" t="s">
        <v>2554</v>
      </c>
      <c r="J2812" t="s">
        <v>218</v>
      </c>
      <c r="K2812" t="s">
        <v>1337</v>
      </c>
      <c r="L2812" t="s">
        <v>2709</v>
      </c>
      <c r="M2812" t="s">
        <v>2705</v>
      </c>
    </row>
    <row r="2813" spans="1:23">
      <c r="A2813">
        <v>25</v>
      </c>
      <c r="B2813">
        <v>2</v>
      </c>
      <c r="C2813">
        <v>2019</v>
      </c>
      <c r="D2813" s="3" t="str">
        <f>B2813&amp;"/"&amp;A2813&amp;"/"&amp;C2813</f>
        <v>2/25/2019</v>
      </c>
      <c r="E2813">
        <v>0.79166666666666663</v>
      </c>
      <c r="F2813" t="s">
        <f>I2813&amp;" "&amp;J2813&amp;" "&amp;K2813&amp;" "&amp;L2813&amp;" "&amp;M2813&amp;" "&amp;N2813</f>
        <v>2690</v>
      </c>
      <c r="G2813" t="s">
        <f>TEXT(D2813,"mmm dd")</f>
        <v>1216</v>
      </c>
      <c r="I2813" t="s">
        <v>2223</v>
      </c>
      <c r="J2813" t="s">
        <v>2320</v>
      </c>
    </row>
    <row r="2814" spans="1:23">
      <c r="A2814">
        <v>3</v>
      </c>
      <c r="B2814">
        <v>3</v>
      </c>
      <c r="C2814">
        <v>2019</v>
      </c>
      <c r="D2814" s="3" t="str">
        <f>B2814&amp;"/"&amp;A2814&amp;"/"&amp;C2814</f>
        <v>3/3/2019</v>
      </c>
      <c r="E2814">
        <v>0.79166666666666663</v>
      </c>
      <c r="F2814" t="s">
        <f>I2814&amp;" "&amp;J2814&amp;" "&amp;K2814&amp;" "&amp;L2814&amp;" "&amp;M2814&amp;" "&amp;N2814</f>
        <v>2748</v>
      </c>
      <c r="G2814" t="s">
        <f>TEXT(D2814,"mmm dd")</f>
        <v>1234</v>
      </c>
      <c r="I2814" t="s">
        <v>2554</v>
      </c>
      <c r="J2814" t="s">
        <v>218</v>
      </c>
      <c r="K2814" t="s">
        <v>2749</v>
      </c>
      <c r="M2814" t="s">
        <v>2547</v>
      </c>
    </row>
    <row r="2815" spans="1:23">
      <c r="A2815">
        <v>7</v>
      </c>
      <c r="B2815">
        <v>3</v>
      </c>
      <c r="C2815">
        <v>2019</v>
      </c>
      <c r="D2815" s="3" t="str">
        <f>B2815&amp;"/"&amp;A2815&amp;"/"&amp;C2815</f>
        <v>3/7/2019</v>
      </c>
      <c r="E2815">
        <v>0.625</v>
      </c>
      <c r="F2815" t="s">
        <f>I2815&amp;" "&amp;J2815&amp;" "&amp;K2815&amp;" "&amp;L2815&amp;" "&amp;M2815&amp;" "&amp;N2815</f>
        <v>2690</v>
      </c>
      <c r="G2815" t="s">
        <f>TEXT(D2815,"mmm dd")</f>
        <v>1239</v>
      </c>
      <c r="I2815" t="s">
        <v>2223</v>
      </c>
      <c r="J2815" t="s">
        <v>2320</v>
      </c>
    </row>
    <row r="2816" spans="1:23">
      <c r="A2816">
        <v>8</v>
      </c>
      <c r="B2816">
        <v>3</v>
      </c>
      <c r="C2816">
        <v>2019</v>
      </c>
      <c r="D2816" s="3" t="str">
        <f>B2816&amp;"/"&amp;A2816&amp;"/"&amp;C2816</f>
        <v>3/8/2019</v>
      </c>
      <c r="E2816">
        <v>0.66666666666666663</v>
      </c>
      <c r="F2816" t="str">
        <f>I2816&amp;" "&amp;J2816&amp;" "&amp;K2816&amp;" "&amp;L2816&amp;" "&amp;M2816&amp;" "&amp;N2816</f>
        <v>Melon and muffins   </v>
      </c>
      <c r="G2816" t="s">
        <f>TEXT(D2816,"mmm dd")</f>
        <v>1542</v>
      </c>
      <c r="I2816" t="inlineStr">
        <is>
          <t>Melon</t>
        </is>
      </c>
      <c r="J2816" t="s">
        <v>135</v>
      </c>
      <c r="K2816" t="inlineStr">
        <is>
          <t>muffins</t>
        </is>
      </c>
    </row>
    <row r="2817" spans="1:23">
      <c r="A2817">
        <v>11</v>
      </c>
      <c r="B2817">
        <v>3</v>
      </c>
      <c r="C2817">
        <v>2019</v>
      </c>
      <c r="D2817" s="3" t="str">
        <f>B2817&amp;"/"&amp;A2817&amp;"/"&amp;C2817</f>
        <v>3/11/2019</v>
      </c>
      <c r="E2817">
        <v>1.0833333333333333</v>
      </c>
      <c r="F2817" t="s">
        <f>I2817&amp;" "&amp;J2817&amp;" "&amp;K2817&amp;" "&amp;L2817&amp;" "&amp;M2817&amp;" "&amp;N2817</f>
        <v>2690</v>
      </c>
      <c r="G2817" t="s">
        <f>TEXT(D2817,"mmm dd")</f>
        <v>1550</v>
      </c>
      <c r="I2817" t="s">
        <v>2223</v>
      </c>
      <c r="J2817" t="s">
        <v>2320</v>
      </c>
    </row>
    <row r="2818" spans="1:23">
      <c r="A2818">
        <v>21</v>
      </c>
      <c r="B2818">
        <v>3</v>
      </c>
      <c r="C2818">
        <v>2019</v>
      </c>
      <c r="D2818" s="3" t="str">
        <f>B2818&amp;"/"&amp;A2818&amp;"/"&amp;C2818</f>
        <v>3/21/2019</v>
      </c>
      <c r="E2818">
        <v>0.25</v>
      </c>
      <c r="F2818" t="s">
        <f>I2818&amp;" "&amp;J2818&amp;" "&amp;K2818&amp;" "&amp;L2818&amp;" "&amp;M2818&amp;" "&amp;N2818</f>
        <v>2690</v>
      </c>
      <c r="G2818" t="s">
        <f>TEXT(D2818,"mmm dd")</f>
        <v>1263</v>
      </c>
      <c r="I2818" t="s">
        <v>2223</v>
      </c>
      <c r="J2818" t="s">
        <v>2320</v>
      </c>
    </row>
    <row r="2819" spans="1:23">
      <c r="A2819">
        <v>22</v>
      </c>
      <c r="B2819">
        <v>3</v>
      </c>
      <c r="C2819">
        <v>2019</v>
      </c>
      <c r="D2819" s="3" t="str">
        <f>B2819&amp;"/"&amp;A2819&amp;"/"&amp;C2819</f>
        <v>3/22/2019</v>
      </c>
      <c r="E2819">
        <v>0.76041666666666663</v>
      </c>
      <c r="F2819" t="str">
        <f>I2819&amp;" "&amp;J2819&amp;" "&amp;K2819&amp;" "&amp;L2819&amp;" "&amp;M2819&amp;" "&amp;N2819</f>
        <v>Dr Geary (Dale)   </v>
      </c>
      <c r="G2819" t="s">
        <f>TEXT(D2819,"mmm dd")</f>
        <v>1886</v>
      </c>
      <c r="I2819" t="s">
        <v>1791</v>
      </c>
      <c r="J2819" t="s">
        <v>2537</v>
      </c>
      <c r="K2819" t="s">
        <v>2753</v>
      </c>
    </row>
    <row r="2820" spans="1:23">
      <c r="A2820">
        <v>23</v>
      </c>
      <c r="B2820">
        <v>3</v>
      </c>
      <c r="C2820">
        <v>2019</v>
      </c>
      <c r="D2820" s="3" t="str">
        <f>B2820&amp;"/"&amp;A2820&amp;"/"&amp;C2820</f>
        <v>3/23/2019</v>
      </c>
      <c r="E2820">
        <v>1.0416666666666667</v>
      </c>
      <c r="F2820" t="s">
        <f>I2820&amp;" "&amp;J2820&amp;" "&amp;K2820&amp;" "&amp;L2820&amp;" "&amp;M2820&amp;" "&amp;N2820</f>
        <v>2754</v>
      </c>
      <c r="G2820" t="s">
        <f>TEXT(D2820,"mmm dd")</f>
        <v>1888</v>
      </c>
      <c r="I2820" t="s">
        <v>218</v>
      </c>
      <c r="J2820" t="s">
        <v>1298</v>
      </c>
    </row>
    <row r="2821" spans="1:23">
      <c r="A2821">
        <v>26</v>
      </c>
      <c r="B2821">
        <v>3</v>
      </c>
      <c r="C2821">
        <v>2019</v>
      </c>
      <c r="D2821" s="3" t="str">
        <f>B2821&amp;"/"&amp;A2821&amp;"/"&amp;C2821</f>
        <v>3/26/2019</v>
      </c>
      <c r="E2821">
        <v>0.125</v>
      </c>
      <c r="F2821" t="s">
        <f>I2821&amp;" "&amp;J2821&amp;" "&amp;K2821&amp;" "&amp;L2821&amp;" "&amp;M2821&amp;" "&amp;N2821</f>
        <v>2690</v>
      </c>
      <c r="G2821" t="s">
        <f>TEXT(D2821,"mmm dd")</f>
        <v>1560</v>
      </c>
      <c r="I2821" t="s">
        <v>2223</v>
      </c>
      <c r="J2821" t="s">
        <v>2320</v>
      </c>
    </row>
    <row r="2822" spans="1:23">
      <c r="A2822">
        <v>30</v>
      </c>
      <c r="B2822">
        <v>3</v>
      </c>
      <c r="C2822">
        <v>2019</v>
      </c>
      <c r="D2822" s="3" t="str">
        <f>B2822&amp;"/"&amp;A2822&amp;"/"&amp;C2822</f>
        <v>3/30/2019</v>
      </c>
      <c r="E2822">
        <v>1.0416666666666667</v>
      </c>
      <c r="F2822" t="s">
        <f>I2822&amp;" "&amp;J2822&amp;" "&amp;K2822&amp;" "&amp;L2822&amp;" "&amp;M2822&amp;" "&amp;N2822</f>
        <v>2690</v>
      </c>
      <c r="G2822" t="s">
        <f>TEXT(D2822,"mmm dd")</f>
        <v>1900</v>
      </c>
      <c r="I2822" t="s">
        <v>2223</v>
      </c>
      <c r="J2822" t="s">
        <v>2320</v>
      </c>
    </row>
    <row r="2823" spans="1:23">
      <c r="A2823">
        <v>4</v>
      </c>
      <c r="B2823">
        <v>4</v>
      </c>
      <c r="C2823">
        <v>2019</v>
      </c>
      <c r="D2823" s="3" t="str">
        <f>B2823&amp;"/"&amp;A2823&amp;"/"&amp;C2823</f>
        <v>4/4/2019</v>
      </c>
      <c r="E2823">
        <v>0.95833333333333337</v>
      </c>
      <c r="F2823" t="s">
        <f>I2823&amp;" "&amp;J2823&amp;" "&amp;K2823&amp;" "&amp;L2823&amp;" "&amp;M2823&amp;" "&amp;N2823</f>
        <v>2690</v>
      </c>
      <c r="G2823" t="s">
        <f>TEXT(D2823,"mmm dd")</f>
        <v>91</v>
      </c>
      <c r="I2823" t="s">
        <v>2223</v>
      </c>
      <c r="J2823" t="s">
        <v>2320</v>
      </c>
    </row>
    <row r="2824" spans="1:23">
      <c r="A2824">
        <v>7</v>
      </c>
      <c r="B2824">
        <v>4</v>
      </c>
      <c r="C2824">
        <v>2019</v>
      </c>
      <c r="D2824" s="3" t="str">
        <f>B2824&amp;"/"&amp;A2824&amp;"/"&amp;C2824</f>
        <v>4/7/2019</v>
      </c>
      <c r="E2824">
        <v>0.625</v>
      </c>
      <c r="F2824" t="s">
        <f>I2824&amp;" "&amp;J2824&amp;" "&amp;K2824&amp;" "&amp;L2824&amp;" "&amp;M2824&amp;" "&amp;N2824</f>
        <v>2755</v>
      </c>
      <c r="G2824" t="s">
        <f>TEXT(D2824,"mmm dd")</f>
        <v>125</v>
      </c>
      <c r="I2824" t="s">
        <v>2468</v>
      </c>
      <c r="J2824" t="s">
        <v>964</v>
      </c>
      <c r="K2824" t="s">
        <v>86</v>
      </c>
      <c r="L2824" t="s">
        <v>2119</v>
      </c>
      <c r="M2824" t="s">
        <v>2756</v>
      </c>
    </row>
    <row r="2825" spans="1:23">
      <c r="A2825">
        <v>9</v>
      </c>
      <c r="B2825">
        <v>4</v>
      </c>
      <c r="C2825">
        <v>2019</v>
      </c>
      <c r="D2825" s="3" t="str">
        <f>B2825&amp;"/"&amp;A2825&amp;"/"&amp;C2825</f>
        <v>4/9/2019</v>
      </c>
      <c r="E2825">
        <v>0.79166666666666663</v>
      </c>
      <c r="F2825" t="str">
        <f>I2825&amp;" "&amp;J2825&amp;" "&amp;K2825&amp;" "&amp;L2825&amp;" "&amp;M2825&amp;" "&amp;N2825</f>
        <v>Direct tv    </v>
      </c>
      <c r="G2825" t="s">
        <f>TEXT(D2825,"mmm dd")</f>
        <v>147</v>
      </c>
      <c r="I2825" t="inlineStr">
        <is>
          <t>Direct</t>
        </is>
      </c>
      <c r="J2825" t="inlineStr">
        <is>
          <t>tv</t>
        </is>
      </c>
    </row>
    <row r="2826" spans="1:23">
      <c r="A2826">
        <v>11</v>
      </c>
      <c r="B2826">
        <v>4</v>
      </c>
      <c r="C2826">
        <v>2019</v>
      </c>
      <c r="D2826" s="3" t="str">
        <f>B2826&amp;"/"&amp;A2826&amp;"/"&amp;C2826</f>
        <v>4/11/2019</v>
      </c>
      <c r="E2826">
        <v>0.75</v>
      </c>
      <c r="F2826" t="str">
        <f>I2826&amp;" "&amp;J2826&amp;" "&amp;K2826&amp;" "&amp;L2826&amp;" "&amp;M2826&amp;" "&amp;N2826</f>
        <v>Aaron Goff exam   </v>
      </c>
      <c r="G2826" t="s">
        <f>TEXT(D2826,"mmm dd")</f>
        <v>161</v>
      </c>
      <c r="I2826" t="s">
        <v>2757</v>
      </c>
      <c r="J2826" t="inlineStr">
        <is>
          <t>Goff</t>
        </is>
      </c>
      <c r="K2826" t="s">
        <v>2290</v>
      </c>
    </row>
    <row r="2827" spans="1:23">
      <c r="A2827">
        <v>14</v>
      </c>
      <c r="B2827">
        <v>4</v>
      </c>
      <c r="C2827">
        <v>2019</v>
      </c>
      <c r="D2827" s="3" t="str">
        <f>B2827&amp;"/"&amp;A2827&amp;"/"&amp;C2827</f>
        <v>4/14/2019</v>
      </c>
      <c r="E2827">
        <v>0.66666666666666663</v>
      </c>
      <c r="F2827" t="s">
        <f>I2827&amp;" "&amp;J2827&amp;" "&amp;K2827&amp;" "&amp;L2827&amp;" "&amp;M2827&amp;" "&amp;N2827</f>
        <v>2698</v>
      </c>
      <c r="G2827" t="s">
        <f>TEXT(D2827,"mmm dd")</f>
        <v>1576</v>
      </c>
      <c r="I2827" t="s">
        <v>2468</v>
      </c>
      <c r="J2827" t="s">
        <v>1317</v>
      </c>
      <c r="K2827" t="s">
        <v>2699</v>
      </c>
    </row>
    <row r="2828" spans="1:23">
      <c r="A2828">
        <v>18</v>
      </c>
      <c r="B2828">
        <v>4</v>
      </c>
      <c r="C2828">
        <v>2019</v>
      </c>
      <c r="D2828" s="3" t="str">
        <f>B2828&amp;"/"&amp;A2828&amp;"/"&amp;C2828</f>
        <v>4/18/2019</v>
      </c>
      <c r="E2828">
        <v>0.95833333333333337</v>
      </c>
      <c r="F2828" t="s">
        <f>I2828&amp;" "&amp;J2828&amp;" "&amp;K2828&amp;" "&amp;L2828&amp;" "&amp;M2828&amp;" "&amp;N2828</f>
        <v>2690</v>
      </c>
      <c r="G2828" t="s">
        <f>TEXT(D2828,"mmm dd")</f>
        <v>193</v>
      </c>
      <c r="I2828" t="s">
        <v>2223</v>
      </c>
      <c r="J2828" t="s">
        <v>2320</v>
      </c>
    </row>
    <row r="2829" spans="1:23">
      <c r="A2829">
        <v>22</v>
      </c>
      <c r="B2829">
        <v>4</v>
      </c>
      <c r="C2829">
        <v>2019</v>
      </c>
      <c r="D2829" s="3" t="str">
        <f>B2829&amp;"/"&amp;A2829&amp;"/"&amp;C2829</f>
        <v>4/22/2019</v>
      </c>
      <c r="E2829">
        <v>0.97916666666666663</v>
      </c>
      <c r="F2829" t="str">
        <f>I2829&amp;" "&amp;J2829&amp;" "&amp;K2829&amp;" "&amp;L2829&amp;" "&amp;M2829&amp;" "&amp;N2829</f>
        <v>Take photo of Mary Pat's class</v>
      </c>
      <c r="G2829" t="s">
        <f>TEXT(D2829,"mmm dd")</f>
        <v>215</v>
      </c>
      <c r="I2829" t="s">
        <v>821</v>
      </c>
      <c r="J2829" t="s">
        <v>1101</v>
      </c>
      <c r="K2829" t="s">
        <v>86</v>
      </c>
      <c r="L2829" t="s">
        <v>410</v>
      </c>
      <c r="M2829" t="s">
        <v>1762</v>
      </c>
      <c r="N2829" t="s">
        <v>857</v>
      </c>
    </row>
    <row r="2830" spans="1:23">
      <c r="A2830">
        <v>23</v>
      </c>
      <c r="B2830">
        <v>4</v>
      </c>
      <c r="C2830">
        <v>2019</v>
      </c>
      <c r="D2830" s="3" t="str">
        <f>B2830&amp;"/"&amp;A2830&amp;"/"&amp;C2830</f>
        <v>4/23/2019</v>
      </c>
      <c r="E2830">
        <v>0.75</v>
      </c>
      <c r="F2830" t="s">
        <f>I2830&amp;" "&amp;J2830&amp;" "&amp;K2830&amp;" "&amp;L2830&amp;" "&amp;M2830&amp;" "&amp;N2830</f>
        <v>2690</v>
      </c>
      <c r="G2830" t="s">
        <f>TEXT(D2830,"mmm dd")</f>
        <v>221</v>
      </c>
      <c r="I2830" t="s">
        <v>2223</v>
      </c>
      <c r="J2830" t="s">
        <v>2320</v>
      </c>
    </row>
    <row r="2831" spans="1:23">
      <c r="A2831">
        <v>24</v>
      </c>
      <c r="B2831">
        <v>4</v>
      </c>
      <c r="C2831">
        <v>2019</v>
      </c>
      <c r="D2831" s="3" t="s">
        <f>B2831&amp;"/"&amp;A2831&amp;"/"&amp;C2831</f>
        <v>2758</v>
      </c>
      <c r="E2831">
        <v>0.91666666666666663</v>
      </c>
      <c r="F2831" t="str">
        <f>I2831&amp;" "&amp;J2831&amp;" "&amp;K2831&amp;" "&amp;L2831&amp;" "&amp;M2831&amp;" "&amp;N2831</f>
        <v>Final 101 2   </v>
      </c>
      <c r="G2831" t="s">
        <f>TEXT(D2831,"mmm dd")</f>
        <v>224</v>
      </c>
      <c r="I2831" t="s">
        <v>1763</v>
      </c>
      <c r="J2831">
        <v>101</v>
      </c>
      <c r="K2831">
        <v>2</v>
      </c>
    </row>
    <row r="2832" spans="1:23">
      <c r="A2832">
        <v>24</v>
      </c>
      <c r="B2832">
        <v>4</v>
      </c>
      <c r="C2832">
        <v>2019</v>
      </c>
      <c r="D2832" s="3" t="s">
        <f>B2832&amp;"/"&amp;A2832&amp;"/"&amp;C2832</f>
        <v>2758</v>
      </c>
      <c r="E2832">
        <v>0.78125</v>
      </c>
      <c r="F2832" t="str">
        <f>I2832&amp;" "&amp;J2832&amp;" "&amp;K2832&amp;" "&amp;L2832&amp;" "&amp;M2832&amp;" "&amp;N2832</f>
        <v>Office hours Mohammed   </v>
      </c>
      <c r="G2832" t="s">
        <f>TEXT(D2832,"mmm dd")</f>
        <v>224</v>
      </c>
      <c r="I2832" t="s">
        <v>493</v>
      </c>
      <c r="J2832" t="s">
        <v>2430</v>
      </c>
      <c r="K2832" t="inlineStr">
        <is>
          <t>Mohammed</t>
        </is>
      </c>
    </row>
    <row r="2833" spans="1:23">
      <c r="A2833">
        <v>27</v>
      </c>
      <c r="B2833">
        <v>4</v>
      </c>
      <c r="C2833">
        <v>2019</v>
      </c>
      <c r="D2833" s="3" t="str">
        <f>B2833&amp;"/"&amp;A2833&amp;"/"&amp;C2833</f>
        <v>4/27/2019</v>
      </c>
      <c r="E2833">
        <v>0.70833333333333337</v>
      </c>
      <c r="F2833" t="s">
        <f>I2833&amp;" "&amp;J2833&amp;" "&amp;K2833&amp;" "&amp;L2833&amp;" "&amp;M2833&amp;" "&amp;N2833</f>
        <v>2754</v>
      </c>
      <c r="G2833" t="s">
        <f>TEXT(D2833,"mmm dd")</f>
        <v>234</v>
      </c>
      <c r="I2833" t="s">
        <v>218</v>
      </c>
      <c r="J2833" t="s">
        <v>1298</v>
      </c>
    </row>
    <row r="2834" spans="1:23">
      <c r="A2834">
        <v>28</v>
      </c>
      <c r="B2834">
        <v>4</v>
      </c>
      <c r="C2834">
        <v>2019</v>
      </c>
      <c r="D2834" s="3" t="s">
        <f>B2834&amp;"/"&amp;A2834&amp;"/"&amp;C2834</f>
        <v>2759</v>
      </c>
      <c r="E2834">
        <v>0.625</v>
      </c>
      <c r="F2834" t="s">
        <f>I2834&amp;" "&amp;J2834&amp;" "&amp;K2834&amp;" "&amp;L2834&amp;" "&amp;M2834&amp;" "&amp;N2834</f>
        <v>2755</v>
      </c>
      <c r="G2834" t="s">
        <f>TEXT(D2834,"mmm dd")</f>
        <v>236</v>
      </c>
      <c r="I2834" t="s">
        <v>2468</v>
      </c>
      <c r="J2834" t="s">
        <v>964</v>
      </c>
      <c r="K2834" t="s">
        <v>86</v>
      </c>
      <c r="L2834" t="s">
        <v>2119</v>
      </c>
      <c r="M2834" t="s">
        <v>2756</v>
      </c>
    </row>
    <row r="2835" spans="1:23">
      <c r="A2835">
        <v>28</v>
      </c>
      <c r="B2835">
        <v>4</v>
      </c>
      <c r="C2835">
        <v>2019</v>
      </c>
      <c r="D2835" s="3" t="s">
        <f>B2835&amp;"/"&amp;A2835&amp;"/"&amp;C2835</f>
        <v>2759</v>
      </c>
      <c r="E2835">
        <v>0.95833333333333337</v>
      </c>
      <c r="F2835" t="str">
        <f>I2835&amp;" "&amp;J2835&amp;" "&amp;K2835&amp;" "&amp;L2835&amp;" "&amp;M2835&amp;" "&amp;N2835</f>
        <v>Holocaust Remembrance @ WU  </v>
      </c>
      <c r="G2835" t="s">
        <f>TEXT(D2835,"mmm dd")</f>
        <v>236</v>
      </c>
      <c r="I2835" t="inlineStr">
        <is>
          <t>Holocaust</t>
        </is>
      </c>
      <c r="J2835" t="inlineStr">
        <is>
          <t>Remembrance</t>
        </is>
      </c>
      <c r="K2835" t="s">
        <v>48</v>
      </c>
      <c r="L2835" t="s">
        <v>2641</v>
      </c>
    </row>
    <row r="2836" spans="1:23">
      <c r="A2836">
        <v>29</v>
      </c>
      <c r="B2836">
        <v>4</v>
      </c>
      <c r="C2836">
        <v>2019</v>
      </c>
      <c r="D2836" s="3" t="str">
        <f>B2836&amp;"/"&amp;A2836&amp;"/"&amp;C2836</f>
        <v>4/29/2019</v>
      </c>
      <c r="E2836">
        <v>0.77083333333333337</v>
      </c>
      <c r="F2836" t="str">
        <f>I2836&amp;" "&amp;J2836&amp;" "&amp;K2836&amp;" "&amp;L2836&amp;" "&amp;M2836&amp;" "&amp;N2836</f>
        <v>Final 101 1   </v>
      </c>
      <c r="G2836" t="s">
        <f>TEXT(D2836,"mmm dd")</f>
        <v>239</v>
      </c>
      <c r="I2836" t="s">
        <v>1763</v>
      </c>
      <c r="J2836">
        <v>101</v>
      </c>
      <c r="K2836">
        <v>1</v>
      </c>
    </row>
    <row r="2837" spans="1:23">
      <c r="A2837">
        <v>2</v>
      </c>
      <c r="B2837">
        <v>5</v>
      </c>
      <c r="C2837">
        <v>2019</v>
      </c>
      <c r="D2837" s="3" t="str">
        <f>B2837&amp;"/"&amp;A2837&amp;"/"&amp;C2837</f>
        <v>5/2/2019</v>
      </c>
      <c r="E2837">
        <v>1.0625</v>
      </c>
      <c r="F2837" t="s">
        <f>I2837&amp;" "&amp;J2837&amp;" "&amp;K2837&amp;" "&amp;L2837&amp;" "&amp;M2837&amp;" "&amp;N2837</f>
        <v>1289</v>
      </c>
      <c r="G2837" t="s">
        <f>TEXT(D2837,"mmm dd")</f>
        <v>256</v>
      </c>
      <c r="I2837" t="s">
        <v>1288</v>
      </c>
    </row>
    <row r="2838" spans="1:23">
      <c r="A2838">
        <v>3</v>
      </c>
      <c r="B2838">
        <v>5</v>
      </c>
      <c r="C2838">
        <v>2019</v>
      </c>
      <c r="D2838" s="3" t="str">
        <f>B2838&amp;"/"&amp;A2838&amp;"/"&amp;C2838</f>
        <v>5/3/2019</v>
      </c>
      <c r="E2838">
        <v>0.125</v>
      </c>
      <c r="F2838" t="s">
        <f>I2838&amp;" "&amp;J2838&amp;" "&amp;K2838&amp;" "&amp;L2838&amp;" "&amp;M2838&amp;" "&amp;N2838</f>
        <v>2690</v>
      </c>
      <c r="G2838" t="s">
        <f>TEXT(D2838,"mmm dd")</f>
        <v>262</v>
      </c>
      <c r="I2838" t="s">
        <v>2223</v>
      </c>
      <c r="J2838" t="s">
        <v>2320</v>
      </c>
    </row>
    <row r="2839" spans="1:23">
      <c r="A2839">
        <v>5</v>
      </c>
      <c r="B2839">
        <v>5</v>
      </c>
      <c r="C2839">
        <v>2019</v>
      </c>
      <c r="D2839" s="3" t="str">
        <f>B2839&amp;"/"&amp;A2839&amp;"/"&amp;C2839</f>
        <v>5/5/2019</v>
      </c>
      <c r="E2839">
        <v>0.75</v>
      </c>
      <c r="F2839" t="s">
        <f>I2839&amp;" "&amp;J2839&amp;" "&amp;K2839&amp;" "&amp;L2839&amp;" "&amp;M2839&amp;" "&amp;N2839</f>
        <v>2748</v>
      </c>
      <c r="G2839" t="s">
        <f>TEXT(D2839,"mmm dd")</f>
        <v>2212</v>
      </c>
      <c r="I2839" t="s">
        <v>2554</v>
      </c>
      <c r="J2839" t="s">
        <v>218</v>
      </c>
      <c r="K2839" t="s">
        <v>2749</v>
      </c>
      <c r="M2839" t="s">
        <v>2547</v>
      </c>
    </row>
    <row r="2840" spans="1:23">
      <c r="A2840">
        <v>7</v>
      </c>
      <c r="B2840">
        <v>5</v>
      </c>
      <c r="C2840">
        <v>2019</v>
      </c>
      <c r="D2840" s="3" t="str">
        <f>B2840&amp;"/"&amp;A2840&amp;"/"&amp;C2840</f>
        <v>5/7/2019</v>
      </c>
      <c r="E2840">
        <v>0.8125</v>
      </c>
      <c r="F2840" t="str">
        <f>I2840&amp;" "&amp;J2840&amp;" "&amp;K2840&amp;" "&amp;L2840&amp;" "&amp;M2840&amp;" "&amp;N2840</f>
        <v>Religion department lunch   </v>
      </c>
      <c r="G2840" t="s">
        <f>TEXT(D2840,"mmm dd")</f>
        <v>279</v>
      </c>
      <c r="I2840" t="s">
        <v>2352</v>
      </c>
      <c r="J2840" t="s">
        <v>2610</v>
      </c>
      <c r="K2840" t="s">
        <v>440</v>
      </c>
    </row>
    <row r="2841" spans="1:23">
      <c r="A2841">
        <v>8</v>
      </c>
      <c r="B2841">
        <v>5</v>
      </c>
      <c r="C2841">
        <v>2019</v>
      </c>
      <c r="D2841" s="3" t="str">
        <f>B2841&amp;"/"&amp;A2841&amp;"/"&amp;C2841</f>
        <v>5/8/2019</v>
      </c>
      <c r="E2841">
        <v>0.77083333333333337</v>
      </c>
      <c r="F2841" t="str">
        <f>I2841&amp;" "&amp;J2841&amp;" "&amp;K2841&amp;" "&amp;L2841&amp;" "&amp;M2841&amp;" "&amp;N2841</f>
        <v>Lunch with Janie   </v>
      </c>
      <c r="G2841" t="s">
        <f>TEXT(D2841,"mmm dd")</f>
        <v>282</v>
      </c>
      <c r="I2841" t="s">
        <v>813</v>
      </c>
      <c r="J2841" t="s">
        <v>755</v>
      </c>
      <c r="K2841" t="inlineStr">
        <is>
          <t>Janie</t>
        </is>
      </c>
    </row>
    <row r="2842" spans="1:23">
      <c r="A2842">
        <v>10</v>
      </c>
      <c r="B2842">
        <v>5</v>
      </c>
      <c r="C2842">
        <v>2019</v>
      </c>
      <c r="D2842" s="3" t="str">
        <f>B2842&amp;"/"&amp;A2842&amp;"/"&amp;C2842</f>
        <v>5/10/2019</v>
      </c>
      <c r="E2842">
        <v>1.0895833333333333</v>
      </c>
      <c r="F2842" t="str">
        <f>I2842&amp;" "&amp;J2842&amp;" "&amp;K2842&amp;" "&amp;L2842&amp;" "&amp;M2842&amp;" "&amp;N2842</f>
        <v>Flight to Atlanta (DL 1609) </v>
      </c>
      <c r="G2842" t="s">
        <f>TEXT(D2842,"mmm dd")</f>
        <v>304</v>
      </c>
      <c r="I2842" t="s">
        <v>2365</v>
      </c>
      <c r="J2842" t="s">
        <v>449</v>
      </c>
      <c r="K2842" t="s">
        <v>2369</v>
      </c>
      <c r="L2842" t="s">
        <v>2591</v>
      </c>
      <c r="M2842" t="inlineStr">
        <is>
          <t>1609)</t>
        </is>
      </c>
    </row>
    <row r="2843" spans="1:23">
      <c r="A2843">
        <v>11</v>
      </c>
      <c r="B2843">
        <v>5</v>
      </c>
      <c r="C2843">
        <v>2019</v>
      </c>
      <c r="D2843" s="3" t="s">
        <f>B2843&amp;"/"&amp;A2843&amp;"/"&amp;C2843</f>
        <v>2760</v>
      </c>
      <c r="E2843">
        <v>0.70833333333333337</v>
      </c>
      <c r="F2843" t="s">
        <f>I2843&amp;" "&amp;J2843&amp;" "&amp;K2843&amp;" "&amp;L2843&amp;" "&amp;M2843&amp;" "&amp;N2843</f>
        <v>2754</v>
      </c>
      <c r="G2843" t="s">
        <f>TEXT(D2843,"mmm dd")</f>
        <v>308</v>
      </c>
      <c r="I2843" t="s">
        <v>218</v>
      </c>
      <c r="J2843" t="s">
        <v>1298</v>
      </c>
    </row>
    <row r="2844" spans="1:23">
      <c r="A2844">
        <v>11</v>
      </c>
      <c r="B2844">
        <v>5</v>
      </c>
      <c r="C2844">
        <v>2019</v>
      </c>
      <c r="D2844" s="3" t="s">
        <f>B2844&amp;"/"&amp;A2844&amp;"/"&amp;C2844</f>
        <v>2760</v>
      </c>
      <c r="E2844">
        <v>0.22708333333333333</v>
      </c>
      <c r="F2844" t="str">
        <f>I2844&amp;" "&amp;J2844&amp;" "&amp;K2844&amp;" "&amp;L2844&amp;" "&amp;M2844&amp;" "&amp;N2844</f>
        <v>Flight to Dayton (DL 2306) </v>
      </c>
      <c r="G2844" t="s">
        <f>TEXT(D2844,"mmm dd")</f>
        <v>308</v>
      </c>
      <c r="I2844" t="s">
        <v>2365</v>
      </c>
      <c r="J2844" t="s">
        <v>449</v>
      </c>
      <c r="K2844" t="s">
        <v>2562</v>
      </c>
      <c r="L2844" t="s">
        <v>2591</v>
      </c>
      <c r="M2844" t="inlineStr">
        <is>
          <t>2306)</t>
        </is>
      </c>
    </row>
    <row r="2845" spans="1:23">
      <c r="A2845">
        <v>12</v>
      </c>
      <c r="B2845">
        <v>5</v>
      </c>
      <c r="C2845">
        <v>2019</v>
      </c>
      <c r="D2845" s="3" t="str">
        <f>B2845&amp;"/"&amp;A2845&amp;"/"&amp;C2845</f>
        <v>5/12/2019</v>
      </c>
      <c r="E2845">
        <v>1.0416666666666667</v>
      </c>
      <c r="F2845" t="s">
        <f>I2845&amp;" "&amp;J2845&amp;" "&amp;K2845&amp;" "&amp;L2845&amp;" "&amp;M2845&amp;" "&amp;N2845</f>
        <v>2690</v>
      </c>
      <c r="G2845" t="s">
        <f>TEXT(D2845,"mmm dd")</f>
        <v>317</v>
      </c>
      <c r="I2845" t="s">
        <v>2223</v>
      </c>
      <c r="J2845" t="s">
        <v>2320</v>
      </c>
    </row>
    <row r="2846" spans="1:23">
      <c r="A2846">
        <v>13</v>
      </c>
      <c r="B2846">
        <v>5</v>
      </c>
      <c r="C2846">
        <v>2019</v>
      </c>
      <c r="D2846" s="3" t="str">
        <f>B2846&amp;"/"&amp;A2846&amp;"/"&amp;C2846</f>
        <v>5/13/2019</v>
      </c>
      <c r="E2846">
        <v>1.0625</v>
      </c>
      <c r="F2846" t="str">
        <f>I2846&amp;" "&amp;J2846&amp;" "&amp;K2846&amp;" "&amp;L2846&amp;" "&amp;M2846&amp;" "&amp;N2846</f>
        <v>Flight to Detroit (DL 3744) </v>
      </c>
      <c r="G2846" t="s">
        <f>TEXT(D2846,"mmm dd")</f>
        <v>321</v>
      </c>
      <c r="I2846" t="s">
        <v>2365</v>
      </c>
      <c r="J2846" t="s">
        <v>449</v>
      </c>
      <c r="K2846" t="s">
        <v>2402</v>
      </c>
      <c r="L2846" t="s">
        <v>2591</v>
      </c>
      <c r="M2846" t="inlineStr">
        <is>
          <t>3744)</t>
        </is>
      </c>
    </row>
    <row r="2847" spans="1:23">
      <c r="A2847">
        <v>14</v>
      </c>
      <c r="B2847">
        <v>5</v>
      </c>
      <c r="C2847">
        <v>2019</v>
      </c>
      <c r="D2847" s="3" t="str">
        <f>B2847&amp;"/"&amp;A2847&amp;"/"&amp;C2847</f>
        <v>5/14/2019</v>
      </c>
      <c r="E2847">
        <v>0.22222222222222221</v>
      </c>
      <c r="F2847" t="str">
        <f>I2847&amp;" "&amp;J2847&amp;" "&amp;K2847&amp;" "&amp;L2847&amp;" "&amp;M2847&amp;" "&amp;N2847</f>
        <v>Flight to Charlotte (DL 2923) </v>
      </c>
      <c r="G2847" t="s">
        <f>TEXT(D2847,"mmm dd")</f>
        <v>323</v>
      </c>
      <c r="I2847" t="s">
        <v>2365</v>
      </c>
      <c r="J2847" t="s">
        <v>449</v>
      </c>
      <c r="K2847" t="s">
        <v>2372</v>
      </c>
      <c r="L2847" t="s">
        <v>2591</v>
      </c>
      <c r="M2847" t="inlineStr">
        <is>
          <t>2923)</t>
        </is>
      </c>
    </row>
    <row r="2848" spans="1:23">
      <c r="A2848">
        <v>17</v>
      </c>
      <c r="B2848">
        <v>5</v>
      </c>
      <c r="C2848">
        <v>2019</v>
      </c>
      <c r="D2848" s="3" t="str">
        <f>B2848&amp;"/"&amp;A2848&amp;"/"&amp;C2848</f>
        <v>5/17/2019</v>
      </c>
      <c r="E2848">
        <v>0.75</v>
      </c>
      <c r="F2848" t="s">
        <f>I2848&amp;" "&amp;J2848&amp;" "&amp;K2848&amp;" "&amp;L2848&amp;" "&amp;M2848&amp;" "&amp;N2848</f>
        <v>2690</v>
      </c>
      <c r="G2848" t="s">
        <f>TEXT(D2848,"mmm dd")</f>
        <v>335</v>
      </c>
      <c r="I2848" t="s">
        <v>2223</v>
      </c>
      <c r="J2848" t="s">
        <v>2320</v>
      </c>
    </row>
    <row r="2849" spans="1:23">
      <c r="A2849">
        <v>18</v>
      </c>
      <c r="B2849">
        <v>5</v>
      </c>
      <c r="C2849">
        <v>2019</v>
      </c>
      <c r="D2849" s="3" t="str">
        <f>B2849&amp;"/"&amp;A2849&amp;"/"&amp;C2849</f>
        <v>5/18/2019</v>
      </c>
      <c r="E2849">
        <v>0.95833333333333337</v>
      </c>
      <c r="F2849" t="str">
        <f>I2849&amp;" "&amp;J2849&amp;" "&amp;K2849&amp;" "&amp;L2849&amp;" "&amp;M2849&amp;" "&amp;N2849</f>
        <v>HOA block party   </v>
      </c>
      <c r="G2849" t="s">
        <f>TEXT(D2849,"mmm dd")</f>
        <v>339</v>
      </c>
      <c r="I2849" t="s">
        <v>2761</v>
      </c>
      <c r="J2849" t="inlineStr">
        <is>
          <t>block</t>
        </is>
      </c>
      <c r="K2849" t="s">
        <v>1346</v>
      </c>
    </row>
    <row r="2850" spans="1:23">
      <c r="A2850">
        <v>19</v>
      </c>
      <c r="B2850">
        <v>5</v>
      </c>
      <c r="C2850">
        <v>2019</v>
      </c>
      <c r="D2850" s="3" t="str">
        <f>B2850&amp;"/"&amp;A2850&amp;"/"&amp;C2850</f>
        <v>5/19/2019</v>
      </c>
      <c r="E2850">
        <v>0.66666666666666663</v>
      </c>
      <c r="F2850" t="str">
        <f>I2850&amp;" "&amp;J2850&amp;" "&amp;K2850&amp;" "&amp;L2850&amp;" "&amp;M2850&amp;" "&amp;N2850</f>
        <v>Supply Epiphany\  Spartanburg  </v>
      </c>
      <c r="G2850" t="s">
        <f>TEXT(D2850,"mmm dd")</f>
        <v>344</v>
      </c>
      <c r="I2850" t="s">
        <v>2468</v>
      </c>
      <c r="J2850" t="inlineStr">
        <is>
          <t>Epiphany\</t>
        </is>
      </c>
      <c r="L2850" t="s">
        <v>2699</v>
      </c>
    </row>
    <row r="2851" spans="1:23">
      <c r="A2851">
        <v>22</v>
      </c>
      <c r="B2851">
        <v>5</v>
      </c>
      <c r="C2851">
        <v>2019</v>
      </c>
      <c r="D2851" s="3" t="s">
        <f>B2851&amp;"/"&amp;A2851&amp;"/"&amp;C2851</f>
        <v>2762</v>
      </c>
      <c r="E2851">
        <v>0.83333333333333337</v>
      </c>
      <c r="F2851" t="str">
        <f>I2851&amp;" "&amp;J2851&amp;" "&amp;K2851&amp;" "&amp;L2851&amp;" "&amp;M2851&amp;" "&amp;N2851</f>
        <v>Appointment Costco Hearing Aid  </v>
      </c>
      <c r="G2851" t="s">
        <f>TEXT(D2851,"mmm dd")</f>
        <v>357</v>
      </c>
      <c r="I2851" t="s">
        <v>2419</v>
      </c>
      <c r="J2851" t="s">
        <v>1826</v>
      </c>
      <c r="K2851" t="s">
        <v>2181</v>
      </c>
      <c r="L2851" t="s">
        <v>2672</v>
      </c>
    </row>
    <row r="2852" spans="1:23">
      <c r="A2852">
        <v>22</v>
      </c>
      <c r="B2852">
        <v>5</v>
      </c>
      <c r="C2852">
        <v>2019</v>
      </c>
      <c r="D2852" s="3" t="s">
        <f>B2852&amp;"/"&amp;A2852&amp;"/"&amp;C2852</f>
        <v>2762</v>
      </c>
      <c r="E2852">
        <v>0.25</v>
      </c>
      <c r="F2852" t="s">
        <f>I2852&amp;" "&amp;J2852&amp;" "&amp;K2852&amp;" "&amp;L2852&amp;" "&amp;M2852&amp;" "&amp;N2852</f>
        <v>2690</v>
      </c>
      <c r="G2852" t="s">
        <f>TEXT(D2852,"mmm dd")</f>
        <v>357</v>
      </c>
      <c r="I2852" t="s">
        <v>2223</v>
      </c>
      <c r="J2852" t="s">
        <v>2320</v>
      </c>
    </row>
    <row r="2853" spans="1:23">
      <c r="A2853">
        <v>25</v>
      </c>
      <c r="B2853">
        <v>5</v>
      </c>
      <c r="C2853">
        <v>2019</v>
      </c>
      <c r="D2853" s="3" t="str">
        <f>B2853&amp;"/"&amp;A2853&amp;"/"&amp;C2853</f>
        <v>5/25/2019</v>
      </c>
      <c r="E2853" t="s">
        <v>42</v>
      </c>
      <c r="F2853" t="str">
        <f>I2853&amp;" "&amp;J2853&amp;" "&amp;K2853&amp;" "&amp;L2853&amp;" "&amp;M2853&amp;" "&amp;N2853</f>
        <v>Stay at Colony Inn &amp; Cafe</v>
      </c>
      <c r="G2853" t="s">
        <f>TEXT(D2853,"mmm dd")</f>
        <v>380</v>
      </c>
      <c r="I2853" t="s">
        <v>2398</v>
      </c>
      <c r="J2853" t="s">
        <v>53</v>
      </c>
      <c r="K2853" t="inlineStr">
        <is>
          <t>Colony</t>
        </is>
      </c>
      <c r="L2853" t="s">
        <v>2763</v>
      </c>
      <c r="M2853" t="s">
        <v>73</v>
      </c>
      <c r="N2853" t="inlineStr">
        <is>
          <t>Cafe</t>
        </is>
      </c>
    </row>
    <row r="2854" spans="1:23">
      <c r="A2854">
        <v>26</v>
      </c>
      <c r="B2854">
        <v>5</v>
      </c>
      <c r="C2854">
        <v>2019</v>
      </c>
      <c r="D2854" s="3" t="str">
        <f>B2854&amp;"/"&amp;A2854&amp;"/"&amp;C2854</f>
        <v>5/26/2019</v>
      </c>
      <c r="E2854">
        <v>0.625</v>
      </c>
      <c r="F2854" t="str">
        <f>I2854&amp;" "&amp;J2854&amp;" "&amp;K2854&amp;" "&amp;L2854&amp;" "&amp;M2854&amp;" "&amp;N2854</f>
        <v>Supply Grace Camden SC  </v>
      </c>
      <c r="G2854" t="s">
        <f>TEXT(D2854,"mmm dd")</f>
        <v>386</v>
      </c>
      <c r="I2854" t="s">
        <v>2468</v>
      </c>
      <c r="J2854" t="s">
        <v>2675</v>
      </c>
      <c r="K2854" t="s">
        <v>2694</v>
      </c>
      <c r="L2854" t="s">
        <v>1301</v>
      </c>
    </row>
    <row r="2855" spans="1:23">
      <c r="A2855">
        <v>27</v>
      </c>
      <c r="B2855">
        <v>5</v>
      </c>
      <c r="C2855">
        <v>2019</v>
      </c>
      <c r="D2855" s="3" t="str">
        <f>B2855&amp;"/"&amp;A2855&amp;"/"&amp;C2855</f>
        <v>5/27/2019</v>
      </c>
      <c r="E2855">
        <v>0.66666666666666663</v>
      </c>
      <c r="F2855" t="s">
        <f>I2855&amp;" "&amp;J2855&amp;" "&amp;K2855&amp;" "&amp;L2855&amp;" "&amp;M2855&amp;" "&amp;N2855</f>
        <v>2690</v>
      </c>
      <c r="G2855" t="s">
        <f>TEXT(D2855,"mmm dd")</f>
        <v>391</v>
      </c>
      <c r="I2855" t="s">
        <v>2223</v>
      </c>
      <c r="J2855" t="s">
        <v>2320</v>
      </c>
    </row>
    <row r="2856" spans="1:23">
      <c r="A2856">
        <v>2</v>
      </c>
      <c r="B2856">
        <v>6</v>
      </c>
      <c r="C2856">
        <v>2019</v>
      </c>
      <c r="D2856" s="3" t="str">
        <f>B2856&amp;"/"&amp;A2856&amp;"/"&amp;C2856</f>
        <v>6/2/2019</v>
      </c>
      <c r="E2856">
        <v>0.75</v>
      </c>
      <c r="F2856" t="s">
        <f>I2856&amp;" "&amp;J2856&amp;" "&amp;K2856&amp;" "&amp;L2856&amp;" "&amp;M2856&amp;" "&amp;N2856</f>
        <v>2748</v>
      </c>
      <c r="G2856" t="s">
        <f>TEXT(D2856,"mmm dd")</f>
        <v>430</v>
      </c>
      <c r="I2856" t="s">
        <v>2554</v>
      </c>
      <c r="J2856" t="s">
        <v>218</v>
      </c>
      <c r="K2856" t="s">
        <v>2749</v>
      </c>
      <c r="M2856" t="s">
        <v>2547</v>
      </c>
    </row>
    <row r="2857" spans="1:23">
      <c r="A2857">
        <v>3</v>
      </c>
      <c r="B2857">
        <v>6</v>
      </c>
      <c r="C2857">
        <v>2019</v>
      </c>
      <c r="D2857" s="3" t="str">
        <f>B2857&amp;"/"&amp;A2857&amp;"/"&amp;C2857</f>
        <v>6/3/2019</v>
      </c>
      <c r="E2857" t="s">
        <v>42</v>
      </c>
      <c r="F2857" t="s">
        <f>I2857&amp;" "&amp;J2857&amp;" "&amp;K2857&amp;" "&amp;L2857&amp;" "&amp;M2857&amp;" "&amp;N2857</f>
        <v>2394</v>
      </c>
      <c r="G2857" t="s">
        <f>TEXT(D2857,"mmm dd")</f>
        <v>434</v>
      </c>
      <c r="I2857" t="s">
        <v>2229</v>
      </c>
      <c r="J2857" t="s">
        <v>439</v>
      </c>
      <c r="K2857" t="s">
        <v>2395</v>
      </c>
    </row>
    <row r="2858" spans="1:23">
      <c r="A2858">
        <v>5</v>
      </c>
      <c r="B2858">
        <v>6</v>
      </c>
      <c r="C2858">
        <v>2019</v>
      </c>
      <c r="D2858" s="3" t="str">
        <f>B2858&amp;"/"&amp;A2858&amp;"/"&amp;C2858</f>
        <v>6/5/2019</v>
      </c>
      <c r="E2858">
        <v>0.875</v>
      </c>
      <c r="F2858" t="s">
        <f>I2858&amp;" "&amp;J2858&amp;" "&amp;K2858&amp;" "&amp;L2858&amp;" "&amp;M2858&amp;" "&amp;N2858</f>
        <v>2690</v>
      </c>
      <c r="G2858" t="s">
        <f>TEXT(D2858,"mmm dd")</f>
        <v>446</v>
      </c>
      <c r="I2858" t="s">
        <v>2223</v>
      </c>
      <c r="J2858" t="s">
        <v>2320</v>
      </c>
    </row>
    <row r="2859" spans="1:23">
      <c r="A2859">
        <v>6</v>
      </c>
      <c r="B2859">
        <v>6</v>
      </c>
      <c r="C2859">
        <v>2019</v>
      </c>
      <c r="D2859" s="3" t="s">
        <f>B2859&amp;"/"&amp;A2859&amp;"/"&amp;C2859</f>
        <v>2764</v>
      </c>
      <c r="E2859">
        <v>0.80208333333333337</v>
      </c>
      <c r="F2859" t="str">
        <f>I2859&amp;" "&amp;J2859&amp;" "&amp;K2859&amp;" "&amp;L2859&amp;" "&amp;M2859&amp;" "&amp;N2859</f>
        <v>Flight to Honolulu (DL 577) </v>
      </c>
      <c r="G2859" t="s">
        <f>TEXT(D2859,"mmm dd")</f>
        <v>462</v>
      </c>
      <c r="I2859" t="s">
        <v>2365</v>
      </c>
      <c r="J2859" t="s">
        <v>449</v>
      </c>
      <c r="K2859" t="s">
        <v>609</v>
      </c>
      <c r="L2859" t="s">
        <v>2591</v>
      </c>
      <c r="M2859" t="inlineStr">
        <is>
          <t>577)</t>
        </is>
      </c>
      <c r="O2859" t="s">
        <v>702</v>
      </c>
      <c r="Q2859" t="s">
        <v>594</v>
      </c>
      <c r="R2859" t="s">
        <v>2654</v>
      </c>
    </row>
    <row r="2860" spans="1:23">
      <c r="A2860">
        <v>6</v>
      </c>
      <c r="B2860">
        <v>6</v>
      </c>
      <c r="C2860">
        <v>2019</v>
      </c>
      <c r="D2860" s="3" t="s">
        <f>B2860&amp;"/"&amp;A2860&amp;"/"&amp;C2860</f>
        <v>2764</v>
      </c>
      <c r="E2860">
        <v>0.56944444444444442</v>
      </c>
      <c r="F2860" t="str">
        <f>I2860&amp;" "&amp;J2860&amp;" "&amp;K2860&amp;" "&amp;L2860&amp;" "&amp;M2860&amp;" "&amp;N2860</f>
        <v>Flight to Minneapolis (DL 2423) </v>
      </c>
      <c r="G2860" t="s">
        <f>TEXT(D2860,"mmm dd")</f>
        <v>462</v>
      </c>
      <c r="I2860" t="s">
        <v>2365</v>
      </c>
      <c r="J2860" t="s">
        <v>449</v>
      </c>
      <c r="K2860" t="inlineStr">
        <is>
          <t>Minneapolis</t>
        </is>
      </c>
      <c r="L2860" t="s">
        <v>2591</v>
      </c>
      <c r="M2860" t="inlineStr">
        <is>
          <t>2423)</t>
        </is>
      </c>
    </row>
    <row r="2861" spans="1:23">
      <c r="A2861">
        <v>8</v>
      </c>
      <c r="B2861">
        <v>6</v>
      </c>
      <c r="C2861">
        <v>2019</v>
      </c>
      <c r="D2861" s="3" t="str">
        <f>B2861&amp;"/"&amp;A2861&amp;"/"&amp;C2861</f>
        <v>6/8/2019</v>
      </c>
      <c r="E2861">
        <v>1.0208333333333333</v>
      </c>
      <c r="F2861" t="str">
        <f>I2861&amp;" "&amp;J2861&amp;" "&amp;K2861&amp;" "&amp;L2861&amp;" "&amp;M2861&amp;" "&amp;N2861</f>
        <v>Drop off luggage at Modern </v>
      </c>
      <c r="G2861" t="s">
        <f>TEXT(D2861,"mmm dd")</f>
        <v>1325</v>
      </c>
      <c r="I2861" t="s">
        <v>1510</v>
      </c>
      <c r="J2861" t="s">
        <v>1511</v>
      </c>
      <c r="K2861" t="inlineStr">
        <is>
          <t>luggage</t>
        </is>
      </c>
      <c r="L2861" t="s">
        <v>53</v>
      </c>
      <c r="M2861" t="s">
        <v>2765</v>
      </c>
    </row>
    <row r="2862" spans="1:23">
      <c r="A2862">
        <v>9</v>
      </c>
      <c r="B2862">
        <v>6</v>
      </c>
      <c r="C2862">
        <v>2019</v>
      </c>
      <c r="D2862" s="3" t="s">
        <f>B2862&amp;"/"&amp;A2862&amp;"/"&amp;C2862</f>
        <v>2766</v>
      </c>
      <c r="E2862">
        <v>0.16666666666666666</v>
      </c>
      <c r="F2862" t="str">
        <f>I2862&amp;" "&amp;J2862&amp;" "&amp;K2862&amp;" "&amp;L2862&amp;" "&amp;M2862&amp;" "&amp;N2862</f>
        <v>Drop off Car at Airport </v>
      </c>
      <c r="G2862" t="s">
        <f>TEXT(D2862,"mmm dd")</f>
        <v>467</v>
      </c>
      <c r="I2862" t="s">
        <v>1510</v>
      </c>
      <c r="J2862" t="s">
        <v>1511</v>
      </c>
      <c r="K2862" t="s">
        <v>2724</v>
      </c>
      <c r="L2862" t="s">
        <v>53</v>
      </c>
      <c r="M2862" t="inlineStr">
        <is>
          <t>Airport</t>
        </is>
      </c>
    </row>
    <row r="2863" spans="1:23">
      <c r="A2863">
        <v>9</v>
      </c>
      <c r="B2863">
        <v>6</v>
      </c>
      <c r="C2863">
        <v>2019</v>
      </c>
      <c r="D2863" s="3" t="s">
        <f>B2863&amp;"/"&amp;A2863&amp;"/"&amp;C2863</f>
        <v>2766</v>
      </c>
      <c r="E2863">
        <v>0.20833333333333334</v>
      </c>
      <c r="F2863" t="str">
        <f>I2863&amp;" "&amp;J2863&amp;" "&amp;K2863&amp;" "&amp;L2863&amp;" "&amp;M2863&amp;" "&amp;N2863</f>
        <v>Uber to Modern   </v>
      </c>
      <c r="G2863" t="s">
        <f>TEXT(D2863,"mmm dd")</f>
        <v>467</v>
      </c>
      <c r="I2863" t="inlineStr">
        <is>
          <t>Uber</t>
        </is>
      </c>
      <c r="J2863" t="s">
        <v>449</v>
      </c>
      <c r="K2863" t="s">
        <v>2765</v>
      </c>
    </row>
    <row r="2864" spans="1:23">
      <c r="A2864">
        <v>10</v>
      </c>
      <c r="B2864">
        <v>6</v>
      </c>
      <c r="C2864">
        <v>2019</v>
      </c>
      <c r="D2864" s="3" t="s">
        <f>B2864&amp;"/"&amp;A2864&amp;"/"&amp;C2864</f>
        <v>2767</v>
      </c>
      <c r="E2864">
        <v>0.75</v>
      </c>
      <c r="F2864" t="s">
        <f>I2864&amp;" "&amp;J2864&amp;" "&amp;K2864&amp;" "&amp;L2864&amp;" "&amp;M2864&amp;" "&amp;N2864</f>
        <v>2768</v>
      </c>
      <c r="G2864" t="s">
        <f>TEXT(D2864,"mmm dd")</f>
        <v>475</v>
      </c>
      <c r="I2864" t="s">
        <v>1791</v>
      </c>
      <c r="J2864" t="s">
        <v>2513</v>
      </c>
      <c r="K2864" t="s">
        <v>2523</v>
      </c>
      <c r="L2864" t="s">
        <v>2769</v>
      </c>
      <c r="M2864">
        <v>7</v>
      </c>
      <c r="N2864" t="s">
        <v>2770</v>
      </c>
    </row>
    <row r="2865" spans="1:23">
      <c r="A2865">
        <v>10</v>
      </c>
      <c r="B2865">
        <v>6</v>
      </c>
      <c r="C2865">
        <v>2019</v>
      </c>
      <c r="D2865" s="3" t="s">
        <f>B2865&amp;"/"&amp;A2865&amp;"/"&amp;C2865</f>
        <v>2767</v>
      </c>
      <c r="E2865">
        <v>1</v>
      </c>
      <c r="F2865" t="s">
        <f>I2865&amp;" "&amp;J2865&amp;" "&amp;K2865&amp;" "&amp;L2865&amp;" "&amp;M2865&amp;" "&amp;N2865</f>
        <v>2690</v>
      </c>
      <c r="G2865" t="s">
        <f>TEXT(D2865,"mmm dd")</f>
        <v>475</v>
      </c>
      <c r="I2865" t="s">
        <v>2223</v>
      </c>
      <c r="J2865" t="s">
        <v>2320</v>
      </c>
    </row>
    <row r="2866" spans="1:23">
      <c r="A2866">
        <v>11</v>
      </c>
      <c r="B2866">
        <v>6</v>
      </c>
      <c r="C2866">
        <v>2019</v>
      </c>
      <c r="D2866" s="3" t="str">
        <f>B2866&amp;"/"&amp;A2866&amp;"/"&amp;C2866</f>
        <v>6/11/2019</v>
      </c>
      <c r="E2866">
        <v>1</v>
      </c>
      <c r="F2866" t="str">
        <f>I2866&amp;" "&amp;J2866&amp;" "&amp;K2866&amp;" "&amp;L2866&amp;" "&amp;M2866&amp;" "&amp;N2866</f>
        <v>Retired Clergy luncheon   </v>
      </c>
      <c r="G2866" t="s">
        <f>TEXT(D2866,"mmm dd")</f>
        <v>487</v>
      </c>
      <c r="I2866" t="s">
        <v>2250</v>
      </c>
      <c r="J2866" t="s">
        <v>46</v>
      </c>
      <c r="K2866" t="s">
        <v>1014</v>
      </c>
    </row>
    <row r="2867" spans="1:23">
      <c r="A2867">
        <v>12</v>
      </c>
      <c r="B2867">
        <v>6</v>
      </c>
      <c r="C2867">
        <v>2019</v>
      </c>
      <c r="D2867" s="3" t="str">
        <f>B2867&amp;"/"&amp;A2867&amp;"/"&amp;C2867</f>
        <v>6/12/2019</v>
      </c>
      <c r="E2867" t="s">
        <v>42</v>
      </c>
      <c r="F2867" t="str">
        <f>I2867&amp;" "&amp;J2867&amp;" "&amp;K2867&amp;" "&amp;L2867&amp;" "&amp;M2867&amp;" "&amp;N2867</f>
        <v>Jenkin's 25 anniversary   </v>
      </c>
      <c r="G2867" t="s">
        <f>TEXT(D2867,"mmm dd")</f>
        <v>501</v>
      </c>
      <c r="I2867" t="inlineStr">
        <is>
          <t>Jenkin's</t>
        </is>
      </c>
      <c r="J2867">
        <v>25</v>
      </c>
      <c r="K2867" t="s">
        <v>1962</v>
      </c>
    </row>
    <row r="2868" spans="1:23">
      <c r="A2868">
        <v>15</v>
      </c>
      <c r="B2868">
        <v>6</v>
      </c>
      <c r="C2868">
        <v>2019</v>
      </c>
      <c r="D2868" s="3" t="str">
        <f>B2868&amp;"/"&amp;A2868&amp;"/"&amp;C2868</f>
        <v>6/15/2019</v>
      </c>
      <c r="E2868">
        <v>1</v>
      </c>
      <c r="F2868" t="s">
        <f>I2868&amp;" "&amp;J2868&amp;" "&amp;K2868&amp;" "&amp;L2868&amp;" "&amp;M2868&amp;" "&amp;N2868</f>
        <v>2690</v>
      </c>
      <c r="G2868" t="s">
        <f>TEXT(D2868,"mmm dd")</f>
        <v>533</v>
      </c>
      <c r="I2868" t="s">
        <v>2223</v>
      </c>
      <c r="J2868" t="s">
        <v>2320</v>
      </c>
    </row>
    <row r="2869" spans="1:23">
      <c r="A2869">
        <v>19</v>
      </c>
      <c r="B2869">
        <v>6</v>
      </c>
      <c r="C2869">
        <v>2019</v>
      </c>
      <c r="D2869" s="3" t="str">
        <f>B2869&amp;"/"&amp;A2869&amp;"/"&amp;C2869</f>
        <v>6/19/2019</v>
      </c>
      <c r="E2869">
        <v>1.0208333333333333</v>
      </c>
      <c r="F2869" t="str">
        <f>I2869&amp;" "&amp;J2869&amp;" "&amp;K2869&amp;" "&amp;L2869&amp;" "&amp;M2869&amp;" "&amp;N2869</f>
        <v>Lunch John and Richert  </v>
      </c>
      <c r="G2869" t="s">
        <f>TEXT(D2869,"mmm dd")</f>
        <v>564</v>
      </c>
      <c r="I2869" t="s">
        <v>813</v>
      </c>
      <c r="J2869" t="s">
        <v>585</v>
      </c>
      <c r="K2869" t="s">
        <v>135</v>
      </c>
      <c r="L2869" t="s">
        <v>1469</v>
      </c>
    </row>
    <row r="2870" spans="1:23">
      <c r="A2870">
        <v>21</v>
      </c>
      <c r="B2870">
        <v>6</v>
      </c>
      <c r="C2870">
        <v>2019</v>
      </c>
      <c r="D2870" s="3" t="str">
        <f>B2870&amp;"/"&amp;A2870&amp;"/"&amp;C2870</f>
        <v>6/21/2019</v>
      </c>
      <c r="E2870">
        <v>1.0416666666666667</v>
      </c>
      <c r="F2870" t="str">
        <f>I2870&amp;" "&amp;J2870&amp;" "&amp;K2870&amp;" "&amp;L2870&amp;" "&amp;M2870&amp;" "&amp;N2870</f>
        <v>Angels at Play   </v>
      </c>
      <c r="G2870" t="s">
        <f>TEXT(D2870,"mmm dd")</f>
        <v>568</v>
      </c>
      <c r="I2870" t="s">
        <v>52</v>
      </c>
      <c r="J2870" t="s">
        <v>53</v>
      </c>
      <c r="K2870" t="s">
        <v>292</v>
      </c>
    </row>
    <row r="2871" spans="1:23">
      <c r="A2871">
        <v>25</v>
      </c>
      <c r="B2871">
        <v>6</v>
      </c>
      <c r="C2871">
        <v>2019</v>
      </c>
      <c r="D2871" s="3" t="str">
        <f>B2871&amp;"/"&amp;A2871&amp;"/"&amp;C2871</f>
        <v>6/25/2019</v>
      </c>
      <c r="E2871">
        <v>0.5</v>
      </c>
      <c r="F2871" t="s">
        <f>I2871&amp;" "&amp;J2871&amp;" "&amp;K2871&amp;" "&amp;L2871&amp;" "&amp;M2871&amp;" "&amp;N2871</f>
        <v>2690</v>
      </c>
      <c r="G2871" t="s">
        <f>TEXT(D2871,"mmm dd")</f>
        <v>589</v>
      </c>
      <c r="I2871" t="s">
        <v>2223</v>
      </c>
      <c r="J2871" t="s">
        <v>2320</v>
      </c>
    </row>
    <row r="2872" spans="1:23">
      <c r="A2872">
        <v>28</v>
      </c>
      <c r="B2872">
        <v>6</v>
      </c>
      <c r="C2872">
        <v>2019</v>
      </c>
      <c r="D2872" s="3" t="str">
        <f>B2872&amp;"/"&amp;A2872&amp;"/"&amp;C2872</f>
        <v>6/28/2019</v>
      </c>
      <c r="E2872">
        <v>0.16666666666666666</v>
      </c>
      <c r="F2872" t="s">
        <f>I2872&amp;" "&amp;J2872&amp;" "&amp;K2872&amp;" "&amp;L2872&amp;" "&amp;M2872&amp;" "&amp;N2872</f>
        <v>2690</v>
      </c>
      <c r="G2872" t="s">
        <f>TEXT(D2872,"mmm dd")</f>
        <v>597</v>
      </c>
      <c r="I2872" t="s">
        <v>2223</v>
      </c>
      <c r="J2872" t="s">
        <v>2320</v>
      </c>
    </row>
    <row r="2873" spans="1:23">
      <c r="A2873">
        <v>2</v>
      </c>
      <c r="B2873">
        <v>7</v>
      </c>
      <c r="C2873">
        <v>2019</v>
      </c>
      <c r="D2873" s="3" t="str">
        <f>B2873&amp;"/"&amp;A2873&amp;"/"&amp;C2873</f>
        <v>7/2/2019</v>
      </c>
      <c r="E2873">
        <v>0.85763888888888884</v>
      </c>
      <c r="F2873" t="s">
        <f>I2873&amp;" "&amp;J2873&amp;" "&amp;K2873&amp;" "&amp;L2873&amp;" "&amp;M2873&amp;" "&amp;N2873</f>
        <v>2690</v>
      </c>
      <c r="G2873" t="s">
        <f>TEXT(D2873,"mmm dd")</f>
        <v>15</v>
      </c>
      <c r="I2873" t="s">
        <v>2223</v>
      </c>
      <c r="J2873" t="s">
        <v>2320</v>
      </c>
    </row>
    <row r="2874" spans="1:23">
      <c r="A2874">
        <v>6</v>
      </c>
      <c r="B2874">
        <v>7</v>
      </c>
      <c r="C2874">
        <v>2019</v>
      </c>
      <c r="D2874" s="3" t="str">
        <f>B2874&amp;"/"&amp;A2874&amp;"/"&amp;C2874</f>
        <v>7/6/2019</v>
      </c>
      <c r="E2874">
        <v>0.77083333333333337</v>
      </c>
      <c r="F2874" t="str">
        <f>I2874&amp;" "&amp;J2874&amp;" "&amp;K2874&amp;" "&amp;L2874&amp;" "&amp;M2874&amp;" "&amp;N2874</f>
        <v>Battery change left   </v>
      </c>
      <c r="G2874" t="s">
        <f>TEXT(D2874,"mmm dd")</f>
        <v>22</v>
      </c>
      <c r="I2874" t="s">
        <v>2223</v>
      </c>
      <c r="J2874" t="s">
        <v>2320</v>
      </c>
      <c r="K2874" t="s">
        <v>2326</v>
      </c>
    </row>
    <row r="2875" spans="1:23">
      <c r="A2875">
        <v>11</v>
      </c>
      <c r="B2875">
        <v>7</v>
      </c>
      <c r="C2875">
        <v>2019</v>
      </c>
      <c r="D2875" s="3" t="s">
        <f>B2875&amp;"/"&amp;A2875&amp;"/"&amp;C2875</f>
        <v>2771</v>
      </c>
      <c r="E2875" t="s">
        <v>42</v>
      </c>
      <c r="F2875" t="s">
        <f>I2875&amp;" "&amp;J2875&amp;" "&amp;K2875&amp;" "&amp;L2875&amp;" "&amp;M2875&amp;" "&amp;N2875</f>
        <v>2772</v>
      </c>
      <c r="G2875" t="s">
        <f>TEXT(D2875,"mmm dd")</f>
        <v>628</v>
      </c>
      <c r="I2875" t="s">
        <v>2773</v>
      </c>
      <c r="J2875" t="s">
        <v>2774</v>
      </c>
      <c r="K2875" t="s">
        <v>2211</v>
      </c>
    </row>
    <row r="2876" spans="1:23">
      <c r="A2876">
        <v>11</v>
      </c>
      <c r="B2876">
        <v>7</v>
      </c>
      <c r="C2876">
        <v>2019</v>
      </c>
      <c r="D2876" s="3" t="s">
        <f>B2876&amp;"/"&amp;A2876&amp;"/"&amp;C2876</f>
        <v>2771</v>
      </c>
      <c r="E2876">
        <v>0.2326388888888889</v>
      </c>
      <c r="F2876" t="s">
        <f>I2876&amp;" "&amp;J2876&amp;" "&amp;K2876&amp;" "&amp;L2876&amp;" "&amp;M2876&amp;" "&amp;N2876</f>
        <v>2690</v>
      </c>
      <c r="G2876" t="s">
        <f>TEXT(D2876,"mmm dd")</f>
        <v>628</v>
      </c>
      <c r="I2876" t="s">
        <v>2223</v>
      </c>
      <c r="J2876" t="s">
        <v>2320</v>
      </c>
    </row>
    <row r="2877" spans="1:23">
      <c r="A2877">
        <v>12</v>
      </c>
      <c r="B2877">
        <v>7</v>
      </c>
      <c r="C2877">
        <v>2019</v>
      </c>
      <c r="D2877" s="3" t="str">
        <f>B2877&amp;"/"&amp;A2877&amp;"/"&amp;C2877</f>
        <v>7/12/2019</v>
      </c>
      <c r="E2877">
        <v>0.77083333333333337</v>
      </c>
      <c r="F2877" t="s">
        <f>I2877&amp;" "&amp;J2877&amp;" "&amp;K2877&amp;" "&amp;L2877&amp;" "&amp;M2877&amp;" "&amp;N2877</f>
        <v>2775</v>
      </c>
      <c r="G2877" t="s">
        <f>TEXT(D2877,"mmm dd")</f>
        <v>638</v>
      </c>
      <c r="I2877" t="s">
        <v>1370</v>
      </c>
      <c r="J2877" t="s">
        <v>1484</v>
      </c>
    </row>
    <row r="2878" spans="1:23">
      <c r="A2878">
        <v>14</v>
      </c>
      <c r="B2878">
        <v>7</v>
      </c>
      <c r="C2878">
        <v>2019</v>
      </c>
      <c r="D2878" s="3" t="str">
        <f>B2878&amp;"/"&amp;A2878&amp;"/"&amp;C2878</f>
        <v>7/14/2019</v>
      </c>
      <c r="E2878">
        <v>0.73958333333333337</v>
      </c>
      <c r="F2878" t="str">
        <f>I2878&amp;" "&amp;J2878&amp;" "&amp;K2878&amp;" "&amp;L2878&amp;" "&amp;M2878&amp;" "&amp;N2878</f>
        <v>Dale supplies Christ the King </v>
      </c>
      <c r="G2878" t="s">
        <f>TEXT(D2878,"mmm dd")</f>
        <v>1340</v>
      </c>
      <c r="I2878" t="s">
        <v>1316</v>
      </c>
      <c r="J2878" t="s">
        <v>2776</v>
      </c>
      <c r="K2878" t="s">
        <v>1429</v>
      </c>
      <c r="L2878" t="s">
        <v>139</v>
      </c>
      <c r="M2878" t="s">
        <v>1430</v>
      </c>
    </row>
    <row r="2879" spans="1:23">
      <c r="A2879">
        <v>16</v>
      </c>
      <c r="B2879">
        <v>7</v>
      </c>
      <c r="C2879">
        <v>2019</v>
      </c>
      <c r="D2879" s="3" t="str">
        <f>B2879&amp;"/"&amp;A2879&amp;"/"&amp;C2879</f>
        <v>7/16/2019</v>
      </c>
      <c r="E2879">
        <v>0.2326388888888889</v>
      </c>
      <c r="F2879" t="s">
        <f>I2879&amp;" "&amp;J2879&amp;" "&amp;K2879&amp;" "&amp;L2879&amp;" "&amp;M2879&amp;" "&amp;N2879</f>
        <v>2690</v>
      </c>
      <c r="G2879" t="s">
        <f>TEXT(D2879,"mmm dd")</f>
        <v>646</v>
      </c>
      <c r="I2879" t="s">
        <v>2223</v>
      </c>
      <c r="J2879" t="s">
        <v>2320</v>
      </c>
    </row>
    <row r="2880" spans="1:23">
      <c r="A2880">
        <v>20</v>
      </c>
      <c r="B2880">
        <v>7</v>
      </c>
      <c r="C2880">
        <v>2019</v>
      </c>
      <c r="D2880" s="3" t="str">
        <f>B2880&amp;"/"&amp;A2880&amp;"/"&amp;C2880</f>
        <v>7/20/2019</v>
      </c>
      <c r="E2880">
        <v>0.91666666666666663</v>
      </c>
      <c r="F2880" t="s">
        <f>I2880&amp;" "&amp;J2880&amp;" "&amp;K2880&amp;" "&amp;L2880&amp;" "&amp;M2880&amp;" "&amp;N2880</f>
        <v>2690</v>
      </c>
      <c r="G2880" t="s">
        <f>TEXT(D2880,"mmm dd")</f>
        <v>29</v>
      </c>
      <c r="I2880" t="s">
        <v>2223</v>
      </c>
      <c r="J2880" t="s">
        <v>2320</v>
      </c>
    </row>
    <row r="2881" spans="1:23">
      <c r="A2881">
        <v>21</v>
      </c>
      <c r="B2881">
        <v>7</v>
      </c>
      <c r="C2881">
        <v>2019</v>
      </c>
      <c r="D2881" s="3" t="str">
        <f>B2881&amp;"/"&amp;A2881&amp;"/"&amp;C2881</f>
        <v>7/21/2019</v>
      </c>
      <c r="E2881">
        <v>0.70833333333333337</v>
      </c>
      <c r="F2881" t="str">
        <f>I2881&amp;" "&amp;J2881&amp;" "&amp;K2881&amp;" "&amp;L2881&amp;" "&amp;M2881&amp;" "&amp;N2881</f>
        <v>Supply at St. Peter's\  Great</v>
      </c>
      <c r="G2881" t="s">
        <f>TEXT(D2881,"mmm dd")</f>
        <v>672</v>
      </c>
      <c r="I2881" t="s">
        <v>2468</v>
      </c>
      <c r="J2881" t="s">
        <v>53</v>
      </c>
      <c r="K2881" t="s">
        <v>218</v>
      </c>
      <c r="L2881" t="s">
        <v>2644</v>
      </c>
      <c r="N2881" t="s">
        <v>1202</v>
      </c>
    </row>
    <row r="2882" spans="1:23">
      <c r="A2882">
        <v>22</v>
      </c>
      <c r="B2882">
        <v>7</v>
      </c>
      <c r="C2882">
        <v>2019</v>
      </c>
      <c r="D2882" s="3" t="str">
        <f>B2882&amp;"/"&amp;A2882&amp;"/"&amp;C2882</f>
        <v>7/22/2019</v>
      </c>
      <c r="E2882">
        <v>0.66666666666666663</v>
      </c>
      <c r="F2882" t="s">
        <f>I2882&amp;" "&amp;J2882&amp;" "&amp;K2882&amp;" "&amp;L2882&amp;" "&amp;M2882&amp;" "&amp;N2882</f>
        <v>2777</v>
      </c>
      <c r="G2882" t="s">
        <f>TEXT(D2882,"mmm dd")</f>
        <v>678</v>
      </c>
      <c r="I2882" t="s">
        <v>847</v>
      </c>
      <c r="J2882" t="s">
        <v>2778</v>
      </c>
      <c r="K2882" t="s">
        <v>2513</v>
      </c>
      <c r="L2882" t="s">
        <v>2035</v>
      </c>
    </row>
    <row r="2883" spans="1:23">
      <c r="A2883">
        <v>23</v>
      </c>
      <c r="B2883">
        <v>7</v>
      </c>
      <c r="C2883">
        <v>2019</v>
      </c>
      <c r="D2883" s="3" t="str">
        <f>B2883&amp;"/"&amp;A2883&amp;"/"&amp;C2883</f>
        <v>7/23/2019</v>
      </c>
      <c r="E2883">
        <v>0.75</v>
      </c>
      <c r="F2883" t="str">
        <f>I2883&amp;" "&amp;J2883&amp;" "&amp;K2883&amp;" "&amp;L2883&amp;" "&amp;M2883&amp;" "&amp;N2883</f>
        <v>Hot dogs at South State </v>
      </c>
      <c r="G2883" t="s">
        <f>TEXT(D2883,"mmm dd")</f>
        <v>681</v>
      </c>
      <c r="I2883" t="inlineStr">
        <is>
          <t>Hot</t>
        </is>
      </c>
      <c r="J2883" t="s">
        <v>1512</v>
      </c>
      <c r="K2883" t="s">
        <v>53</v>
      </c>
      <c r="L2883" t="s">
        <v>1758</v>
      </c>
      <c r="M2883" t="s">
        <v>242</v>
      </c>
    </row>
    <row r="2884" spans="1:23">
      <c r="A2884">
        <v>25</v>
      </c>
      <c r="B2884">
        <v>7</v>
      </c>
      <c r="C2884">
        <v>2019</v>
      </c>
      <c r="D2884" s="3" t="str">
        <f>B2884&amp;"/"&amp;A2884&amp;"/"&amp;C2884</f>
        <v>7/25/2019</v>
      </c>
      <c r="E2884">
        <v>0.70833333333333337</v>
      </c>
      <c r="F2884" t="s">
        <f>I2884&amp;" "&amp;J2884&amp;" "&amp;K2884&amp;" "&amp;L2884&amp;" "&amp;M2884&amp;" "&amp;N2884</f>
        <v>2690</v>
      </c>
      <c r="G2884" t="s">
        <f>TEXT(D2884,"mmm dd")</f>
        <v>25</v>
      </c>
      <c r="I2884" t="s">
        <v>2223</v>
      </c>
      <c r="J2884" t="s">
        <v>2320</v>
      </c>
    </row>
    <row r="2885" spans="1:23">
      <c r="A2885">
        <v>27</v>
      </c>
      <c r="B2885">
        <v>7</v>
      </c>
      <c r="C2885">
        <v>2019</v>
      </c>
      <c r="D2885" s="3" t="str">
        <f>B2885&amp;"/"&amp;A2885&amp;"/"&amp;C2885</f>
        <v>7/27/2019</v>
      </c>
      <c r="E2885">
        <v>1</v>
      </c>
      <c r="F2885" t="s">
        <f>I2885&amp;" "&amp;J2885&amp;" "&amp;K2885&amp;" "&amp;L2885&amp;" "&amp;M2885&amp;" "&amp;N2885</f>
        <v>2779</v>
      </c>
      <c r="G2885" t="s">
        <f>TEXT(D2885,"mmm dd")</f>
        <v>699</v>
      </c>
      <c r="I2885" t="s">
        <v>2468</v>
      </c>
      <c r="J2885" t="s">
        <v>218</v>
      </c>
      <c r="K2885" t="s">
        <v>2780</v>
      </c>
      <c r="M2885" t="s">
        <v>1846</v>
      </c>
    </row>
    <row r="2886" spans="1:23">
      <c r="A2886">
        <v>30</v>
      </c>
      <c r="B2886">
        <v>7</v>
      </c>
      <c r="C2886">
        <v>2019</v>
      </c>
      <c r="D2886" s="3" t="str">
        <f>B2886&amp;"/"&amp;A2886&amp;"/"&amp;C2886</f>
        <v>7/30/2019</v>
      </c>
      <c r="E2886">
        <v>0.125</v>
      </c>
      <c r="F2886" t="s">
        <f>I2886&amp;" "&amp;J2886&amp;" "&amp;K2886&amp;" "&amp;L2886&amp;" "&amp;M2886&amp;" "&amp;N2886</f>
        <v>2690</v>
      </c>
      <c r="G2886" t="s">
        <f>TEXT(D2886,"mmm dd")</f>
        <v>709</v>
      </c>
      <c r="I2886" t="s">
        <v>2223</v>
      </c>
      <c r="J2886" t="s">
        <v>2320</v>
      </c>
    </row>
    <row r="2887" spans="1:23">
      <c r="A2887">
        <v>3</v>
      </c>
      <c r="B2887">
        <v>8</v>
      </c>
      <c r="C2887">
        <v>2019</v>
      </c>
      <c r="D2887" s="3" t="str">
        <f>B2887&amp;"/"&amp;A2887&amp;"/"&amp;C2887</f>
        <v>8/3/2019</v>
      </c>
      <c r="E2887">
        <v>0.125</v>
      </c>
      <c r="F2887" t="s">
        <f>I2887&amp;" "&amp;J2887&amp;" "&amp;K2887&amp;" "&amp;L2887&amp;" "&amp;M2887&amp;" "&amp;N2887</f>
        <v>2690</v>
      </c>
      <c r="G2887" t="s">
        <f>TEXT(D2887,"mmm dd")</f>
        <v>2019</v>
      </c>
      <c r="I2887" t="s">
        <v>2223</v>
      </c>
      <c r="J2887" t="s">
        <v>2320</v>
      </c>
    </row>
    <row r="2888" spans="1:23">
      <c r="A2888">
        <v>4</v>
      </c>
      <c r="B2888">
        <v>8</v>
      </c>
      <c r="C2888">
        <v>2019</v>
      </c>
      <c r="D2888" s="3" t="str">
        <f>B2888&amp;"/"&amp;A2888&amp;"/"&amp;C2888</f>
        <v>8/4/2019</v>
      </c>
      <c r="E2888">
        <v>0.625</v>
      </c>
      <c r="F2888" t="str">
        <f>I2888&amp;" "&amp;J2888&amp;" "&amp;K2888&amp;" "&amp;L2888&amp;" "&amp;M2888&amp;" "&amp;N2888</f>
        <v>Supply at. church of our Saviour</v>
      </c>
      <c r="G2888" t="s">
        <f>TEXT(D2888,"mmm dd")</f>
        <v>1603</v>
      </c>
      <c r="I2888" t="s">
        <v>2468</v>
      </c>
      <c r="J2888" t="inlineStr">
        <is>
          <t>at.</t>
        </is>
      </c>
      <c r="K2888" t="s">
        <v>1912</v>
      </c>
      <c r="L2888" t="s">
        <v>86</v>
      </c>
      <c r="M2888" t="s">
        <v>2339</v>
      </c>
      <c r="N2888" t="s">
        <v>2756</v>
      </c>
    </row>
    <row r="2889" spans="1:23">
      <c r="A2889">
        <v>7</v>
      </c>
      <c r="B2889">
        <v>8</v>
      </c>
      <c r="C2889">
        <v>2019</v>
      </c>
      <c r="D2889" s="3" t="str">
        <f>B2889&amp;"/"&amp;A2889&amp;"/"&amp;C2889</f>
        <v>8/7/2019</v>
      </c>
      <c r="E2889">
        <v>1</v>
      </c>
      <c r="F2889" t="s">
        <f>I2889&amp;" "&amp;J2889&amp;" "&amp;K2889&amp;" "&amp;L2889&amp;" "&amp;M2889&amp;" "&amp;N2889</f>
        <v>2690</v>
      </c>
      <c r="G2889" t="s">
        <f>TEXT(D2889,"mmm dd")</f>
        <v>1605</v>
      </c>
      <c r="I2889" t="s">
        <v>2223</v>
      </c>
      <c r="J2889" t="s">
        <v>2320</v>
      </c>
    </row>
    <row r="2890" spans="1:23">
      <c r="A2890">
        <v>11</v>
      </c>
      <c r="B2890">
        <v>8</v>
      </c>
      <c r="C2890">
        <v>2019</v>
      </c>
      <c r="D2890" s="3" t="str">
        <f>B2890&amp;"/"&amp;A2890&amp;"/"&amp;C2890</f>
        <v>8/11/2019</v>
      </c>
      <c r="E2890">
        <v>0.73958333333333337</v>
      </c>
      <c r="F2890" t="str">
        <f>I2890&amp;" "&amp;J2890&amp;" "&amp;K2890&amp;" "&amp;L2890&amp;" "&amp;M2890&amp;" "&amp;N2890</f>
        <v>Dale supplies Chapel of Christ the</v>
      </c>
      <c r="G2890" t="s">
        <f>TEXT(D2890,"mmm dd")</f>
        <v>744</v>
      </c>
      <c r="I2890" t="s">
        <v>1316</v>
      </c>
      <c r="J2890" t="s">
        <v>2776</v>
      </c>
      <c r="K2890" t="s">
        <v>1195</v>
      </c>
      <c r="L2890" t="s">
        <v>86</v>
      </c>
      <c r="M2890" t="s">
        <v>1429</v>
      </c>
      <c r="N2890" t="s">
        <v>139</v>
      </c>
    </row>
    <row r="2891" spans="1:23">
      <c r="A2891">
        <v>12</v>
      </c>
      <c r="B2891">
        <v>8</v>
      </c>
      <c r="C2891">
        <v>2019</v>
      </c>
      <c r="D2891" s="3" t="s">
        <f>B2891&amp;"/"&amp;A2891&amp;"/"&amp;C2891</f>
        <v>2781</v>
      </c>
      <c r="E2891">
        <v>0.73611111111111116</v>
      </c>
      <c r="F2891" t="s">
        <f>I2891&amp;" "&amp;J2891&amp;" "&amp;K2891&amp;" "&amp;L2891&amp;" "&amp;M2891&amp;" "&amp;N2891</f>
        <v>2782</v>
      </c>
      <c r="G2891" t="s">
        <f>TEXT(D2891,"mmm dd")</f>
        <v>750</v>
      </c>
      <c r="I2891" t="s">
        <v>2783</v>
      </c>
    </row>
    <row r="2892" spans="1:23">
      <c r="A2892">
        <v>12</v>
      </c>
      <c r="B2892">
        <v>8</v>
      </c>
      <c r="C2892">
        <v>2019</v>
      </c>
      <c r="D2892" s="3" t="s">
        <f>B2892&amp;"/"&amp;A2892&amp;"/"&amp;C2892</f>
        <v>2781</v>
      </c>
      <c r="E2892">
        <v>0.625</v>
      </c>
      <c r="F2892" t="s">
        <f>I2892&amp;" "&amp;J2892&amp;" "&amp;K2892&amp;" "&amp;L2892&amp;" "&amp;M2892&amp;" "&amp;N2892</f>
        <v>2690</v>
      </c>
      <c r="G2892" t="s">
        <f>TEXT(D2892,"mmm dd")</f>
        <v>750</v>
      </c>
      <c r="I2892" t="s">
        <v>2223</v>
      </c>
      <c r="J2892" t="s">
        <v>2320</v>
      </c>
    </row>
    <row r="2893" spans="1:23">
      <c r="A2893">
        <v>16</v>
      </c>
      <c r="B2893">
        <v>8</v>
      </c>
      <c r="C2893">
        <v>2019</v>
      </c>
      <c r="D2893" s="3" t="str">
        <f>B2893&amp;"/"&amp;A2893&amp;"/"&amp;C2893</f>
        <v>8/16/2019</v>
      </c>
      <c r="E2893">
        <v>1.0416666666666667</v>
      </c>
      <c r="F2893" t="s">
        <f>I2893&amp;" "&amp;J2893&amp;" "&amp;K2893&amp;" "&amp;L2893&amp;" "&amp;M2893&amp;" "&amp;N2893</f>
        <v>2690</v>
      </c>
      <c r="G2893" t="s">
        <f>TEXT(D2893,"mmm dd")</f>
        <v>784</v>
      </c>
      <c r="I2893" t="s">
        <v>2223</v>
      </c>
      <c r="J2893" t="s">
        <v>2320</v>
      </c>
    </row>
    <row r="2894" spans="1:23">
      <c r="A2894">
        <v>18</v>
      </c>
      <c r="B2894">
        <v>8</v>
      </c>
      <c r="C2894">
        <v>2019</v>
      </c>
      <c r="D2894" s="3" t="s">
        <f>B2894&amp;"/"&amp;A2894&amp;"/"&amp;C2894</f>
        <v>2784</v>
      </c>
      <c r="E2894">
        <v>0.70833333333333337</v>
      </c>
      <c r="F2894" t="s">
        <f>I2894&amp;" "&amp;J2894&amp;" "&amp;K2894&amp;" "&amp;L2894&amp;" "&amp;M2894&amp;" "&amp;N2894</f>
        <v>2643</v>
      </c>
      <c r="G2894" t="s">
        <f>TEXT(D2894,"mmm dd")</f>
        <v>2041</v>
      </c>
      <c r="I2894" t="s">
        <v>2468</v>
      </c>
      <c r="J2894" t="s">
        <v>218</v>
      </c>
      <c r="K2894" t="s">
        <v>2644</v>
      </c>
      <c r="M2894" t="s">
        <v>1202</v>
      </c>
      <c r="N2894" t="s">
        <v>1739</v>
      </c>
    </row>
    <row r="2895" spans="1:23">
      <c r="A2895">
        <v>18</v>
      </c>
      <c r="B2895">
        <v>8</v>
      </c>
      <c r="C2895">
        <v>2019</v>
      </c>
      <c r="D2895" s="3" t="s">
        <f>B2895&amp;"/"&amp;A2895&amp;"/"&amp;C2895</f>
        <v>2784</v>
      </c>
      <c r="E2895">
        <v>1.0416666666666667</v>
      </c>
      <c r="F2895" t="str">
        <f>I2895&amp;" "&amp;J2895&amp;" "&amp;K2895&amp;" "&amp;L2895&amp;" "&amp;M2895&amp;" "&amp;N2895</f>
        <v>Reservation at The Pump House </v>
      </c>
      <c r="G2895" t="s">
        <f>TEXT(D2895,"mmm dd")</f>
        <v>2041</v>
      </c>
      <c r="I2895" t="s">
        <v>2785</v>
      </c>
      <c r="J2895" t="s">
        <v>53</v>
      </c>
      <c r="K2895" t="s">
        <v>407</v>
      </c>
      <c r="L2895" t="inlineStr">
        <is>
          <t>Pump</t>
        </is>
      </c>
      <c r="M2895" t="s">
        <v>1517</v>
      </c>
    </row>
    <row r="2896" spans="1:23">
      <c r="A2896">
        <v>21</v>
      </c>
      <c r="B2896">
        <v>8</v>
      </c>
      <c r="C2896">
        <v>2019</v>
      </c>
      <c r="D2896" s="3" t="s">
        <f>B2896&amp;"/"&amp;A2896&amp;"/"&amp;C2896</f>
        <v>2786</v>
      </c>
      <c r="E2896">
        <v>0.58333333333333337</v>
      </c>
      <c r="F2896" t="str">
        <f>I2896&amp;" "&amp;J2896&amp;" "&amp;K2896&amp;" "&amp;L2896&amp;" "&amp;M2896&amp;" "&amp;N2896</f>
        <v>Plants ready for Sue  </v>
      </c>
      <c r="G2896" t="s">
        <f>TEXT(D2896,"mmm dd")</f>
        <v>818</v>
      </c>
      <c r="I2896" t="inlineStr">
        <is>
          <t>Plants</t>
        </is>
      </c>
      <c r="J2896" t="inlineStr">
        <is>
          <t>ready</t>
        </is>
      </c>
      <c r="K2896" t="s">
        <v>439</v>
      </c>
      <c r="L2896" t="s">
        <v>2173</v>
      </c>
    </row>
    <row r="2897" spans="1:23">
      <c r="A2897">
        <v>21</v>
      </c>
      <c r="B2897">
        <v>8</v>
      </c>
      <c r="C2897">
        <v>2019</v>
      </c>
      <c r="D2897" s="3" t="s">
        <f>B2897&amp;"/"&amp;A2897&amp;"/"&amp;C2897</f>
        <v>2786</v>
      </c>
      <c r="E2897">
        <v>0.83333333333333337</v>
      </c>
      <c r="F2897" t="s">
        <f>I2897&amp;" "&amp;J2897&amp;" "&amp;K2897&amp;" "&amp;L2897&amp;" "&amp;M2897&amp;" "&amp;N2897</f>
        <v>2690</v>
      </c>
      <c r="G2897" t="s">
        <f>TEXT(D2897,"mmm dd")</f>
        <v>818</v>
      </c>
      <c r="I2897" t="s">
        <v>2223</v>
      </c>
      <c r="J2897" t="s">
        <v>2320</v>
      </c>
    </row>
    <row r="2898" spans="1:23">
      <c r="A2898">
        <v>26</v>
      </c>
      <c r="B2898">
        <v>8</v>
      </c>
      <c r="C2898">
        <v>2019</v>
      </c>
      <c r="D2898" s="3" t="str">
        <f>B2898&amp;"/"&amp;A2898&amp;"/"&amp;C2898</f>
        <v>8/26/2019</v>
      </c>
      <c r="E2898">
        <v>0.125</v>
      </c>
      <c r="F2898" t="s">
        <f>I2898&amp;" "&amp;J2898&amp;" "&amp;K2898&amp;" "&amp;L2898&amp;" "&amp;M2898&amp;" "&amp;N2898</f>
        <v>2690</v>
      </c>
      <c r="G2898" t="s">
        <f>TEXT(D2898,"mmm dd")</f>
        <v>837</v>
      </c>
      <c r="I2898" t="s">
        <v>2223</v>
      </c>
      <c r="J2898" t="s">
        <v>2320</v>
      </c>
    </row>
    <row r="2899" spans="1:23">
      <c r="A2899">
        <v>30</v>
      </c>
      <c r="B2899">
        <v>8</v>
      </c>
      <c r="C2899">
        <v>2019</v>
      </c>
      <c r="D2899" s="3" t="str">
        <f>B2899&amp;"/"&amp;A2899&amp;"/"&amp;C2899</f>
        <v>8/30/2019</v>
      </c>
      <c r="E2899">
        <v>0.625</v>
      </c>
      <c r="F2899" t="s">
        <f>I2899&amp;" "&amp;J2899&amp;" "&amp;K2899&amp;" "&amp;L2899&amp;" "&amp;M2899&amp;" "&amp;N2899</f>
        <v>2690</v>
      </c>
      <c r="G2899" t="s">
        <f>TEXT(D2899,"mmm dd")</f>
        <v>846</v>
      </c>
      <c r="I2899" t="s">
        <v>2223</v>
      </c>
      <c r="J2899" t="s">
        <v>2320</v>
      </c>
    </row>
    <row r="2900" spans="1:23">
      <c r="A2900">
        <v>1</v>
      </c>
      <c r="B2900">
        <v>9</v>
      </c>
      <c r="C2900">
        <v>2019</v>
      </c>
      <c r="D2900" s="3" t="str">
        <f>B2900&amp;"/"&amp;A2900&amp;"/"&amp;C2900</f>
        <v>9/1/2019</v>
      </c>
      <c r="E2900">
        <v>0.75</v>
      </c>
      <c r="F2900" t="s">
        <f>I2900&amp;" "&amp;J2900&amp;" "&amp;K2900&amp;" "&amp;L2900&amp;" "&amp;M2900&amp;" "&amp;N2900</f>
        <v>2787</v>
      </c>
      <c r="G2900" t="s">
        <f>TEXT(D2900,"mmm dd")</f>
        <v>2065</v>
      </c>
      <c r="I2900" t="s">
        <v>2468</v>
      </c>
      <c r="J2900" t="s">
        <v>218</v>
      </c>
      <c r="K2900" t="s">
        <v>2749</v>
      </c>
      <c r="M2900" t="s">
        <v>2547</v>
      </c>
    </row>
    <row r="2901" spans="1:23">
      <c r="A2901">
        <v>3</v>
      </c>
      <c r="B2901">
        <v>9</v>
      </c>
      <c r="C2901">
        <v>2019</v>
      </c>
      <c r="D2901" s="3" t="s">
        <f>B2901&amp;"/"&amp;A2901&amp;"/"&amp;C2901</f>
        <v>2788</v>
      </c>
      <c r="E2901">
        <v>0.8125</v>
      </c>
      <c r="F2901" t="str">
        <f>I2901&amp;" "&amp;J2901&amp;" "&amp;K2901&amp;" "&amp;L2901&amp;" "&amp;M2901&amp;" "&amp;N2901</f>
        <v>Lunch with Sue   </v>
      </c>
      <c r="G2901" t="s">
        <f>TEXT(D2901,"mmm dd")</f>
        <v>850</v>
      </c>
      <c r="I2901" t="s">
        <v>813</v>
      </c>
      <c r="J2901" t="s">
        <v>755</v>
      </c>
      <c r="K2901" t="s">
        <v>2173</v>
      </c>
    </row>
    <row r="2902" spans="1:23">
      <c r="A2902">
        <v>3</v>
      </c>
      <c r="B2902">
        <v>9</v>
      </c>
      <c r="C2902">
        <v>2019</v>
      </c>
      <c r="D2902" s="3" t="s">
        <f>B2902&amp;"/"&amp;A2902&amp;"/"&amp;C2902</f>
        <v>2788</v>
      </c>
      <c r="E2902">
        <v>0.5</v>
      </c>
      <c r="F2902" t="s">
        <f>I2902&amp;" "&amp;J2902&amp;" "&amp;K2902&amp;" "&amp;L2902&amp;" "&amp;M2902&amp;" "&amp;N2902</f>
        <v>2789</v>
      </c>
      <c r="G2902" t="s">
        <f>TEXT(D2902,"mmm dd")</f>
        <v>850</v>
      </c>
      <c r="I2902" t="s">
        <v>2790</v>
      </c>
      <c r="J2902" t="s">
        <v>1620</v>
      </c>
    </row>
    <row r="2903" spans="1:23">
      <c r="A2903">
        <v>3</v>
      </c>
      <c r="B2903">
        <v>9</v>
      </c>
      <c r="C2903">
        <v>2019</v>
      </c>
      <c r="D2903" s="3" t="s">
        <f>B2903&amp;"/"&amp;A2903&amp;"/"&amp;C2903</f>
        <v>2788</v>
      </c>
      <c r="E2903">
        <v>1.0833333333333333</v>
      </c>
      <c r="F2903" t="s">
        <f>I2903&amp;" "&amp;J2903&amp;" "&amp;K2903&amp;" "&amp;L2903&amp;" "&amp;M2903&amp;" "&amp;N2903</f>
        <v>2690</v>
      </c>
      <c r="G2903" t="s">
        <f>TEXT(D2903,"mmm dd")</f>
        <v>850</v>
      </c>
      <c r="I2903" t="s">
        <v>2223</v>
      </c>
      <c r="J2903" t="s">
        <v>2320</v>
      </c>
    </row>
    <row r="2904" spans="1:23">
      <c r="A2904">
        <v>7</v>
      </c>
      <c r="B2904">
        <v>9</v>
      </c>
      <c r="C2904">
        <v>2019</v>
      </c>
      <c r="D2904" s="3" t="str">
        <f>B2904&amp;"/"&amp;A2904&amp;"/"&amp;C2904</f>
        <v>9/7/2019</v>
      </c>
      <c r="E2904">
        <v>1</v>
      </c>
      <c r="F2904" t="s">
        <f>I2904&amp;" "&amp;J2904&amp;" "&amp;K2904&amp;" "&amp;L2904&amp;" "&amp;M2904&amp;" "&amp;N2904</f>
        <v>2779</v>
      </c>
      <c r="G2904" t="s">
        <f>TEXT(D2904,"mmm dd")</f>
        <v>1381</v>
      </c>
      <c r="I2904" t="s">
        <v>2468</v>
      </c>
      <c r="J2904" t="s">
        <v>218</v>
      </c>
      <c r="K2904" t="s">
        <v>2780</v>
      </c>
      <c r="M2904" t="s">
        <v>1846</v>
      </c>
    </row>
    <row r="2905" spans="1:23">
      <c r="A2905">
        <v>8</v>
      </c>
      <c r="B2905">
        <v>9</v>
      </c>
      <c r="C2905">
        <v>2019</v>
      </c>
      <c r="D2905" s="3" t="str">
        <f>B2905&amp;"/"&amp;A2905&amp;"/"&amp;C2905</f>
        <v>9/8/2019</v>
      </c>
      <c r="E2905">
        <v>0.25</v>
      </c>
      <c r="F2905" t="s">
        <f>I2905&amp;" "&amp;J2905&amp;" "&amp;K2905&amp;" "&amp;L2905&amp;" "&amp;M2905&amp;" "&amp;N2905</f>
        <v>2690</v>
      </c>
      <c r="G2905" t="s">
        <f>TEXT(D2905,"mmm dd")</f>
        <v>2077</v>
      </c>
      <c r="I2905" t="s">
        <v>2223</v>
      </c>
      <c r="J2905" t="s">
        <v>2320</v>
      </c>
    </row>
    <row r="2906" spans="1:23">
      <c r="A2906">
        <v>10</v>
      </c>
      <c r="B2906">
        <v>9</v>
      </c>
      <c r="C2906">
        <v>2019</v>
      </c>
      <c r="D2906" s="3" t="s">
        <f>B2906&amp;"/"&amp;A2906&amp;"/"&amp;C2906</f>
        <v>2791</v>
      </c>
      <c r="E2906">
        <v>0.66666666666666663</v>
      </c>
      <c r="F2906" t="str">
        <f>I2906&amp;" "&amp;J2906&amp;" "&amp;K2906&amp;" "&amp;L2906&amp;" "&amp;M2906&amp;" "&amp;N2906</f>
        <v>Lab work for Dr. Weber </v>
      </c>
      <c r="G2906" t="s">
        <f>TEXT(D2906,"mmm dd")</f>
        <v>1382</v>
      </c>
      <c r="I2906" t="s">
        <v>2597</v>
      </c>
      <c r="J2906" t="s">
        <v>990</v>
      </c>
      <c r="K2906" t="s">
        <v>439</v>
      </c>
      <c r="L2906" t="s">
        <v>847</v>
      </c>
      <c r="M2906" t="s">
        <v>2594</v>
      </c>
    </row>
    <row r="2907" spans="1:23">
      <c r="A2907">
        <v>10</v>
      </c>
      <c r="B2907">
        <v>9</v>
      </c>
      <c r="C2907">
        <v>2019</v>
      </c>
      <c r="D2907" s="3" t="s">
        <f>B2907&amp;"/"&amp;A2907&amp;"/"&amp;C2907</f>
        <v>2791</v>
      </c>
      <c r="E2907">
        <v>0.5</v>
      </c>
      <c r="F2907" t="s">
        <f>I2907&amp;" "&amp;J2907&amp;" "&amp;K2907&amp;" "&amp;L2907&amp;" "&amp;M2907&amp;" "&amp;N2907</f>
        <v>2789</v>
      </c>
      <c r="G2907" t="s">
        <f>TEXT(D2907,"mmm dd")</f>
        <v>1382</v>
      </c>
      <c r="I2907" t="s">
        <v>2790</v>
      </c>
      <c r="J2907" t="s">
        <v>1620</v>
      </c>
    </row>
    <row r="2908" spans="1:23">
      <c r="A2908">
        <v>13</v>
      </c>
      <c r="B2908">
        <v>9</v>
      </c>
      <c r="C2908">
        <v>2019</v>
      </c>
      <c r="D2908" s="3" t="str">
        <f>B2908&amp;"/"&amp;A2908&amp;"/"&amp;C2908</f>
        <v>9/13/2019</v>
      </c>
      <c r="E2908">
        <v>0.95833333333333337</v>
      </c>
      <c r="F2908" t="s">
        <f>I2908&amp;" "&amp;J2908&amp;" "&amp;K2908&amp;" "&amp;L2908&amp;" "&amp;M2908&amp;" "&amp;N2908</f>
        <v>2690</v>
      </c>
      <c r="G2908" t="s">
        <f>TEXT(D2908,"mmm dd")</f>
        <v>866</v>
      </c>
      <c r="I2908" t="s">
        <v>2223</v>
      </c>
      <c r="J2908" t="s">
        <v>2320</v>
      </c>
    </row>
    <row r="2909" spans="1:23">
      <c r="A2909">
        <v>16</v>
      </c>
      <c r="B2909">
        <v>9</v>
      </c>
      <c r="C2909">
        <v>2019</v>
      </c>
      <c r="D2909" s="3" t="str">
        <f>B2909&amp;"/"&amp;A2909&amp;"/"&amp;C2909</f>
        <v>9/16/2019</v>
      </c>
      <c r="E2909">
        <v>0.94444444444444442</v>
      </c>
      <c r="F2909" t="str">
        <f>I2909&amp;" "&amp;J2909&amp;" "&amp;K2909&amp;" "&amp;L2909&amp;" "&amp;M2909&amp;" "&amp;N2909</f>
        <v>Dr. Weber medicare intake  </v>
      </c>
      <c r="G2909" t="s">
        <f>TEXT(D2909,"mmm dd")</f>
        <v>870</v>
      </c>
      <c r="I2909" t="s">
        <v>847</v>
      </c>
      <c r="J2909" t="s">
        <v>2594</v>
      </c>
      <c r="K2909" t="inlineStr">
        <is>
          <t>medicare</t>
        </is>
      </c>
      <c r="L2909" t="inlineStr">
        <is>
          <t>intake</t>
        </is>
      </c>
    </row>
    <row r="2910" spans="1:23">
      <c r="A2910">
        <v>17</v>
      </c>
      <c r="B2910">
        <v>9</v>
      </c>
      <c r="C2910">
        <v>2019</v>
      </c>
      <c r="D2910" s="3" t="s">
        <f>B2910&amp;"/"&amp;A2910&amp;"/"&amp;C2910</f>
        <v>2792</v>
      </c>
      <c r="E2910">
        <v>0.20833333333333334</v>
      </c>
      <c r="F2910" t="s">
        <f>I2910&amp;" "&amp;J2910&amp;" "&amp;K2910&amp;" "&amp;L2910&amp;" "&amp;M2910&amp;" "&amp;N2910</f>
        <v>2690</v>
      </c>
      <c r="G2910" t="s">
        <f>TEXT(D2910,"mmm dd")</f>
        <v>872</v>
      </c>
      <c r="I2910" t="s">
        <v>2223</v>
      </c>
      <c r="J2910" t="s">
        <v>2320</v>
      </c>
    </row>
    <row r="2911" spans="1:23">
      <c r="A2911">
        <v>17</v>
      </c>
      <c r="B2911">
        <v>9</v>
      </c>
      <c r="C2911">
        <v>2019</v>
      </c>
      <c r="D2911" s="3" t="s">
        <f>B2911&amp;"/"&amp;A2911&amp;"/"&amp;C2911</f>
        <v>2792</v>
      </c>
      <c r="E2911">
        <v>1.0625</v>
      </c>
      <c r="F2911" t="str">
        <f>I2911&amp;" "&amp;J2911&amp;" "&amp;K2911&amp;" "&amp;L2911&amp;" "&amp;M2911&amp;" "&amp;N2911</f>
        <v>WELCM dinner and Eucharist  </v>
      </c>
      <c r="G2911" t="s">
        <f>TEXT(D2911,"mmm dd")</f>
        <v>872</v>
      </c>
      <c r="I2911" t="inlineStr">
        <is>
          <t>WELCM</t>
        </is>
      </c>
      <c r="J2911" t="s">
        <v>517</v>
      </c>
      <c r="K2911" t="s">
        <v>135</v>
      </c>
      <c r="L2911" t="s">
        <v>69</v>
      </c>
    </row>
    <row r="2912" spans="1:23">
      <c r="A2912">
        <v>21</v>
      </c>
      <c r="B2912">
        <v>9</v>
      </c>
      <c r="C2912">
        <v>2019</v>
      </c>
      <c r="D2912" s="3" t="str">
        <f>B2912&amp;"/"&amp;A2912&amp;"/"&amp;C2912</f>
        <v>9/21/2019</v>
      </c>
      <c r="E2912">
        <v>0.75</v>
      </c>
      <c r="F2912" t="s">
        <f>I2912&amp;" "&amp;J2912&amp;" "&amp;K2912&amp;" "&amp;L2912&amp;" "&amp;M2912&amp;" "&amp;N2912</f>
        <v>2690</v>
      </c>
      <c r="G2912" t="s">
        <f>TEXT(D2912,"mmm dd")</f>
        <v>890</v>
      </c>
      <c r="I2912" t="s">
        <v>2223</v>
      </c>
      <c r="J2912" t="s">
        <v>2320</v>
      </c>
    </row>
    <row r="2913" spans="1:23">
      <c r="A2913">
        <v>26</v>
      </c>
      <c r="B2913">
        <v>9</v>
      </c>
      <c r="C2913">
        <v>2019</v>
      </c>
      <c r="D2913" s="3" t="str">
        <f>B2913&amp;"/"&amp;A2913&amp;"/"&amp;C2913</f>
        <v>9/26/2019</v>
      </c>
      <c r="E2913">
        <v>0.20833333333333334</v>
      </c>
      <c r="F2913" t="s">
        <f>I2913&amp;" "&amp;J2913&amp;" "&amp;K2913&amp;" "&amp;L2913&amp;" "&amp;M2913&amp;" "&amp;N2913</f>
        <v>2690</v>
      </c>
      <c r="G2913" t="s">
        <f>TEXT(D2913,"mmm dd")</f>
        <v>895</v>
      </c>
      <c r="I2913" t="s">
        <v>2223</v>
      </c>
      <c r="J2913" t="s">
        <v>2320</v>
      </c>
    </row>
    <row r="2914" spans="1:23">
      <c r="A2914">
        <v>27</v>
      </c>
      <c r="B2914">
        <v>9</v>
      </c>
      <c r="C2914">
        <v>2019</v>
      </c>
      <c r="D2914" s="3" t="s">
        <f>B2914&amp;"/"&amp;A2914&amp;"/"&amp;C2914</f>
        <v>2793</v>
      </c>
      <c r="E2914">
        <v>0.77083333333333337</v>
      </c>
      <c r="F2914" t="str">
        <f>I2914&amp;" "&amp;J2914&amp;" "&amp;K2914&amp;" "&amp;L2914&amp;" "&amp;M2914&amp;" "&amp;N2914</f>
        <v>Peter     </v>
      </c>
      <c r="G2914" t="s">
        <f>TEXT(D2914,"mmm dd")</f>
        <v>901</v>
      </c>
      <c r="I2914" t="s">
        <v>604</v>
      </c>
    </row>
    <row r="2915" spans="1:23">
      <c r="A2915">
        <v>27</v>
      </c>
      <c r="B2915">
        <v>9</v>
      </c>
      <c r="C2915">
        <v>2019</v>
      </c>
      <c r="D2915" s="3" t="s">
        <f>B2915&amp;"/"&amp;A2915&amp;"/"&amp;C2915</f>
        <v>2793</v>
      </c>
      <c r="E2915">
        <v>0.72916666666666663</v>
      </c>
      <c r="F2915" t="s">
        <f>I2915&amp;" "&amp;J2915&amp;" "&amp;K2915&amp;" "&amp;L2915&amp;" "&amp;M2915&amp;" "&amp;N2915</f>
        <v>2667</v>
      </c>
      <c r="G2915" t="s">
        <f>TEXT(D2915,"mmm dd")</f>
        <v>901</v>
      </c>
      <c r="I2915" t="s">
        <v>1791</v>
      </c>
      <c r="J2915" t="s">
        <v>2537</v>
      </c>
    </row>
    <row r="2916" spans="1:23">
      <c r="A2916">
        <v>29</v>
      </c>
      <c r="B2916">
        <v>9</v>
      </c>
      <c r="C2916">
        <v>2019</v>
      </c>
      <c r="D2916" s="3" t="s">
        <f>B2916&amp;"/"&amp;A2916&amp;"/"&amp;C2916</f>
        <v>2794</v>
      </c>
      <c r="E2916" t="s">
        <v>42</v>
      </c>
      <c r="F2916" t="s">
        <f>I2916&amp;" "&amp;J2916&amp;" "&amp;K2916&amp;" "&amp;L2916&amp;" "&amp;M2916&amp;" "&amp;N2916</f>
        <v>2795</v>
      </c>
      <c r="G2916" t="s">
        <f>TEXT(D2916,"mmm dd")</f>
        <v>1771</v>
      </c>
      <c r="I2916" t="s">
        <v>113</v>
      </c>
      <c r="J2916" t="s">
        <v>73</v>
      </c>
      <c r="K2916" t="s">
        <v>1872</v>
      </c>
    </row>
    <row r="2917" spans="1:23">
      <c r="A2917">
        <v>29</v>
      </c>
      <c r="B2917">
        <v>9</v>
      </c>
      <c r="C2917">
        <v>2019</v>
      </c>
      <c r="D2917" s="3" t="s">
        <f>B2917&amp;"/"&amp;A2917&amp;"/"&amp;C2917</f>
        <v>2794</v>
      </c>
      <c r="E2917">
        <v>0.75</v>
      </c>
      <c r="F2917" t="s">
        <f>I2917&amp;" "&amp;J2917&amp;" "&amp;K2917&amp;" "&amp;L2917&amp;" "&amp;M2917&amp;" "&amp;N2917</f>
        <v>2796</v>
      </c>
      <c r="G2917" t="s">
        <f>TEXT(D2917,"mmm dd")</f>
        <v>1771</v>
      </c>
      <c r="I2917" t="s">
        <v>2468</v>
      </c>
      <c r="J2917" t="s">
        <v>218</v>
      </c>
      <c r="K2917" t="s">
        <v>2738</v>
      </c>
      <c r="L2917" t="s">
        <v>2547</v>
      </c>
    </row>
    <row r="2918" spans="1:23">
      <c r="A2918">
        <v>29</v>
      </c>
      <c r="B2918">
        <v>9</v>
      </c>
      <c r="C2918">
        <v>2019</v>
      </c>
      <c r="D2918" s="3" t="s">
        <f>B2918&amp;"/"&amp;A2918&amp;"/"&amp;C2918</f>
        <v>2794</v>
      </c>
      <c r="E2918">
        <v>1.0416666666666667</v>
      </c>
      <c r="F2918" t="s">
        <f>I2918&amp;" "&amp;J2918&amp;" "&amp;K2918&amp;" "&amp;L2918&amp;" "&amp;M2918&amp;" "&amp;N2918</f>
        <v>2795</v>
      </c>
      <c r="G2918" t="s">
        <f>TEXT(D2918,"mmm dd")</f>
        <v>1771</v>
      </c>
      <c r="I2918" t="s">
        <v>113</v>
      </c>
      <c r="J2918" t="s">
        <v>73</v>
      </c>
      <c r="K2918" t="s">
        <v>1872</v>
      </c>
    </row>
    <row r="2919" spans="1:23">
      <c r="A2919">
        <v>30</v>
      </c>
      <c r="B2919">
        <v>9</v>
      </c>
      <c r="C2919">
        <v>2019</v>
      </c>
      <c r="D2919" s="3" t="str">
        <f>B2919&amp;"/"&amp;A2919&amp;"/"&amp;C2919</f>
        <v>9/30/2019</v>
      </c>
      <c r="E2919">
        <v>0.79166666666666663</v>
      </c>
      <c r="F2919" t="s">
        <f>I2919&amp;" "&amp;J2919&amp;" "&amp;K2919&amp;" "&amp;L2919&amp;" "&amp;M2919&amp;" "&amp;N2919</f>
        <v>2690</v>
      </c>
      <c r="G2919" t="s">
        <f>TEXT(D2919,"mmm dd")</f>
        <v>916</v>
      </c>
      <c r="I2919" t="s">
        <v>2223</v>
      </c>
      <c r="J2919" t="s">
        <v>2320</v>
      </c>
      <c r="O2919">
        <v>103</v>
      </c>
    </row>
    <row r="2920" spans="1:23">
      <c r="A2920">
        <v>1</v>
      </c>
      <c r="B2920">
        <v>10</v>
      </c>
      <c r="C2920">
        <v>2019</v>
      </c>
      <c r="D2920" s="3" t="str">
        <f>B2920&amp;"/"&amp;A2920&amp;"/"&amp;C2920</f>
        <v>10/1/2019</v>
      </c>
      <c r="E2920" t="s">
        <v>42</v>
      </c>
      <c r="F2920" t="str">
        <f>I2920&amp;" "&amp;J2920&amp;" "&amp;K2920&amp;" "&amp;L2920&amp;" "&amp;M2920&amp;" "&amp;N2920</f>
        <v>Scott Jansen Birthday   </v>
      </c>
      <c r="G2920" t="s">
        <f>TEXT(D2920,"mmm dd")</f>
        <v>2099</v>
      </c>
      <c r="I2920" t="s">
        <v>917</v>
      </c>
      <c r="J2920" t="s">
        <v>2636</v>
      </c>
      <c r="K2920" t="s">
        <v>2082</v>
      </c>
    </row>
    <row r="2921" spans="1:23">
      <c r="A2921">
        <v>5</v>
      </c>
      <c r="B2921">
        <v>10</v>
      </c>
      <c r="C2921">
        <v>2019</v>
      </c>
      <c r="D2921" s="3" t="str">
        <f>B2921&amp;"/"&amp;A2921&amp;"/"&amp;C2921</f>
        <v>10/5/2019</v>
      </c>
      <c r="E2921">
        <v>0.25</v>
      </c>
      <c r="F2921" t="s">
        <f>I2921&amp;" "&amp;J2921&amp;" "&amp;K2921&amp;" "&amp;L2921&amp;" "&amp;M2921&amp;" "&amp;N2921</f>
        <v>2690</v>
      </c>
      <c r="G2921" t="s">
        <f>TEXT(D2921,"mmm dd")</f>
        <v>1612</v>
      </c>
      <c r="I2921" t="s">
        <v>2223</v>
      </c>
      <c r="J2921" t="s">
        <v>2320</v>
      </c>
    </row>
    <row r="2922" spans="1:23">
      <c r="A2922">
        <v>9</v>
      </c>
      <c r="B2922">
        <v>10</v>
      </c>
      <c r="C2922">
        <v>2019</v>
      </c>
      <c r="D2922" s="3" t="str">
        <f>B2922&amp;"/"&amp;A2922&amp;"/"&amp;C2922</f>
        <v>10/9/2019</v>
      </c>
      <c r="E2922">
        <v>0.95833333333333337</v>
      </c>
      <c r="F2922" t="s">
        <f>I2922&amp;" "&amp;J2922&amp;" "&amp;K2922&amp;" "&amp;L2922&amp;" "&amp;M2922&amp;" "&amp;N2922</f>
        <v>2690</v>
      </c>
      <c r="G2922" t="s">
        <f>TEXT(D2922,"mmm dd")</f>
        <v>924</v>
      </c>
      <c r="I2922" t="s">
        <v>2223</v>
      </c>
      <c r="J2922" t="s">
        <v>2320</v>
      </c>
    </row>
    <row r="2923" spans="1:23">
      <c r="A2923">
        <v>14</v>
      </c>
      <c r="B2923">
        <v>10</v>
      </c>
      <c r="C2923">
        <v>2019</v>
      </c>
      <c r="D2923" s="3" t="str">
        <f>B2923&amp;"/"&amp;A2923&amp;"/"&amp;C2923</f>
        <v>10/14/2019</v>
      </c>
      <c r="E2923">
        <v>0.20833333333333334</v>
      </c>
      <c r="F2923" t="s">
        <f>I2923&amp;" "&amp;J2923&amp;" "&amp;K2923&amp;" "&amp;L2923&amp;" "&amp;M2923&amp;" "&amp;N2923</f>
        <v>2690</v>
      </c>
      <c r="G2923" t="s">
        <f>TEXT(D2923,"mmm dd")</f>
        <v>938</v>
      </c>
      <c r="I2923" t="s">
        <v>2223</v>
      </c>
      <c r="J2923" t="s">
        <v>2320</v>
      </c>
    </row>
    <row r="2924" spans="1:23">
      <c r="A2924">
        <v>18</v>
      </c>
      <c r="B2924">
        <v>10</v>
      </c>
      <c r="C2924">
        <v>2019</v>
      </c>
      <c r="D2924" s="3" t="str">
        <f>B2924&amp;"/"&amp;A2924&amp;"/"&amp;C2924</f>
        <v>10/18/2019</v>
      </c>
      <c r="E2924">
        <v>0.70833333333333337</v>
      </c>
      <c r="F2924" t="s">
        <f>I2924&amp;" "&amp;J2924&amp;" "&amp;K2924&amp;" "&amp;L2924&amp;" "&amp;M2924&amp;" "&amp;N2924</f>
        <v>2690</v>
      </c>
      <c r="G2924" t="s">
        <f>TEXT(D2924,"mmm dd")</f>
        <v>1407</v>
      </c>
      <c r="I2924" t="s">
        <v>2223</v>
      </c>
      <c r="J2924" t="s">
        <v>2320</v>
      </c>
    </row>
    <row r="2925" spans="1:23">
      <c r="A2925">
        <v>22</v>
      </c>
      <c r="B2925">
        <v>10</v>
      </c>
      <c r="C2925">
        <v>2019</v>
      </c>
      <c r="D2925" s="3" t="str">
        <f>B2925&amp;"/"&amp;A2925&amp;"/"&amp;C2925</f>
        <v>10/22/2019</v>
      </c>
      <c r="E2925">
        <v>0.95833333333333337</v>
      </c>
      <c r="F2925" t="s">
        <f>I2925&amp;" "&amp;J2925&amp;" "&amp;K2925&amp;" "&amp;L2925&amp;" "&amp;M2925&amp;" "&amp;N2925</f>
        <v>2690</v>
      </c>
      <c r="G2925" t="s">
        <f>TEXT(D2925,"mmm dd")</f>
        <v>1410</v>
      </c>
      <c r="I2925" t="s">
        <v>2223</v>
      </c>
      <c r="J2925" t="s">
        <v>2320</v>
      </c>
    </row>
    <row r="2926" spans="1:23">
      <c r="A2926">
        <v>25</v>
      </c>
      <c r="B2926">
        <v>10</v>
      </c>
      <c r="C2926">
        <v>2019</v>
      </c>
      <c r="D2926" s="3" t="str">
        <f>B2926&amp;"/"&amp;A2926&amp;"/"&amp;C2926</f>
        <v>10/25/2019</v>
      </c>
      <c r="E2926">
        <v>0.70833333333333337</v>
      </c>
      <c r="F2926" t="str">
        <f>I2926&amp;" "&amp;J2926&amp;" "&amp;K2926&amp;" "&amp;L2926&amp;" "&amp;M2926&amp;" "&amp;N2926</f>
        <v>Call Dabney    </v>
      </c>
      <c r="G2926" t="s">
        <f>TEXT(D2926,"mmm dd")</f>
        <v>2261</v>
      </c>
      <c r="I2926" t="s">
        <v>1028</v>
      </c>
      <c r="J2926" t="s">
        <v>2797</v>
      </c>
    </row>
    <row r="2927" spans="1:23">
      <c r="A2927">
        <v>28</v>
      </c>
      <c r="B2927">
        <v>10</v>
      </c>
      <c r="C2927">
        <v>2019</v>
      </c>
      <c r="D2927" s="3" t="str">
        <f>B2927&amp;"/"&amp;A2927&amp;"/"&amp;C2927</f>
        <v>10/28/2019</v>
      </c>
      <c r="E2927">
        <v>0.70833333333333337</v>
      </c>
      <c r="F2927" t="s">
        <f>I2927&amp;" "&amp;J2927&amp;" "&amp;K2927&amp;" "&amp;L2927&amp;" "&amp;M2927&amp;" "&amp;N2927</f>
        <v>2690</v>
      </c>
      <c r="G2927" t="s">
        <f>TEXT(D2927,"mmm dd")</f>
        <v>959</v>
      </c>
      <c r="I2927" t="s">
        <v>2223</v>
      </c>
      <c r="J2927" t="s">
        <v>2320</v>
      </c>
    </row>
    <row r="2928" spans="1:23">
      <c r="A2928">
        <v>29</v>
      </c>
      <c r="B2928">
        <v>10</v>
      </c>
      <c r="C2928">
        <v>2019</v>
      </c>
      <c r="D2928" s="3" t="str">
        <f>B2928&amp;"/"&amp;A2928&amp;"/"&amp;C2928</f>
        <v>10/29/2019</v>
      </c>
      <c r="E2928">
        <v>0.625</v>
      </c>
      <c r="F2928" t="str">
        <f>I2928&amp;" "&amp;J2928&amp;" "&amp;K2928&amp;" "&amp;L2928&amp;" "&amp;M2928&amp;" "&amp;N2928</f>
        <v>Update Winthrop login   </v>
      </c>
      <c r="G2928" t="s">
        <f>TEXT(D2928,"mmm dd")</f>
        <v>962</v>
      </c>
      <c r="I2928" t="s">
        <v>2798</v>
      </c>
      <c r="J2928" t="s">
        <v>2444</v>
      </c>
      <c r="K2928" t="inlineStr">
        <is>
          <t>login</t>
        </is>
      </c>
    </row>
    <row r="2929" spans="1:23">
      <c r="A2929">
        <v>30</v>
      </c>
      <c r="B2929">
        <v>10</v>
      </c>
      <c r="C2929">
        <v>2019</v>
      </c>
      <c r="D2929" s="3" t="s">
        <f>B2929&amp;"/"&amp;A2929&amp;"/"&amp;C2929</f>
        <v>2799</v>
      </c>
      <c r="E2929">
        <v>0.82152777777777775</v>
      </c>
      <c r="F2929" t="str">
        <f>I2929&amp;" "&amp;J2929&amp;" "&amp;K2929&amp;" "&amp;L2929&amp;" "&amp;M2929&amp;" "&amp;N2929</f>
        <v>Flight to Atlanta (DL 1317) </v>
      </c>
      <c r="G2929" t="s">
        <f>TEXT(D2929,"mmm dd")</f>
        <v>967</v>
      </c>
      <c r="I2929" t="s">
        <v>2365</v>
      </c>
      <c r="J2929" t="s">
        <v>449</v>
      </c>
      <c r="K2929" t="s">
        <v>2369</v>
      </c>
      <c r="L2929" t="s">
        <v>2591</v>
      </c>
      <c r="M2929" t="inlineStr">
        <is>
          <t>1317)</t>
        </is>
      </c>
    </row>
    <row r="2930" spans="1:23">
      <c r="A2930">
        <v>30</v>
      </c>
      <c r="B2930">
        <v>10</v>
      </c>
      <c r="C2930">
        <v>2019</v>
      </c>
      <c r="D2930" s="3" t="s">
        <f>B2930&amp;"/"&amp;A2930&amp;"/"&amp;C2930</f>
        <v>2799</v>
      </c>
      <c r="E2930">
        <v>0.98055555555555551</v>
      </c>
      <c r="F2930" t="str">
        <f>I2930&amp;" "&amp;J2930&amp;" "&amp;K2930&amp;" "&amp;L2930&amp;" "&amp;M2930&amp;" "&amp;N2930</f>
        <v>Flight to Dayton (DL 2337) </v>
      </c>
      <c r="G2930" t="s">
        <f>TEXT(D2930,"mmm dd")</f>
        <v>967</v>
      </c>
      <c r="I2930" t="s">
        <v>2365</v>
      </c>
      <c r="J2930" t="s">
        <v>449</v>
      </c>
      <c r="K2930" t="s">
        <v>2562</v>
      </c>
      <c r="L2930" t="s">
        <v>2591</v>
      </c>
      <c r="M2930" t="inlineStr">
        <is>
          <t>2337)</t>
        </is>
      </c>
    </row>
    <row r="2931" spans="1:23">
      <c r="A2931">
        <v>1</v>
      </c>
      <c r="B2931">
        <v>11</v>
      </c>
      <c r="C2931">
        <v>2019</v>
      </c>
      <c r="D2931" s="3" t="str">
        <f>B2931&amp;"/"&amp;A2931&amp;"/"&amp;C2931</f>
        <v>11/1/2019</v>
      </c>
      <c r="E2931">
        <v>0.70833333333333337</v>
      </c>
      <c r="F2931" t="s">
        <f>I2931&amp;" "&amp;J2931&amp;" "&amp;K2931&amp;" "&amp;L2931&amp;" "&amp;M2931&amp;" "&amp;N2931</f>
        <v>2690</v>
      </c>
      <c r="G2931" t="s">
        <f>TEXT(D2931,"mmm dd")</f>
        <v>978</v>
      </c>
      <c r="I2931" t="s">
        <v>2223</v>
      </c>
      <c r="J2931" t="s">
        <v>2320</v>
      </c>
    </row>
    <row r="2932" spans="1:23">
      <c r="A2932">
        <v>4</v>
      </c>
      <c r="B2932">
        <v>11</v>
      </c>
      <c r="C2932">
        <v>2019</v>
      </c>
      <c r="D2932" s="3" t="s">
        <f>B2932&amp;"/"&amp;A2932&amp;"/"&amp;C2932</f>
        <v>2800</v>
      </c>
      <c r="E2932">
        <v>0.66666666666666663</v>
      </c>
      <c r="F2932" t="str">
        <f>I2932&amp;" "&amp;J2932&amp;" "&amp;K2932&amp;" "&amp;L2932&amp;" "&amp;M2932&amp;" "&amp;N2932</f>
        <v>Call for kia service  </v>
      </c>
      <c r="G2932" t="s">
        <f>TEXT(D2932,"mmm dd")</f>
        <v>34</v>
      </c>
      <c r="I2932" t="s">
        <v>1028</v>
      </c>
      <c r="J2932" t="s">
        <v>439</v>
      </c>
      <c r="K2932" t="inlineStr">
        <is>
          <t>kia</t>
        </is>
      </c>
      <c r="L2932" t="s">
        <v>427</v>
      </c>
    </row>
    <row r="2933" spans="1:23">
      <c r="A2933">
        <v>4</v>
      </c>
      <c r="B2933">
        <v>11</v>
      </c>
      <c r="C2933">
        <v>2019</v>
      </c>
      <c r="D2933" s="3" t="s">
        <f>B2933&amp;"/"&amp;A2933&amp;"/"&amp;C2933</f>
        <v>2800</v>
      </c>
      <c r="E2933">
        <v>0.85416666666666663</v>
      </c>
      <c r="F2933" t="str">
        <f>I2933&amp;" "&amp;J2933&amp;" "&amp;K2933&amp;" "&amp;L2933&amp;" "&amp;M2933&amp;" "&amp;N2933</f>
        <v>Meet Olga Maria   </v>
      </c>
      <c r="G2933" t="s">
        <f>TEXT(D2933,"mmm dd")</f>
        <v>34</v>
      </c>
      <c r="I2933" t="s">
        <v>300</v>
      </c>
      <c r="J2933" t="inlineStr">
        <is>
          <t>Olga</t>
        </is>
      </c>
      <c r="K2933" t="s">
        <v>673</v>
      </c>
    </row>
    <row r="2934" spans="1:23">
      <c r="A2934">
        <v>5</v>
      </c>
      <c r="B2934">
        <v>11</v>
      </c>
      <c r="C2934">
        <v>2019</v>
      </c>
      <c r="D2934" s="3" t="s">
        <f>B2934&amp;"/"&amp;A2934&amp;"/"&amp;C2934</f>
        <v>2801</v>
      </c>
      <c r="E2934">
        <v>1.0416666666666667</v>
      </c>
      <c r="F2934" t="str">
        <f>I2934&amp;" "&amp;J2934&amp;" "&amp;K2934&amp;" "&amp;L2934&amp;" "&amp;M2934&amp;" "&amp;N2934</f>
        <v>Julian plane?    </v>
      </c>
      <c r="G2934" t="s">
        <f>TEXT(D2934,"mmm dd")</f>
        <v>35</v>
      </c>
      <c r="I2934" t="s">
        <v>284</v>
      </c>
      <c r="J2934" t="inlineStr">
        <is>
          <t>plane?</t>
        </is>
      </c>
    </row>
    <row r="2935" spans="1:23">
      <c r="A2935">
        <v>5</v>
      </c>
      <c r="B2935">
        <v>11</v>
      </c>
      <c r="C2935">
        <v>2019</v>
      </c>
      <c r="D2935" s="3" t="s">
        <f>B2935&amp;"/"&amp;A2935&amp;"/"&amp;C2935</f>
        <v>2801</v>
      </c>
      <c r="E2935">
        <v>0.70833333333333337</v>
      </c>
      <c r="F2935" t="s">
        <f>I2935&amp;" "&amp;J2935&amp;" "&amp;K2935&amp;" "&amp;L2935&amp;" "&amp;M2935&amp;" "&amp;N2935</f>
        <v>2802</v>
      </c>
      <c r="G2935" t="s">
        <f>TEXT(D2935,"mmm dd")</f>
        <v>35</v>
      </c>
      <c r="I2935" t="s">
        <v>1370</v>
      </c>
      <c r="J2935" t="s">
        <v>427</v>
      </c>
    </row>
    <row r="2936" spans="1:23">
      <c r="A2936">
        <v>6</v>
      </c>
      <c r="B2936">
        <v>11</v>
      </c>
      <c r="C2936">
        <v>2019</v>
      </c>
      <c r="D2936" s="3" t="str">
        <f>B2936&amp;"/"&amp;A2936&amp;"/"&amp;C2936</f>
        <v>11/6/2019</v>
      </c>
      <c r="E2936">
        <v>0.75</v>
      </c>
      <c r="F2936" t="s">
        <f>I2936&amp;" "&amp;J2936&amp;" "&amp;K2936&amp;" "&amp;L2936&amp;" "&amp;M2936&amp;" "&amp;N2936</f>
        <v>2690</v>
      </c>
      <c r="G2936" t="s">
        <f>TEXT(D2936,"mmm dd")</f>
        <v>1645</v>
      </c>
      <c r="I2936" t="s">
        <v>2223</v>
      </c>
      <c r="J2936" t="s">
        <v>2320</v>
      </c>
    </row>
    <row r="2937" spans="1:23">
      <c r="A2937">
        <v>10</v>
      </c>
      <c r="B2937">
        <v>11</v>
      </c>
      <c r="C2937">
        <v>2019</v>
      </c>
      <c r="D2937" s="3" t="str">
        <f>B2937&amp;"/"&amp;A2937&amp;"/"&amp;C2937</f>
        <v>11/10/2019</v>
      </c>
      <c r="E2937" t="s">
        <v>42</v>
      </c>
      <c r="F2937" t="str">
        <f>I2937&amp;" "&amp;J2937&amp;" "&amp;K2937&amp;" "&amp;L2937&amp;" "&amp;M2937&amp;" "&amp;N2937</f>
        <v>Psalms week 4   </v>
      </c>
      <c r="G2937" t="s">
        <f>TEXT(D2937,"mmm dd")</f>
        <v>983</v>
      </c>
      <c r="I2937" t="inlineStr">
        <is>
          <t>Psalms</t>
        </is>
      </c>
      <c r="J2937" t="s">
        <v>2803</v>
      </c>
      <c r="K2937">
        <v>4</v>
      </c>
    </row>
    <row r="2938" spans="1:23">
      <c r="A2938">
        <v>11</v>
      </c>
      <c r="B2938">
        <v>11</v>
      </c>
      <c r="C2938">
        <v>2019</v>
      </c>
      <c r="D2938" s="3" t="str">
        <f>B2938&amp;"/"&amp;A2938&amp;"/"&amp;C2938</f>
        <v>11/11/2019</v>
      </c>
      <c r="E2938">
        <v>0.25</v>
      </c>
      <c r="F2938" t="s">
        <f>I2938&amp;" "&amp;J2938&amp;" "&amp;K2938&amp;" "&amp;L2938&amp;" "&amp;M2938&amp;" "&amp;N2938</f>
        <v>2690</v>
      </c>
      <c r="G2938" t="s">
        <f>TEXT(D2938,"mmm dd")</f>
        <v>986</v>
      </c>
      <c r="I2938" t="s">
        <v>2223</v>
      </c>
      <c r="J2938" t="s">
        <v>2320</v>
      </c>
    </row>
    <row r="2939" spans="1:23">
      <c r="A2939">
        <v>14</v>
      </c>
      <c r="B2939">
        <v>11</v>
      </c>
      <c r="C2939">
        <v>2019</v>
      </c>
      <c r="D2939" s="3" t="str">
        <f>B2939&amp;"/"&amp;A2939&amp;"/"&amp;C2939</f>
        <v>11/14/2019</v>
      </c>
      <c r="E2939" t="s">
        <v>42</v>
      </c>
      <c r="F2939" t="str">
        <f>I2939&amp;" "&amp;J2939&amp;" "&amp;K2939&amp;" "&amp;L2939&amp;" "&amp;M2939&amp;" "&amp;N2939</f>
        <v>Amy to Dayton   </v>
      </c>
      <c r="G2939" t="s">
        <f>TEXT(D2939,"mmm dd")</f>
        <v>1007</v>
      </c>
      <c r="I2939" t="s">
        <v>1310</v>
      </c>
      <c r="J2939" t="s">
        <v>449</v>
      </c>
      <c r="K2939" t="s">
        <v>2562</v>
      </c>
    </row>
    <row r="2940" spans="1:23">
      <c r="A2940">
        <v>15</v>
      </c>
      <c r="B2940">
        <v>11</v>
      </c>
      <c r="C2940">
        <v>2019</v>
      </c>
      <c r="D2940" s="3" t="str">
        <f>B2940&amp;"/"&amp;A2940&amp;"/"&amp;C2940</f>
        <v>11/15/2019</v>
      </c>
      <c r="E2940">
        <v>0.91666666666666663</v>
      </c>
      <c r="F2940" t="s">
        <f>I2940&amp;" "&amp;J2940&amp;" "&amp;K2940&amp;" "&amp;L2940&amp;" "&amp;M2940&amp;" "&amp;N2940</f>
        <v>2690</v>
      </c>
      <c r="G2940" t="s">
        <f>TEXT(D2940,"mmm dd")</f>
        <v>1012</v>
      </c>
      <c r="I2940" t="s">
        <v>2223</v>
      </c>
      <c r="J2940" t="s">
        <v>2320</v>
      </c>
    </row>
    <row r="2941" spans="1:23">
      <c r="A2941">
        <v>20</v>
      </c>
      <c r="B2941">
        <v>11</v>
      </c>
      <c r="C2941">
        <v>2019</v>
      </c>
      <c r="D2941" s="3" t="str">
        <f>B2941&amp;"/"&amp;A2941&amp;"/"&amp;C2941</f>
        <v>11/20/2019</v>
      </c>
      <c r="E2941">
        <v>0.79166666666666663</v>
      </c>
      <c r="F2941" t="s">
        <f>I2941&amp;" "&amp;J2941&amp;" "&amp;K2941&amp;" "&amp;L2941&amp;" "&amp;M2941&amp;" "&amp;N2941</f>
        <v>2690</v>
      </c>
      <c r="G2941" t="s">
        <f>TEXT(D2941,"mmm dd")</f>
        <v>1030</v>
      </c>
      <c r="I2941" t="s">
        <v>2223</v>
      </c>
      <c r="J2941" t="s">
        <v>2320</v>
      </c>
    </row>
    <row r="2942" spans="1:23">
      <c r="A2942">
        <v>22</v>
      </c>
      <c r="B2942">
        <v>11</v>
      </c>
      <c r="C2942">
        <v>2019</v>
      </c>
      <c r="D2942" s="3" t="str">
        <f>B2942&amp;"/"&amp;A2942&amp;"/"&amp;C2942</f>
        <v>11/22/2019</v>
      </c>
      <c r="E2942">
        <v>0.875</v>
      </c>
      <c r="F2942" t="str">
        <f>I2942&amp;" "&amp;J2942&amp;" "&amp;K2942&amp;" "&amp;L2942&amp;" "&amp;M2942&amp;" "&amp;N2942</f>
        <v>Tree estimate    </v>
      </c>
      <c r="G2942" t="s">
        <f>TEXT(D2942,"mmm dd")</f>
        <v>1428</v>
      </c>
      <c r="I2942" t="s">
        <v>2804</v>
      </c>
      <c r="J2942" t="s">
        <v>2805</v>
      </c>
    </row>
    <row r="2943" spans="1:23">
      <c r="A2943">
        <v>23</v>
      </c>
      <c r="B2943">
        <v>11</v>
      </c>
      <c r="C2943">
        <v>2019</v>
      </c>
      <c r="D2943" s="3" t="str">
        <f>B2943&amp;"/"&amp;A2943&amp;"/"&amp;C2943</f>
        <v>11/23/2019</v>
      </c>
      <c r="E2943">
        <v>0.70833333333333337</v>
      </c>
      <c r="F2943" t="str">
        <f>I2943&amp;" "&amp;J2943&amp;" "&amp;K2943&amp;" "&amp;L2943&amp;" "&amp;M2943&amp;" "&amp;N2943</f>
        <v>Handyman     </v>
      </c>
      <c r="G2943" t="s">
        <f>TEXT(D2943,"mmm dd")</f>
        <v>1035</v>
      </c>
      <c r="I2943" t="inlineStr">
        <is>
          <t>Handyman</t>
        </is>
      </c>
    </row>
    <row r="2944" spans="1:23">
      <c r="A2944">
        <v>24</v>
      </c>
      <c r="B2944">
        <v>11</v>
      </c>
      <c r="C2944">
        <v>2019</v>
      </c>
      <c r="D2944" s="3" t="str">
        <f>B2944&amp;"/"&amp;A2944&amp;"/"&amp;C2944</f>
        <v>11/24/2019</v>
      </c>
      <c r="E2944">
        <v>0.79166666666666663</v>
      </c>
      <c r="F2944" t="str">
        <f>I2944&amp;" "&amp;J2944&amp;" "&amp;K2944&amp;" "&amp;L2944&amp;" "&amp;M2944&amp;" "&amp;N2944</f>
        <v>Supply at St. John's Winnsboro </v>
      </c>
      <c r="G2944" t="s">
        <f>TEXT(D2944,"mmm dd")</f>
        <v>1039</v>
      </c>
      <c r="I2944" t="s">
        <v>2468</v>
      </c>
      <c r="J2944" t="s">
        <v>53</v>
      </c>
      <c r="K2944" t="s">
        <v>218</v>
      </c>
      <c r="L2944" t="s">
        <v>2738</v>
      </c>
      <c r="M2944" t="s">
        <v>2547</v>
      </c>
    </row>
    <row r="2945" spans="1:23">
      <c r="A2945">
        <v>25</v>
      </c>
      <c r="B2945">
        <v>11</v>
      </c>
      <c r="C2945">
        <v>2019</v>
      </c>
      <c r="D2945" s="3" t="s">
        <f>B2945&amp;"/"&amp;A2945&amp;"/"&amp;C2945</f>
        <v>2806</v>
      </c>
      <c r="E2945">
        <v>0.75</v>
      </c>
      <c r="F2945" t="str">
        <f>I2945&amp;" "&amp;J2945&amp;" "&amp;K2945&amp;" "&amp;L2945&amp;" "&amp;M2945&amp;" "&amp;N2945</f>
        <v>Green hands Tree service  </v>
      </c>
      <c r="G2945" t="s">
        <f>TEXT(D2945,"mmm dd")</f>
        <v>1433</v>
      </c>
      <c r="I2945" t="inlineStr">
        <is>
          <t>Green</t>
        </is>
      </c>
      <c r="J2945" t="inlineStr">
        <is>
          <t>hands</t>
        </is>
      </c>
      <c r="K2945" t="s">
        <v>2804</v>
      </c>
      <c r="L2945" t="s">
        <v>427</v>
      </c>
    </row>
    <row r="2946" spans="1:23">
      <c r="A2946">
        <v>25</v>
      </c>
      <c r="B2946">
        <v>11</v>
      </c>
      <c r="C2946">
        <v>2019</v>
      </c>
      <c r="D2946" s="3" t="s">
        <f>B2946&amp;"/"&amp;A2946&amp;"/"&amp;C2946</f>
        <v>2806</v>
      </c>
      <c r="E2946">
        <v>0.29166666666666669</v>
      </c>
      <c r="F2946" t="s">
        <f>I2946&amp;" "&amp;J2946&amp;" "&amp;K2946&amp;" "&amp;L2946&amp;" "&amp;M2946&amp;" "&amp;N2946</f>
        <v>2690</v>
      </c>
      <c r="G2946" t="s">
        <f>TEXT(D2946,"mmm dd")</f>
        <v>1433</v>
      </c>
      <c r="I2946" t="s">
        <v>2223</v>
      </c>
      <c r="J2946" t="s">
        <v>2320</v>
      </c>
    </row>
    <row r="2947" spans="1:23">
      <c r="A2947">
        <v>27</v>
      </c>
      <c r="B2947">
        <v>11</v>
      </c>
      <c r="C2947">
        <v>2019</v>
      </c>
      <c r="D2947" s="3" t="str">
        <f>B2947&amp;"/"&amp;A2947&amp;"/"&amp;C2947</f>
        <v>11/27/2019</v>
      </c>
      <c r="E2947">
        <v>0.83333333333333337</v>
      </c>
      <c r="F2947" t="str">
        <f>I2947&amp;" "&amp;J2947&amp;" "&amp;K2947&amp;" "&amp;L2947&amp;" "&amp;M2947&amp;" "&amp;N2947</f>
        <v>Lunch with Leslie &amp; Gordon </v>
      </c>
      <c r="G2947" t="s">
        <f>TEXT(D2947,"mmm dd")</f>
        <v>1045</v>
      </c>
      <c r="I2947" t="s">
        <v>813</v>
      </c>
      <c r="J2947" t="s">
        <v>755</v>
      </c>
      <c r="K2947" t="inlineStr">
        <is>
          <t>Leslie</t>
        </is>
      </c>
      <c r="L2947" t="s">
        <v>73</v>
      </c>
      <c r="M2947" t="s">
        <v>1717</v>
      </c>
    </row>
    <row r="2948" spans="1:23">
      <c r="A2948">
        <v>29</v>
      </c>
      <c r="B2948">
        <v>11</v>
      </c>
      <c r="C2948">
        <v>2019</v>
      </c>
      <c r="D2948" s="3" t="str">
        <f>B2948&amp;"/"&amp;A2948&amp;"/"&amp;C2948</f>
        <v>11/29/2019</v>
      </c>
      <c r="E2948">
        <v>1.0833333333333333</v>
      </c>
      <c r="F2948" t="s">
        <f>I2948&amp;" "&amp;J2948&amp;" "&amp;K2948&amp;" "&amp;L2948&amp;" "&amp;M2948&amp;" "&amp;N2948</f>
        <v>2690</v>
      </c>
      <c r="G2948" t="s">
        <f>TEXT(D2948,"mmm dd")</f>
        <v>2736</v>
      </c>
      <c r="I2948" t="s">
        <v>2223</v>
      </c>
      <c r="J2948" t="s">
        <v>2320</v>
      </c>
    </row>
    <row r="2949" spans="1:23">
      <c r="A2949">
        <v>1</v>
      </c>
      <c r="B2949">
        <v>12</v>
      </c>
      <c r="C2949">
        <v>2019</v>
      </c>
      <c r="D2949" s="3" t="str">
        <f>B2949&amp;"/"&amp;A2949&amp;"/"&amp;C2949</f>
        <v>12/1/2019</v>
      </c>
      <c r="E2949">
        <v>0.79166666666666663</v>
      </c>
      <c r="F2949" t="s">
        <f>I2949&amp;" "&amp;J2949&amp;" "&amp;K2949&amp;" "&amp;L2949&amp;" "&amp;M2949&amp;" "&amp;N2949</f>
        <v>2787</v>
      </c>
      <c r="G2949" t="s">
        <f>TEXT(D2949,"mmm dd")</f>
        <v>1437</v>
      </c>
      <c r="I2949" t="s">
        <v>2468</v>
      </c>
      <c r="J2949" t="s">
        <v>218</v>
      </c>
      <c r="K2949" t="s">
        <v>2749</v>
      </c>
      <c r="M2949" t="s">
        <v>2547</v>
      </c>
    </row>
    <row r="2950" spans="1:23">
      <c r="A2950">
        <v>4</v>
      </c>
      <c r="B2950">
        <v>12</v>
      </c>
      <c r="C2950">
        <v>2019</v>
      </c>
      <c r="D2950" s="3" t="s">
        <f>B2950&amp;"/"&amp;A2950&amp;"/"&amp;C2950</f>
        <v>2807</v>
      </c>
      <c r="E2950">
        <v>0.97916666666666663</v>
      </c>
      <c r="F2950" t="str">
        <f>I2950&amp;" "&amp;J2950&amp;" "&amp;K2950&amp;" "&amp;L2950&amp;" "&amp;M2950&amp;" "&amp;N2950</f>
        <v>Brother service Heating A C </v>
      </c>
      <c r="G2950" t="s">
        <f>TEXT(D2950,"mmm dd")</f>
        <v>1057</v>
      </c>
      <c r="I2950" t="inlineStr">
        <is>
          <t>Brother</t>
        </is>
      </c>
      <c r="J2950" t="s">
        <v>427</v>
      </c>
      <c r="K2950" t="inlineStr">
        <is>
          <t>Heating</t>
        </is>
      </c>
      <c r="L2950" t="s">
        <v>1575</v>
      </c>
      <c r="M2950" t="s">
        <v>2808</v>
      </c>
    </row>
    <row r="2951" spans="1:23">
      <c r="A2951">
        <v>4</v>
      </c>
      <c r="B2951">
        <v>12</v>
      </c>
      <c r="C2951">
        <v>2019</v>
      </c>
      <c r="D2951" s="3" t="s">
        <f>B2951&amp;"/"&amp;A2951&amp;"/"&amp;C2951</f>
        <v>2807</v>
      </c>
      <c r="E2951">
        <v>1.0833333333333333</v>
      </c>
      <c r="F2951" t="s">
        <f>I2951&amp;" "&amp;J2951&amp;" "&amp;K2951&amp;" "&amp;L2951&amp;" "&amp;M2951&amp;" "&amp;N2951</f>
        <v>2690</v>
      </c>
      <c r="G2951" t="s">
        <f>TEXT(D2951,"mmm dd")</f>
        <v>1057</v>
      </c>
      <c r="I2951" t="s">
        <v>2223</v>
      </c>
      <c r="J2951" t="s">
        <v>2320</v>
      </c>
    </row>
    <row r="2952" spans="1:23">
      <c r="A2952">
        <v>8</v>
      </c>
      <c r="B2952">
        <v>12</v>
      </c>
      <c r="C2952">
        <v>2019</v>
      </c>
      <c r="D2952" s="3" t="str">
        <f>B2952&amp;"/"&amp;A2952&amp;"/"&amp;C2952</f>
        <v>12/8/2019</v>
      </c>
      <c r="E2952">
        <v>0.66666666666666663</v>
      </c>
      <c r="F2952" t="s">
        <f>I2952&amp;" "&amp;J2952&amp;" "&amp;K2952&amp;" "&amp;L2952&amp;" "&amp;M2952&amp;" "&amp;N2952</f>
        <v>2809</v>
      </c>
      <c r="G2952" t="s">
        <f>TEXT(D2952,"mmm dd")</f>
        <v>2154</v>
      </c>
      <c r="I2952" t="s">
        <v>2468</v>
      </c>
      <c r="J2952" t="s">
        <v>2119</v>
      </c>
      <c r="K2952" t="s">
        <v>2756</v>
      </c>
    </row>
    <row r="2953" spans="1:23">
      <c r="A2953">
        <v>9</v>
      </c>
      <c r="B2953">
        <v>12</v>
      </c>
      <c r="C2953">
        <v>2019</v>
      </c>
      <c r="D2953" s="3" t="str">
        <f>B2953&amp;"/"&amp;A2953&amp;"/"&amp;C2953</f>
        <v>12/9/2019</v>
      </c>
      <c r="E2953">
        <v>0.79166666666666663</v>
      </c>
      <c r="F2953" t="s">
        <f>I2953&amp;" "&amp;J2953&amp;" "&amp;K2953&amp;" "&amp;L2953&amp;" "&amp;M2953&amp;" "&amp;N2953</f>
        <v>2690</v>
      </c>
      <c r="G2953" t="s">
        <f>TEXT(D2953,"mmm dd")</f>
        <v>1064</v>
      </c>
      <c r="I2953" t="s">
        <v>2223</v>
      </c>
      <c r="J2953" t="s">
        <v>2320</v>
      </c>
    </row>
    <row r="2954" spans="1:23">
      <c r="A2954">
        <v>10</v>
      </c>
      <c r="B2954">
        <v>12</v>
      </c>
      <c r="C2954">
        <v>2019</v>
      </c>
      <c r="D2954" s="3" t="str">
        <f>B2954&amp;"/"&amp;A2954&amp;"/"&amp;C2954</f>
        <v>12/10/2019</v>
      </c>
      <c r="E2954">
        <v>0.90277777777777779</v>
      </c>
      <c r="F2954" t="s">
        <f>I2954&amp;" "&amp;J2954&amp;" "&amp;K2954&amp;" "&amp;L2954&amp;" "&amp;M2954&amp;" "&amp;N2954</f>
        <v>2810</v>
      </c>
      <c r="G2954" t="s">
        <f>TEXT(D2954,"mmm dd")</f>
        <v>1452</v>
      </c>
      <c r="I2954" t="s">
        <v>847</v>
      </c>
      <c r="J2954" t="s">
        <v>2811</v>
      </c>
      <c r="K2954" t="s">
        <v>2812</v>
      </c>
    </row>
    <row r="2955" spans="1:23">
      <c r="A2955">
        <v>14</v>
      </c>
      <c r="B2955">
        <v>12</v>
      </c>
      <c r="C2955">
        <v>2019</v>
      </c>
      <c r="D2955" s="3" t="str">
        <f>B2955&amp;"/"&amp;A2955&amp;"/"&amp;C2955</f>
        <v>12/14/2019</v>
      </c>
      <c r="E2955">
        <v>0.70833333333333337</v>
      </c>
      <c r="F2955" t="s">
        <f>I2955&amp;" "&amp;J2955&amp;" "&amp;K2955&amp;" "&amp;L2955&amp;" "&amp;M2955&amp;" "&amp;N2955</f>
        <v>2690</v>
      </c>
      <c r="G2955" t="s">
        <f>TEXT(D2955,"mmm dd")</f>
        <v>1079</v>
      </c>
      <c r="I2955" t="s">
        <v>2223</v>
      </c>
      <c r="J2955" t="s">
        <v>2320</v>
      </c>
    </row>
    <row r="2956" spans="1:23">
      <c r="A2956">
        <v>16</v>
      </c>
      <c r="B2956">
        <v>12</v>
      </c>
      <c r="C2956">
        <v>2019</v>
      </c>
      <c r="D2956" s="3" t="str">
        <f>B2956&amp;"/"&amp;A2956&amp;"/"&amp;C2956</f>
        <v>12/16/2019</v>
      </c>
      <c r="E2956" t="s">
        <v>42</v>
      </c>
      <c r="F2956" t="str">
        <f>I2956&amp;" "&amp;J2956&amp;" "&amp;K2956&amp;" "&amp;L2956&amp;" "&amp;M2956&amp;" "&amp;N2956</f>
        <v>Call doctor and CVS re prescriptions</v>
      </c>
      <c r="G2956" t="s">
        <f>TEXT(D2956,"mmm dd")</f>
        <v>1093</v>
      </c>
      <c r="I2956" t="s">
        <v>1028</v>
      </c>
      <c r="J2956" t="s">
        <v>1354</v>
      </c>
      <c r="K2956" t="s">
        <v>135</v>
      </c>
      <c r="L2956" t="s">
        <v>2813</v>
      </c>
      <c r="M2956" t="s">
        <v>594</v>
      </c>
      <c r="N2956" t="inlineStr">
        <is>
          <t>prescriptions</t>
        </is>
      </c>
    </row>
    <row r="2957" spans="1:23">
      <c r="A2957">
        <v>19</v>
      </c>
      <c r="B2957">
        <v>12</v>
      </c>
      <c r="C2957">
        <v>2019</v>
      </c>
      <c r="D2957" s="3" t="str">
        <f>B2957&amp;"/"&amp;A2957&amp;"/"&amp;C2957</f>
        <v>12/19/2019</v>
      </c>
      <c r="E2957">
        <v>0.20833333333333334</v>
      </c>
      <c r="F2957" t="str">
        <f>I2957&amp;" "&amp;J2957&amp;" "&amp;K2957&amp;" "&amp;L2957&amp;" "&amp;M2957&amp;" "&amp;N2957</f>
        <v>Battery max change   </v>
      </c>
      <c r="G2957" t="s">
        <f>TEXT(D2957,"mmm dd")</f>
        <v>1114</v>
      </c>
      <c r="I2957" t="s">
        <v>2223</v>
      </c>
      <c r="J2957" t="inlineStr">
        <is>
          <t>max</t>
        </is>
      </c>
      <c r="K2957" t="s">
        <v>2320</v>
      </c>
    </row>
    <row r="2958" spans="1:23">
      <c r="A2958">
        <v>22</v>
      </c>
      <c r="B2958">
        <v>12</v>
      </c>
      <c r="C2958">
        <v>2019</v>
      </c>
      <c r="D2958" s="3" t="str">
        <f>B2958&amp;"/"&amp;A2958&amp;"/"&amp;C2958</f>
        <v>12/22/2019</v>
      </c>
      <c r="E2958">
        <v>0.45833333333333331</v>
      </c>
      <c r="F2958" t="str">
        <f>I2958&amp;" "&amp;J2958&amp;" "&amp;K2958&amp;" "&amp;L2958&amp;" "&amp;M2958&amp;" "&amp;N2958</f>
        <v>St Paul’s    </v>
      </c>
      <c r="G2958" t="s">
        <f>TEXT(D2958,"mmm dd")</f>
        <v>1670</v>
      </c>
      <c r="I2958" t="s">
        <v>1796</v>
      </c>
      <c r="J2958" t="s">
        <v>2668</v>
      </c>
    </row>
    <row r="2959" spans="1:23">
      <c r="A2959">
        <v>23</v>
      </c>
      <c r="B2959">
        <v>12</v>
      </c>
      <c r="C2959">
        <v>2019</v>
      </c>
      <c r="D2959" s="3" t="str">
        <f>B2959&amp;"/"&amp;A2959&amp;"/"&amp;C2959</f>
        <v>12/23/2019</v>
      </c>
      <c r="E2959">
        <v>0.70833333333333337</v>
      </c>
      <c r="F2959" t="s">
        <f>I2959&amp;" "&amp;J2959&amp;" "&amp;K2959&amp;" "&amp;L2959&amp;" "&amp;M2959&amp;" "&amp;N2959</f>
        <v>2690</v>
      </c>
      <c r="G2959" t="s">
        <f>TEXT(D2959,"mmm dd")</f>
        <v>1129</v>
      </c>
      <c r="I2959" t="s">
        <v>2223</v>
      </c>
      <c r="J2959" t="s">
        <v>2320</v>
      </c>
    </row>
    <row r="2960" spans="1:23">
      <c r="A2960">
        <v>24</v>
      </c>
      <c r="B2960">
        <v>12</v>
      </c>
      <c r="C2960">
        <v>2019</v>
      </c>
      <c r="D2960" s="3" t="str">
        <f>B2960&amp;"/"&amp;A2960&amp;"/"&amp;C2960</f>
        <v>12/24/2019</v>
      </c>
      <c r="E2960" t="s">
        <v>42</v>
      </c>
      <c r="F2960" t="s">
        <f>I2960&amp;" "&amp;J2960&amp;" "&amp;K2960&amp;" "&amp;L2960&amp;" "&amp;M2960&amp;" "&amp;N2960</f>
        <v>2692</v>
      </c>
      <c r="G2960" t="s">
        <f>TEXT(D2960,"mmm dd")</f>
        <v>1467</v>
      </c>
      <c r="I2960" t="s">
        <v>2468</v>
      </c>
      <c r="J2960" t="s">
        <v>53</v>
      </c>
      <c r="K2960" t="s">
        <v>218</v>
      </c>
      <c r="L2960" t="s">
        <v>2560</v>
      </c>
      <c r="M2960" t="s">
        <v>1202</v>
      </c>
      <c r="N2960" t="s">
        <v>1739</v>
      </c>
    </row>
    <row r="2961" spans="1:23">
      <c r="A2961">
        <v>28</v>
      </c>
      <c r="B2961">
        <v>12</v>
      </c>
      <c r="C2961">
        <v>2019</v>
      </c>
      <c r="D2961" s="3" t="str">
        <f>B2961&amp;"/"&amp;A2961&amp;"/"&amp;C2961</f>
        <v>12/28/2019</v>
      </c>
      <c r="E2961">
        <v>0.20833333333333334</v>
      </c>
      <c r="F2961" t="s">
        <f>I2961&amp;" "&amp;J2961&amp;" "&amp;K2961&amp;" "&amp;L2961&amp;" "&amp;M2961&amp;" "&amp;N2961</f>
        <v>2690</v>
      </c>
      <c r="G2961" t="s">
        <f>TEXT(D2961,"mmm dd")</f>
        <v>1675</v>
      </c>
      <c r="I2961" t="s">
        <v>2223</v>
      </c>
      <c r="J2961" t="s">
        <v>2320</v>
      </c>
    </row>
    <row r="2962" spans="1:23">
      <c r="A2962">
        <v>30</v>
      </c>
      <c r="B2962">
        <v>12</v>
      </c>
      <c r="C2962">
        <v>2019</v>
      </c>
      <c r="D2962" s="3" t="s">
        <f>B2962&amp;"/"&amp;A2962&amp;"/"&amp;C2962</f>
        <v>2814</v>
      </c>
      <c r="E2962">
        <v>0.25</v>
      </c>
      <c r="F2962" t="str">
        <f>I2962&amp;" "&amp;J2962&amp;" "&amp;K2962&amp;" "&amp;L2962&amp;" "&amp;M2962&amp;" "&amp;N2962</f>
        <v>Fast     </v>
      </c>
      <c r="G2962" t="s">
        <f>TEXT(D2962,"mmm dd")</f>
        <v>38</v>
      </c>
      <c r="I2962" t="inlineStr">
        <is>
          <t>Fast</t>
        </is>
      </c>
    </row>
    <row r="2963" spans="1:23">
      <c r="A2963">
        <v>30</v>
      </c>
      <c r="B2963">
        <v>12</v>
      </c>
      <c r="C2963">
        <v>2019</v>
      </c>
      <c r="D2963" s="3" t="s">
        <f>B2963&amp;"/"&amp;A2963&amp;"/"&amp;C2963</f>
        <v>2814</v>
      </c>
      <c r="E2963" t="s">
        <v>42</v>
      </c>
      <c r="F2963" t="str">
        <f>I2963&amp;" "&amp;J2963&amp;" "&amp;K2963&amp;" "&amp;L2963&amp;" "&amp;M2963&amp;" "&amp;N2963</f>
        <v>Appointment Reminder    </v>
      </c>
      <c r="G2963" t="s">
        <f>TEXT(D2963,"mmm dd")</f>
        <v>38</v>
      </c>
      <c r="I2963" t="s">
        <v>2419</v>
      </c>
      <c r="J2963" t="inlineStr">
        <is>
          <t>Reminder</t>
        </is>
      </c>
    </row>
    <row r="2964" spans="1:23">
      <c r="A2964">
        <v>30</v>
      </c>
      <c r="B2964">
        <v>12</v>
      </c>
      <c r="C2964">
        <v>2019</v>
      </c>
      <c r="D2964" s="3" t="s">
        <f>B2964&amp;"/"&amp;A2964&amp;"/"&amp;C2964</f>
        <v>2814</v>
      </c>
      <c r="E2964">
        <v>0.5</v>
      </c>
      <c r="F2964" t="s">
        <f>I2964&amp;" "&amp;J2964&amp;" "&amp;K2964&amp;" "&amp;L2964&amp;" "&amp;M2964&amp;" "&amp;N2964</f>
        <v>2815</v>
      </c>
      <c r="G2964" t="s">
        <f>TEXT(D2964,"mmm dd")</f>
        <v>38</v>
      </c>
      <c r="I2964" t="s">
        <v>2816</v>
      </c>
      <c r="J2964" t="s">
        <v>1448</v>
      </c>
      <c r="O2964" t="s">
        <v>1922</v>
      </c>
    </row>
    <row r="2965" spans="1:23">
      <c r="A2965">
        <v>30</v>
      </c>
      <c r="B2965">
        <v>12</v>
      </c>
      <c r="C2965">
        <v>2019</v>
      </c>
      <c r="D2965" s="3" t="s">
        <f>B2965&amp;"/"&amp;A2965&amp;"/"&amp;C2965</f>
        <v>2814</v>
      </c>
      <c r="E2965">
        <v>0.61458333333333337</v>
      </c>
      <c r="F2965" t="s">
        <f>I2965&amp;" "&amp;J2965&amp;" "&amp;K2965&amp;" "&amp;L2965&amp;" "&amp;M2965&amp;" "&amp;N2965</f>
        <v>2815</v>
      </c>
      <c r="G2965" t="s">
        <f>TEXT(D2965,"mmm dd")</f>
        <v>38</v>
      </c>
      <c r="I2965" t="s">
        <v>2816</v>
      </c>
      <c r="J2965" t="s">
        <v>1448</v>
      </c>
    </row>
    <row r="2966" spans="1:23">
      <c r="A2966">
        <v>31</v>
      </c>
      <c r="B2966">
        <v>12</v>
      </c>
      <c r="C2966">
        <v>2019</v>
      </c>
      <c r="D2966" s="3" t="s">
        <f>B2966&amp;"/"&amp;A2966&amp;"/"&amp;C2966</f>
        <v>2817</v>
      </c>
      <c r="E2966">
        <v>0.75</v>
      </c>
      <c r="F2966" t="s">
        <f>I2966&amp;" "&amp;J2966&amp;" "&amp;K2966&amp;" "&amp;L2966&amp;" "&amp;M2966&amp;" "&amp;N2966</f>
        <v>2818</v>
      </c>
      <c r="G2966" t="s">
        <f>TEXT(D2966,"mmm dd")</f>
        <v>1134</v>
      </c>
      <c r="I2966" t="s">
        <v>2816</v>
      </c>
      <c r="J2966" t="s">
        <v>1363</v>
      </c>
      <c r="K2966" t="s">
        <v>1364</v>
      </c>
      <c r="O2966" t="s">
        <v>548</v>
      </c>
      <c r="P2966" t="inlineStr">
        <is>
          <t>Mon</t>
        </is>
      </c>
      <c r="Q2966" t="s">
        <v>2412</v>
      </c>
      <c r="R2966">
        <v>13</v>
      </c>
      <c r="S2966" s="7">
        <v>0.375</v>
      </c>
    </row>
    <row r="2967" spans="1:23">
      <c r="A2967">
        <v>31</v>
      </c>
      <c r="B2967">
        <v>12</v>
      </c>
      <c r="C2967">
        <v>2019</v>
      </c>
      <c r="D2967" s="3" t="s">
        <f>B2967&amp;"/"&amp;A2967&amp;"/"&amp;C2967</f>
        <v>2817</v>
      </c>
      <c r="E2967">
        <v>0.71527777777777779</v>
      </c>
      <c r="F2967" t="s">
        <f>I2967&amp;" "&amp;J2967&amp;" "&amp;K2967&amp;" "&amp;L2967&amp;" "&amp;M2967&amp;" "&amp;N2967</f>
        <v>2818</v>
      </c>
      <c r="G2967" t="s">
        <f>TEXT(D2967,"mmm dd")</f>
        <v>1134</v>
      </c>
      <c r="I2967" t="s">
        <v>2816</v>
      </c>
      <c r="J2967" t="s">
        <v>1363</v>
      </c>
      <c r="K2967" t="s">
        <v>1364</v>
      </c>
    </row>
    <row r="2968" spans="1:23">
      <c r="A2968">
        <v>1</v>
      </c>
      <c r="B2968">
        <v>1</v>
      </c>
      <c r="C2968">
        <v>2020</v>
      </c>
      <c r="D2968" s="3" t="str">
        <f>B2968&amp;"/"&amp;A2968&amp;"/"&amp;C2968</f>
        <v>1/1/2020</v>
      </c>
      <c r="E2968">
        <v>1.0833333333333333</v>
      </c>
      <c r="F2968" t="s">
        <f>I2968&amp;" "&amp;J2968&amp;" "&amp;K2968&amp;" "&amp;L2968&amp;" "&amp;M2968&amp;" "&amp;N2968</f>
        <v>2690</v>
      </c>
      <c r="G2968" t="s">
        <f>TEXT(D2968,"mmm dd")</f>
        <v>1676</v>
      </c>
      <c r="I2968" t="s">
        <v>2223</v>
      </c>
      <c r="J2968" t="s">
        <v>2320</v>
      </c>
    </row>
    <row r="2969" spans="1:23">
      <c r="A2969">
        <v>6</v>
      </c>
      <c r="B2969">
        <v>1</v>
      </c>
      <c r="C2969">
        <v>2020</v>
      </c>
      <c r="D2969" s="3" t="s">
        <f>B2969&amp;"/"&amp;A2969&amp;"/"&amp;C2969</f>
        <v>2819</v>
      </c>
      <c r="E2969">
        <v>0.58333333333333337</v>
      </c>
      <c r="F2969" t="s">
        <f>I2969&amp;" "&amp;J2969&amp;" "&amp;K2969&amp;" "&amp;L2969&amp;" "&amp;M2969&amp;" "&amp;N2969</f>
        <v>2690</v>
      </c>
      <c r="G2969" t="s">
        <f>TEXT(D2969,"mmm dd")</f>
        <v>1142</v>
      </c>
      <c r="I2969" t="s">
        <v>2223</v>
      </c>
      <c r="J2969" t="s">
        <v>2320</v>
      </c>
    </row>
    <row r="2970" spans="1:23">
      <c r="A2970">
        <v>6</v>
      </c>
      <c r="B2970">
        <v>1</v>
      </c>
      <c r="C2970">
        <v>2020</v>
      </c>
      <c r="D2970" s="3" t="s">
        <f>B2970&amp;"/"&amp;A2970&amp;"/"&amp;C2970</f>
        <v>2819</v>
      </c>
      <c r="E2970">
        <v>0.38194444444444442</v>
      </c>
      <c r="F2970" t="s">
        <f>I2970&amp;" "&amp;J2970&amp;" "&amp;K2970&amp;" "&amp;L2970&amp;" "&amp;M2970&amp;" "&amp;N2970</f>
        <v>2815</v>
      </c>
      <c r="G2970" t="s">
        <f>TEXT(D2970,"mmm dd")</f>
        <v>1142</v>
      </c>
      <c r="I2970" t="s">
        <v>2816</v>
      </c>
      <c r="J2970" t="s">
        <v>1448</v>
      </c>
    </row>
    <row r="2971" spans="1:23">
      <c r="A2971">
        <v>7</v>
      </c>
      <c r="B2971">
        <v>1</v>
      </c>
      <c r="C2971">
        <v>2020</v>
      </c>
      <c r="D2971" s="3" t="str">
        <f>B2971&amp;"/"&amp;A2971&amp;"/"&amp;C2971</f>
        <v>1/7/2020</v>
      </c>
      <c r="E2971">
        <v>0.66666666666666663</v>
      </c>
      <c r="F2971" t="s">
        <f>I2971&amp;" "&amp;J2971&amp;" "&amp;K2971&amp;" "&amp;L2971&amp;" "&amp;M2971&amp;" "&amp;N2971</f>
        <v>2818</v>
      </c>
      <c r="G2971" t="s">
        <f>TEXT(D2971,"mmm dd")</f>
        <v>1682</v>
      </c>
      <c r="I2971" t="s">
        <v>2816</v>
      </c>
      <c r="J2971" t="s">
        <v>1363</v>
      </c>
      <c r="K2971" t="s">
        <v>1364</v>
      </c>
    </row>
    <row r="2972" spans="1:23">
      <c r="A2972">
        <v>11</v>
      </c>
      <c r="B2972">
        <v>1</v>
      </c>
      <c r="C2972">
        <v>2020</v>
      </c>
      <c r="D2972" s="3" t="str">
        <f>B2972&amp;"/"&amp;A2972&amp;"/"&amp;C2972</f>
        <v>1/11/2020</v>
      </c>
      <c r="E2972">
        <v>0.66666666666666663</v>
      </c>
      <c r="F2972" t="s">
        <f>I2972&amp;" "&amp;J2972&amp;" "&amp;K2972&amp;" "&amp;L2972&amp;" "&amp;M2972&amp;" "&amp;N2972</f>
        <v>2690</v>
      </c>
      <c r="G2972" t="s">
        <f>TEXT(D2972,"mmm dd")</f>
        <v>1152</v>
      </c>
      <c r="I2972" t="s">
        <v>2223</v>
      </c>
      <c r="J2972" t="s">
        <v>2320</v>
      </c>
    </row>
    <row r="2973" spans="1:23">
      <c r="A2973">
        <v>13</v>
      </c>
      <c r="B2973">
        <v>1</v>
      </c>
      <c r="C2973">
        <v>2020</v>
      </c>
      <c r="D2973" s="3" t="str">
        <f>B2973&amp;"/"&amp;A2973&amp;"/"&amp;C2973</f>
        <v>1/13/2020</v>
      </c>
      <c r="E2973">
        <v>0.83333333333333337</v>
      </c>
      <c r="F2973" t="s">
        <f>I2973&amp;" "&amp;J2973&amp;" "&amp;K2973&amp;" "&amp;L2973&amp;" "&amp;M2973&amp;" "&amp;N2973</f>
        <v>2820</v>
      </c>
      <c r="G2973" t="s">
        <f>TEXT(D2973,"mmm dd")</f>
        <v>1164</v>
      </c>
      <c r="I2973" t="s">
        <v>2450</v>
      </c>
      <c r="J2973">
        <v>101</v>
      </c>
    </row>
    <row r="2974" spans="1:23">
      <c r="A2974">
        <v>20</v>
      </c>
      <c r="B2974">
        <v>1</v>
      </c>
      <c r="C2974">
        <v>2020</v>
      </c>
      <c r="D2974" s="3" t="s">
        <f>B2974&amp;"/"&amp;A2974&amp;"/"&amp;C2974</f>
        <v>2821</v>
      </c>
      <c r="E2974">
        <v>1.0416666666666667</v>
      </c>
      <c r="F2974" t="s">
        <f>I2974&amp;" "&amp;J2974&amp;" "&amp;K2974&amp;" "&amp;L2974&amp;" "&amp;M2974&amp;" "&amp;N2974</f>
        <v>2690</v>
      </c>
      <c r="G2974" t="s">
        <f>TEXT(D2974,"mmm dd")</f>
        <v>1482</v>
      </c>
      <c r="I2974" t="s">
        <v>2223</v>
      </c>
      <c r="J2974" t="s">
        <v>2320</v>
      </c>
    </row>
    <row r="2975" spans="1:23">
      <c r="A2975">
        <v>20</v>
      </c>
      <c r="B2975">
        <v>1</v>
      </c>
      <c r="C2975">
        <v>2020</v>
      </c>
      <c r="D2975" s="3" t="s">
        <f>B2975&amp;"/"&amp;A2975&amp;"/"&amp;C2975</f>
        <v>2821</v>
      </c>
      <c r="E2975">
        <v>0.83333333333333337</v>
      </c>
      <c r="F2975" t="s">
        <f>I2975&amp;" "&amp;J2975&amp;" "&amp;K2975&amp;" "&amp;L2975&amp;" "&amp;M2975&amp;" "&amp;N2975</f>
        <v>2820</v>
      </c>
      <c r="G2975" t="s">
        <f>TEXT(D2975,"mmm dd")</f>
        <v>1482</v>
      </c>
      <c r="I2975" t="s">
        <v>2450</v>
      </c>
      <c r="J2975">
        <v>101</v>
      </c>
    </row>
    <row r="2976" spans="1:23">
      <c r="A2976">
        <v>21</v>
      </c>
      <c r="B2976">
        <v>1</v>
      </c>
      <c r="C2976">
        <v>2020</v>
      </c>
      <c r="D2976" s="3" t="str">
        <f>B2976&amp;"/"&amp;A2976&amp;"/"&amp;C2976</f>
        <v>1/21/2020</v>
      </c>
      <c r="E2976">
        <v>0.89583333333333337</v>
      </c>
      <c r="F2976" t="str">
        <f>I2976&amp;" "&amp;J2976&amp;" "&amp;K2976&amp;" "&amp;L2976&amp;" "&amp;M2976&amp;" "&amp;N2976</f>
        <v>Dr. Peterson (cataract follow up) </v>
      </c>
      <c r="G2976" t="s">
        <f>TEXT(D2976,"mmm dd")</f>
        <v>1485</v>
      </c>
      <c r="I2976" t="s">
        <v>847</v>
      </c>
      <c r="J2976" t="s">
        <v>2811</v>
      </c>
      <c r="K2976" t="inlineStr">
        <is>
          <t>(cataract</t>
        </is>
      </c>
      <c r="L2976" t="s">
        <v>2054</v>
      </c>
      <c r="M2976" t="inlineStr">
        <is>
          <t>up)</t>
        </is>
      </c>
    </row>
    <row r="2977" spans="1:23">
      <c r="A2977">
        <v>23</v>
      </c>
      <c r="B2977">
        <v>1</v>
      </c>
      <c r="C2977">
        <v>2020</v>
      </c>
      <c r="D2977" s="3" t="str">
        <f>B2977&amp;"/"&amp;A2977&amp;"/"&amp;C2977</f>
        <v>1/23/2020</v>
      </c>
      <c r="E2977">
        <v>1.0208333333333333</v>
      </c>
      <c r="F2977" t="str">
        <f>I2977&amp;" "&amp;J2977&amp;" "&amp;K2977&amp;" "&amp;L2977&amp;" "&amp;M2977&amp;" "&amp;N2977</f>
        <v>NTB tires    </v>
      </c>
      <c r="G2977" t="s">
        <f>TEXT(D2977,"mmm dd")</f>
        <v>1179</v>
      </c>
      <c r="I2977" t="inlineStr">
        <is>
          <t>NTB</t>
        </is>
      </c>
      <c r="J2977" t="s">
        <v>2334</v>
      </c>
    </row>
    <row r="2978" spans="1:23">
      <c r="A2978">
        <v>25</v>
      </c>
      <c r="B2978">
        <v>1</v>
      </c>
      <c r="C2978">
        <v>2020</v>
      </c>
      <c r="D2978" s="3" t="str">
        <f>B2978&amp;"/"&amp;A2978&amp;"/"&amp;C2978</f>
        <v>1/25/2020</v>
      </c>
      <c r="E2978">
        <v>0.66666666666666663</v>
      </c>
      <c r="F2978" t="s">
        <f>I2978&amp;" "&amp;J2978&amp;" "&amp;K2978&amp;" "&amp;L2978&amp;" "&amp;M2978&amp;" "&amp;N2978</f>
        <v>2690</v>
      </c>
      <c r="G2978" t="s">
        <f>TEXT(D2978,"mmm dd")</f>
        <v>1830</v>
      </c>
      <c r="I2978" t="s">
        <v>2223</v>
      </c>
      <c r="J2978" t="s">
        <v>2320</v>
      </c>
    </row>
    <row r="2979" spans="1:23">
      <c r="A2979">
        <v>27</v>
      </c>
      <c r="B2979">
        <v>1</v>
      </c>
      <c r="C2979">
        <v>2020</v>
      </c>
      <c r="D2979" s="3" t="str">
        <f>B2979&amp;"/"&amp;A2979&amp;"/"&amp;C2979</f>
        <v>1/27/2020</v>
      </c>
      <c r="E2979">
        <v>0.29166666666666669</v>
      </c>
      <c r="F2979" t="str">
        <f>I2979&amp;" "&amp;J2979&amp;" "&amp;K2979&amp;" "&amp;L2979&amp;" "&amp;M2979&amp;" "&amp;N2979</f>
        <v>Cnn on special auschwitz  </v>
      </c>
      <c r="G2979" t="s">
        <f>TEXT(D2979,"mmm dd")</f>
        <v>1696</v>
      </c>
      <c r="I2979" t="inlineStr">
        <is>
          <t>Cnn</t>
        </is>
      </c>
      <c r="J2979" t="s">
        <v>1449</v>
      </c>
      <c r="K2979" t="s">
        <v>1898</v>
      </c>
      <c r="L2979" t="inlineStr">
        <is>
          <t>auschwitz</t>
        </is>
      </c>
    </row>
    <row r="2980" spans="1:23">
      <c r="A2980">
        <v>1</v>
      </c>
      <c r="B2980">
        <v>2</v>
      </c>
      <c r="C2980">
        <v>2020</v>
      </c>
      <c r="D2980" s="3" t="str">
        <f>B2980&amp;"/"&amp;A2980&amp;"/"&amp;C2980</f>
        <v>2/1/2020</v>
      </c>
      <c r="E2980">
        <v>0.83333333333333337</v>
      </c>
      <c r="F2980" t="str">
        <f>I2980&amp;" "&amp;J2980&amp;" "&amp;K2980&amp;" "&amp;L2980&amp;" "&amp;M2980&amp;" "&amp;N2980</f>
        <v>Vestry lunch    </v>
      </c>
      <c r="G2980" t="s">
        <f>TEXT(D2980,"mmm dd")</f>
        <v>1838</v>
      </c>
      <c r="I2980" t="s">
        <v>194</v>
      </c>
      <c r="J2980" t="s">
        <v>440</v>
      </c>
    </row>
    <row r="2981" spans="1:23">
      <c r="A2981">
        <v>3</v>
      </c>
      <c r="B2981">
        <v>2</v>
      </c>
      <c r="C2981">
        <v>2020</v>
      </c>
      <c r="D2981" s="3" t="str">
        <f>B2981&amp;"/"&amp;A2981&amp;"/"&amp;C2981</f>
        <v>2/3/2020</v>
      </c>
      <c r="E2981">
        <v>0.66666666666666663</v>
      </c>
      <c r="F2981" t="s">
        <f>I2981&amp;" "&amp;J2981&amp;" "&amp;K2981&amp;" "&amp;L2981&amp;" "&amp;M2981&amp;" "&amp;N2981</f>
        <v>2690</v>
      </c>
      <c r="G2981" t="s">
        <f>TEXT(D2981,"mmm dd")</f>
        <v>1501</v>
      </c>
      <c r="I2981" t="s">
        <v>2223</v>
      </c>
      <c r="J2981" t="s">
        <v>2320</v>
      </c>
    </row>
    <row r="2982" spans="1:23">
      <c r="A2982">
        <v>5</v>
      </c>
      <c r="B2982">
        <v>2</v>
      </c>
      <c r="C2982">
        <v>2020</v>
      </c>
      <c r="D2982" s="3" t="s">
        <f>B2982&amp;"/"&amp;A2982&amp;"/"&amp;C2982</f>
        <v>2822</v>
      </c>
      <c r="E2982">
        <v>0.98611111111111116</v>
      </c>
      <c r="F2982" t="str">
        <f>I2982&amp;" "&amp;J2982&amp;" "&amp;K2982&amp;" "&amp;L2982&amp;" "&amp;M2982&amp;" "&amp;N2982</f>
        <v>Flight to Phoenix (DL 2046) </v>
      </c>
      <c r="G2982" t="s">
        <f>TEXT(D2982,"mmm dd")</f>
        <v>1182</v>
      </c>
      <c r="I2982" t="s">
        <v>2365</v>
      </c>
      <c r="J2982" t="s">
        <v>449</v>
      </c>
      <c r="K2982" t="s">
        <v>2222</v>
      </c>
      <c r="L2982" t="s">
        <v>2591</v>
      </c>
      <c r="M2982" t="inlineStr">
        <is>
          <t>2046)</t>
        </is>
      </c>
    </row>
    <row r="2983" spans="1:23">
      <c r="A2983">
        <v>5</v>
      </c>
      <c r="B2983">
        <v>2</v>
      </c>
      <c r="C2983">
        <v>2020</v>
      </c>
      <c r="D2983" s="3" t="s">
        <f>B2983&amp;"/"&amp;A2983&amp;"/"&amp;C2983</f>
        <v>2822</v>
      </c>
      <c r="E2983">
        <v>0.88541666666666663</v>
      </c>
      <c r="F2983" t="str">
        <f>I2983&amp;" "&amp;J2983&amp;" "&amp;K2983&amp;" "&amp;L2983&amp;" "&amp;M2983&amp;" "&amp;N2983</f>
        <v>Flight to Atlanta (DL 1807) </v>
      </c>
      <c r="G2983" t="s">
        <f>TEXT(D2983,"mmm dd")</f>
        <v>1182</v>
      </c>
      <c r="I2983" t="s">
        <v>2365</v>
      </c>
      <c r="J2983" t="s">
        <v>449</v>
      </c>
      <c r="K2983" t="s">
        <v>2369</v>
      </c>
      <c r="L2983" t="s">
        <v>2591</v>
      </c>
      <c r="M2983" t="inlineStr">
        <is>
          <t>1807)</t>
        </is>
      </c>
    </row>
    <row r="2984" spans="1:23">
      <c r="A2984">
        <v>8</v>
      </c>
      <c r="B2984">
        <v>2</v>
      </c>
      <c r="C2984">
        <v>2020</v>
      </c>
      <c r="D2984" s="3" t="s">
        <f>B2984&amp;"/"&amp;A2984&amp;"/"&amp;C2984</f>
        <v>2823</v>
      </c>
      <c r="E2984" t="s">
        <v>42</v>
      </c>
      <c r="F2984" t="str">
        <f>I2984&amp;" "&amp;J2984&amp;" "&amp;K2984&amp;" "&amp;L2984&amp;" "&amp;M2984&amp;" "&amp;N2984</f>
        <v>Bill and Karla   </v>
      </c>
      <c r="G2984" t="s">
        <f>TEXT(D2984,"mmm dd")</f>
        <v>1843</v>
      </c>
      <c r="I2984" t="s">
        <v>814</v>
      </c>
      <c r="J2984" t="s">
        <v>135</v>
      </c>
      <c r="K2984" t="s">
        <v>2176</v>
      </c>
    </row>
    <row r="2985" spans="1:23">
      <c r="A2985">
        <v>8</v>
      </c>
      <c r="B2985">
        <v>2</v>
      </c>
      <c r="C2985">
        <v>2020</v>
      </c>
      <c r="D2985" s="3" t="s">
        <f>B2985&amp;"/"&amp;A2985&amp;"/"&amp;C2985</f>
        <v>2823</v>
      </c>
      <c r="E2985">
        <v>0.3125</v>
      </c>
      <c r="F2985" t="s">
        <f>I2985&amp;" "&amp;J2985&amp;" "&amp;K2985&amp;" "&amp;L2985&amp;" "&amp;M2985&amp;" "&amp;N2985</f>
        <v>2690</v>
      </c>
      <c r="G2985" t="s">
        <f>TEXT(D2985,"mmm dd")</f>
        <v>1843</v>
      </c>
      <c r="I2985" t="s">
        <v>2223</v>
      </c>
      <c r="J2985" t="s">
        <v>2320</v>
      </c>
    </row>
    <row r="2986" spans="1:23">
      <c r="A2986">
        <v>10</v>
      </c>
      <c r="B2986">
        <v>2</v>
      </c>
      <c r="C2986">
        <v>2020</v>
      </c>
      <c r="D2986" s="3" t="str">
        <f>B2986&amp;"/"&amp;A2986&amp;"/"&amp;C2986</f>
        <v>2/10/2020</v>
      </c>
      <c r="E2986">
        <v>1.0243055555555556</v>
      </c>
      <c r="F2986" t="str">
        <f>I2986&amp;" "&amp;J2986&amp;" "&amp;K2986&amp;" "&amp;L2986&amp;" "&amp;M2986&amp;" "&amp;N2986</f>
        <v>Flight to Atlanta (DL 1041) </v>
      </c>
      <c r="G2986" t="s">
        <f>TEXT(D2986,"mmm dd")</f>
        <v>1190</v>
      </c>
      <c r="I2986" t="s">
        <v>2365</v>
      </c>
      <c r="J2986" t="s">
        <v>449</v>
      </c>
      <c r="K2986" t="s">
        <v>2369</v>
      </c>
      <c r="L2986" t="s">
        <v>2591</v>
      </c>
      <c r="M2986" t="inlineStr">
        <is>
          <t>1041)</t>
        </is>
      </c>
    </row>
    <row r="2987" spans="1:23">
      <c r="A2987">
        <v>11</v>
      </c>
      <c r="B2987">
        <v>2</v>
      </c>
      <c r="C2987">
        <v>2020</v>
      </c>
      <c r="D2987" s="3" t="s">
        <f>B2987&amp;"/"&amp;A2987&amp;"/"&amp;C2987</f>
        <v>2824</v>
      </c>
      <c r="E2987">
        <v>0.9375</v>
      </c>
      <c r="F2987" t="s">
        <f>I2987&amp;" "&amp;J2987&amp;" "&amp;K2987&amp;" "&amp;L2987&amp;" "&amp;M2987&amp;" "&amp;N2987</f>
        <v>2810</v>
      </c>
      <c r="G2987" t="s">
        <f>TEXT(D2987,"mmm dd")</f>
        <v>1509</v>
      </c>
      <c r="I2987" t="s">
        <v>847</v>
      </c>
      <c r="J2987" t="s">
        <v>2811</v>
      </c>
      <c r="K2987" t="s">
        <v>2812</v>
      </c>
    </row>
    <row r="2988" spans="1:23">
      <c r="A2988">
        <v>11</v>
      </c>
      <c r="B2988">
        <v>2</v>
      </c>
      <c r="C2988">
        <v>2020</v>
      </c>
      <c r="D2988" s="3" t="s">
        <f>B2988&amp;"/"&amp;A2988&amp;"/"&amp;C2988</f>
        <v>2824</v>
      </c>
      <c r="E2988">
        <v>0.28125</v>
      </c>
      <c r="F2988" t="s">
        <f>I2988&amp;" "&amp;J2988&amp;" "&amp;K2988&amp;" "&amp;L2988&amp;" "&amp;M2988&amp;" "&amp;N2988</f>
        <v>2655</v>
      </c>
      <c r="G2988" t="s">
        <f>TEXT(D2988,"mmm dd")</f>
        <v>1509</v>
      </c>
      <c r="I2988" t="s">
        <v>2365</v>
      </c>
      <c r="J2988" t="s">
        <v>449</v>
      </c>
      <c r="K2988" t="s">
        <v>2372</v>
      </c>
      <c r="L2988" t="s">
        <v>2591</v>
      </c>
      <c r="M2988" t="s">
        <v>2656</v>
      </c>
    </row>
    <row r="2989" spans="1:23">
      <c r="A2989">
        <v>13</v>
      </c>
      <c r="B2989">
        <v>2</v>
      </c>
      <c r="C2989">
        <v>2020</v>
      </c>
      <c r="D2989" s="3" t="str">
        <f>B2989&amp;"/"&amp;A2989&amp;"/"&amp;C2989</f>
        <v>2/13/2020</v>
      </c>
      <c r="E2989">
        <v>0.14583333333333334</v>
      </c>
      <c r="F2989" t="s">
        <f>I2989&amp;" "&amp;J2989&amp;" "&amp;K2989&amp;" "&amp;L2989&amp;" "&amp;M2989&amp;" "&amp;N2989</f>
        <v>2690</v>
      </c>
      <c r="G2989" t="s">
        <f>TEXT(D2989,"mmm dd")</f>
        <v>1198</v>
      </c>
      <c r="I2989" t="s">
        <v>2223</v>
      </c>
      <c r="J2989" t="s">
        <v>2320</v>
      </c>
    </row>
    <row r="2990" spans="1:23">
      <c r="A2990">
        <v>17</v>
      </c>
      <c r="B2990">
        <v>2</v>
      </c>
      <c r="C2990">
        <v>2020</v>
      </c>
      <c r="D2990" s="3" t="str">
        <f>B2990&amp;"/"&amp;A2990&amp;"/"&amp;C2990</f>
        <v>2/17/2020</v>
      </c>
      <c r="E2990">
        <v>1.0416666666666667</v>
      </c>
      <c r="F2990" t="str">
        <f>I2990&amp;" "&amp;J2990&amp;" "&amp;K2990&amp;" "&amp;L2990&amp;" "&amp;M2990&amp;" "&amp;N2990</f>
        <v>REL 101    </v>
      </c>
      <c r="G2990" t="s">
        <f>TEXT(D2990,"mmm dd")</f>
        <v>1521</v>
      </c>
      <c r="I2990" t="s">
        <v>2739</v>
      </c>
      <c r="J2990">
        <v>101</v>
      </c>
    </row>
    <row r="2991" spans="1:23">
      <c r="A2991">
        <v>18</v>
      </c>
      <c r="B2991">
        <v>2</v>
      </c>
      <c r="C2991">
        <v>2020</v>
      </c>
      <c r="D2991" s="3" t="str">
        <f>B2991&amp;"/"&amp;A2991&amp;"/"&amp;C2991</f>
        <v>2/18/2020</v>
      </c>
      <c r="E2991">
        <v>0.14583333333333334</v>
      </c>
      <c r="F2991" t="s">
        <f>I2991&amp;" "&amp;J2991&amp;" "&amp;K2991&amp;" "&amp;L2991&amp;" "&amp;M2991&amp;" "&amp;N2991</f>
        <v>2690</v>
      </c>
      <c r="G2991" t="s">
        <f>TEXT(D2991,"mmm dd")</f>
        <v>1206</v>
      </c>
      <c r="I2991" t="s">
        <v>2223</v>
      </c>
      <c r="J2991" t="s">
        <v>2320</v>
      </c>
    </row>
    <row r="2992" spans="1:23">
      <c r="A2992">
        <v>20</v>
      </c>
      <c r="B2992">
        <v>2</v>
      </c>
      <c r="C2992">
        <v>2020</v>
      </c>
      <c r="D2992" s="3" t="str">
        <f>B2992&amp;"/"&amp;A2992&amp;"/"&amp;C2992</f>
        <v>2/20/2020</v>
      </c>
      <c r="E2992">
        <v>0.70833333333333337</v>
      </c>
      <c r="F2992" t="s">
        <f>I2992&amp;" "&amp;J2992&amp;" "&amp;K2992&amp;" "&amp;L2992&amp;" "&amp;M2992&amp;" "&amp;N2992</f>
        <v>2775</v>
      </c>
      <c r="G2992" t="s">
        <f>TEXT(D2992,"mmm dd")</f>
        <v>1525</v>
      </c>
      <c r="I2992" t="s">
        <v>1370</v>
      </c>
      <c r="J2992" t="s">
        <v>1484</v>
      </c>
    </row>
    <row r="2993" spans="1:23">
      <c r="A2993">
        <v>23</v>
      </c>
      <c r="B2993">
        <v>2</v>
      </c>
      <c r="C2993">
        <v>2020</v>
      </c>
      <c r="D2993" s="3" t="str">
        <f>B2993&amp;"/"&amp;A2993&amp;"/"&amp;C2993</f>
        <v>2/23/2020</v>
      </c>
      <c r="E2993">
        <v>0.22916666666666666</v>
      </c>
      <c r="F2993" t="s">
        <f>I2993&amp;" "&amp;J2993&amp;" "&amp;K2993&amp;" "&amp;L2993&amp;" "&amp;M2993&amp;" "&amp;N2993</f>
        <v>2690</v>
      </c>
      <c r="G2993" t="s">
        <f>TEXT(D2993,"mmm dd")</f>
        <v>1532</v>
      </c>
      <c r="I2993" t="s">
        <v>2223</v>
      </c>
      <c r="J2993" t="s">
        <v>2320</v>
      </c>
    </row>
    <row r="2994" spans="1:23">
      <c r="A2994">
        <v>25</v>
      </c>
      <c r="B2994">
        <v>2</v>
      </c>
      <c r="C2994">
        <v>2020</v>
      </c>
      <c r="D2994" s="3" t="str">
        <f>B2994&amp;"/"&amp;A2994&amp;"/"&amp;C2994</f>
        <v>2/25/2020</v>
      </c>
      <c r="E2994">
        <v>0.70833333333333337</v>
      </c>
      <c r="F2994" t="s">
        <f>I2994&amp;" "&amp;J2994&amp;" "&amp;K2994&amp;" "&amp;L2994&amp;" "&amp;M2994&amp;" "&amp;N2994</f>
        <v>2777</v>
      </c>
      <c r="G2994" t="s">
        <f>TEXT(D2994,"mmm dd")</f>
        <v>1216</v>
      </c>
      <c r="I2994" t="s">
        <v>847</v>
      </c>
      <c r="J2994" t="s">
        <v>2778</v>
      </c>
      <c r="K2994" t="s">
        <v>2513</v>
      </c>
      <c r="L2994" t="s">
        <v>2035</v>
      </c>
    </row>
    <row r="2995" spans="1:23">
      <c r="A2995">
        <v>26</v>
      </c>
      <c r="B2995">
        <v>2</v>
      </c>
      <c r="C2995">
        <v>2020</v>
      </c>
      <c r="D2995" s="3" t="str">
        <f>B2995&amp;"/"&amp;A2995&amp;"/"&amp;C2995</f>
        <v>2/26/2020</v>
      </c>
      <c r="E2995">
        <v>0.875</v>
      </c>
      <c r="F2995" t="s">
        <f>I2995&amp;" "&amp;J2995&amp;" "&amp;K2995&amp;" "&amp;L2995&amp;" "&amp;M2995&amp;" "&amp;N2995</f>
        <v>1991</v>
      </c>
      <c r="G2995" t="s">
        <f>TEXT(D2995,"mmm dd")</f>
        <v>1219</v>
      </c>
      <c r="I2995" t="s">
        <v>1028</v>
      </c>
      <c r="J2995" t="s">
        <v>1992</v>
      </c>
    </row>
    <row r="2996" spans="1:23">
      <c r="A2996">
        <v>28</v>
      </c>
      <c r="B2996">
        <v>2</v>
      </c>
      <c r="C2996">
        <v>2020</v>
      </c>
      <c r="D2996" s="3" t="str">
        <f>B2996&amp;"/"&amp;A2996&amp;"/"&amp;C2996</f>
        <v>2/28/2020</v>
      </c>
      <c r="E2996">
        <v>0.8125</v>
      </c>
      <c r="F2996" t="s">
        <f>I2996&amp;" "&amp;J2996&amp;" "&amp;K2996&amp;" "&amp;L2996&amp;" "&amp;M2996&amp;" "&amp;N2996</f>
        <v>2690</v>
      </c>
      <c r="G2996" t="s">
        <f>TEXT(D2996,"mmm dd")</f>
        <v>1227</v>
      </c>
      <c r="I2996" t="s">
        <v>2223</v>
      </c>
      <c r="J2996" t="s">
        <v>2320</v>
      </c>
    </row>
    <row r="2997" spans="1:23">
      <c r="A2997">
        <v>1</v>
      </c>
      <c r="B2997">
        <v>3</v>
      </c>
      <c r="C2997">
        <v>2020</v>
      </c>
      <c r="D2997" s="3" t="str">
        <f>B2997&amp;"/"&amp;A2997&amp;"/"&amp;C2997</f>
        <v>3/1/2020</v>
      </c>
      <c r="E2997">
        <v>0.79166666666666663</v>
      </c>
      <c r="F2997" t="s">
        <f>I2997&amp;" "&amp;J2997&amp;" "&amp;K2997&amp;" "&amp;L2997&amp;" "&amp;M2997&amp;" "&amp;N2997</f>
        <v>2796</v>
      </c>
      <c r="G2997" t="s">
        <f>TEXT(D2997,"mmm dd")</f>
        <v>2183</v>
      </c>
      <c r="I2997" t="s">
        <v>2468</v>
      </c>
      <c r="J2997" t="s">
        <v>218</v>
      </c>
      <c r="K2997" t="s">
        <v>2738</v>
      </c>
      <c r="L2997" t="s">
        <v>2547</v>
      </c>
    </row>
    <row r="2998" spans="1:23">
      <c r="A2998">
        <v>2</v>
      </c>
      <c r="B2998">
        <v>3</v>
      </c>
      <c r="C2998">
        <v>2020</v>
      </c>
      <c r="D2998" s="3" t="str">
        <f>B2998&amp;"/"&amp;A2998&amp;"/"&amp;C2998</f>
        <v>3/2/2020</v>
      </c>
      <c r="E2998">
        <v>0.71875</v>
      </c>
      <c r="F2998" t="str">
        <f>I2998&amp;" "&amp;J2998&amp;" "&amp;K2998&amp;" "&amp;L2998&amp;" "&amp;M2998&amp;" "&amp;N2998</f>
        <v>Cardiologist Nurse Practitioner Crystal Vaglia </v>
      </c>
      <c r="G2998" t="s">
        <f>TEXT(D2998,"mmm dd")</f>
        <v>1535</v>
      </c>
      <c r="I2998" t="inlineStr">
        <is>
          <t>Cardiologist</t>
        </is>
      </c>
      <c r="J2998" t="inlineStr">
        <is>
          <t>Nurse</t>
        </is>
      </c>
      <c r="K2998" t="inlineStr">
        <is>
          <t>Practitioner</t>
        </is>
      </c>
      <c r="L2998" t="s">
        <v>2825</v>
      </c>
      <c r="M2998" t="inlineStr">
        <is>
          <t>Vaglia</t>
        </is>
      </c>
    </row>
    <row r="2999" spans="1:23">
      <c r="A2999">
        <v>3</v>
      </c>
      <c r="B2999">
        <v>3</v>
      </c>
      <c r="C2999">
        <v>2020</v>
      </c>
      <c r="D2999" s="3" t="str">
        <f>B2999&amp;"/"&amp;A2999&amp;"/"&amp;C2999</f>
        <v>3/3/2020</v>
      </c>
      <c r="E2999">
        <v>0.5</v>
      </c>
      <c r="F2999" t="s">
        <f>I2999&amp;" "&amp;J2999&amp;" "&amp;K2999&amp;" "&amp;L2999&amp;" "&amp;M2999&amp;" "&amp;N2999</f>
        <v>2427</v>
      </c>
      <c r="G2999" t="s">
        <f>TEXT(D2999,"mmm dd")</f>
        <v>1234</v>
      </c>
      <c r="I2999" t="s">
        <v>1409</v>
      </c>
    </row>
    <row r="3000" spans="1:23">
      <c r="A3000">
        <v>4</v>
      </c>
      <c r="B3000">
        <v>3</v>
      </c>
      <c r="C3000">
        <v>2020</v>
      </c>
      <c r="D3000" s="3" t="str">
        <f>B3000&amp;"/"&amp;A3000&amp;"/"&amp;C3000</f>
        <v>3/4/2020</v>
      </c>
      <c r="E3000">
        <v>1.0208333333333333</v>
      </c>
      <c r="F3000" t="s">
        <f>I3000&amp;" "&amp;J3000&amp;" "&amp;K3000&amp;" "&amp;L3000&amp;" "&amp;M3000&amp;" "&amp;N3000</f>
        <v>2690</v>
      </c>
      <c r="G3000" t="s">
        <f>TEXT(D3000,"mmm dd")</f>
        <v>1538</v>
      </c>
      <c r="I3000" t="s">
        <v>2223</v>
      </c>
      <c r="J3000" t="s">
        <v>2320</v>
      </c>
    </row>
    <row r="3001" spans="1:23">
      <c r="A3001">
        <v>8</v>
      </c>
      <c r="B3001">
        <v>3</v>
      </c>
      <c r="C3001">
        <v>2020</v>
      </c>
      <c r="D3001" s="3" t="str">
        <f>B3001&amp;"/"&amp;A3001&amp;"/"&amp;C3001</f>
        <v>3/8/2020</v>
      </c>
      <c r="E3001" t="s">
        <v>42</v>
      </c>
      <c r="F3001" t="str">
        <f>I3001&amp;" "&amp;J3001&amp;" "&amp;K3001&amp;" "&amp;L3001&amp;" "&amp;M3001&amp;" "&amp;N3001</f>
        <v>Supply for Fr. Jim Croom re.</v>
      </c>
      <c r="G3001" t="s">
        <f>TEXT(D3001,"mmm dd")</f>
        <v>1542</v>
      </c>
      <c r="I3001" t="s">
        <v>2468</v>
      </c>
      <c r="J3001" t="s">
        <v>439</v>
      </c>
      <c r="K3001" t="s">
        <v>2300</v>
      </c>
      <c r="L3001" t="inlineStr">
        <is>
          <t>Jim</t>
        </is>
      </c>
      <c r="M3001" t="inlineStr">
        <is>
          <t>Croom</t>
        </is>
      </c>
      <c r="N3001" t="s">
        <v>633</v>
      </c>
    </row>
    <row r="3002" spans="1:23">
      <c r="A3002">
        <v>9</v>
      </c>
      <c r="B3002">
        <v>3</v>
      </c>
      <c r="C3002">
        <v>2020</v>
      </c>
      <c r="D3002" s="3" t="str">
        <f>B3002&amp;"/"&amp;A3002&amp;"/"&amp;C3002</f>
        <v>3/9/2020</v>
      </c>
      <c r="E3002">
        <v>1.0625</v>
      </c>
      <c r="F3002" t="s">
        <f>I3002&amp;" "&amp;J3002&amp;" "&amp;K3002&amp;" "&amp;L3002&amp;" "&amp;M3002&amp;" "&amp;N3002</f>
        <v>2690</v>
      </c>
      <c r="G3002" t="s">
        <f>TEXT(D3002,"mmm dd")</f>
        <v>1545</v>
      </c>
      <c r="I3002" t="s">
        <v>2223</v>
      </c>
      <c r="J3002" t="s">
        <v>2320</v>
      </c>
    </row>
    <row r="3003" spans="1:23">
      <c r="A3003">
        <v>14</v>
      </c>
      <c r="B3003">
        <v>3</v>
      </c>
      <c r="C3003">
        <v>2020</v>
      </c>
      <c r="D3003" s="3" t="str">
        <f>B3003&amp;"/"&amp;A3003&amp;"/"&amp;C3003</f>
        <v>3/14/2020</v>
      </c>
      <c r="E3003">
        <v>1.0625</v>
      </c>
      <c r="F3003" t="s">
        <f>I3003&amp;" "&amp;J3003&amp;" "&amp;K3003&amp;" "&amp;L3003&amp;" "&amp;M3003&amp;" "&amp;N3003</f>
        <v>2690</v>
      </c>
      <c r="G3003" t="s">
        <f>TEXT(D3003,"mmm dd")</f>
        <v>1877</v>
      </c>
      <c r="I3003" t="s">
        <v>2223</v>
      </c>
      <c r="J3003" t="s">
        <v>2320</v>
      </c>
    </row>
    <row r="3004" spans="1:23">
      <c r="A3004">
        <v>16</v>
      </c>
      <c r="B3004">
        <v>3</v>
      </c>
      <c r="C3004">
        <v>2020</v>
      </c>
      <c r="D3004" s="3" t="str">
        <f>B3004&amp;"/"&amp;A3004&amp;"/"&amp;C3004</f>
        <v>3/16/2020</v>
      </c>
      <c r="E3004" t="s">
        <v>42</v>
      </c>
      <c r="F3004" t="str">
        <f>I3004&amp;" "&amp;J3004&amp;" "&amp;K3004&amp;" "&amp;L3004&amp;" "&amp;M3004&amp;" "&amp;N3004</f>
        <v>Spring Break    </v>
      </c>
      <c r="G3004" t="s">
        <f>TEXT(D3004,"mmm dd")</f>
        <v>1554</v>
      </c>
      <c r="I3004" t="s">
        <v>119</v>
      </c>
      <c r="J3004" t="s">
        <v>2826</v>
      </c>
    </row>
    <row r="3005" spans="1:23">
      <c r="A3005">
        <v>19</v>
      </c>
      <c r="B3005">
        <v>3</v>
      </c>
      <c r="C3005">
        <v>2020</v>
      </c>
      <c r="D3005" s="3" t="str">
        <f>B3005&amp;"/"&amp;A3005&amp;"/"&amp;C3005</f>
        <v>3/19/2020</v>
      </c>
      <c r="E3005">
        <v>0.90625</v>
      </c>
      <c r="F3005" t="s">
        <f>I3005&amp;" "&amp;J3005&amp;" "&amp;K3005&amp;" "&amp;L3005&amp;" "&amp;M3005&amp;" "&amp;N3005</f>
        <v>2690</v>
      </c>
      <c r="G3005" t="s">
        <f>TEXT(D3005,"mmm dd")</f>
        <v>1254</v>
      </c>
      <c r="I3005" t="s">
        <v>2223</v>
      </c>
      <c r="J3005" t="s">
        <v>2320</v>
      </c>
    </row>
    <row r="3006" spans="1:23">
      <c r="A3006">
        <v>24</v>
      </c>
      <c r="B3006">
        <v>3</v>
      </c>
      <c r="C3006">
        <v>2020</v>
      </c>
      <c r="D3006" s="3" t="str">
        <f>B3006&amp;"/"&amp;A3006&amp;"/"&amp;C3006</f>
        <v>3/24/2020</v>
      </c>
      <c r="E3006">
        <v>0.79166666666666663</v>
      </c>
      <c r="F3006" t="s">
        <f>I3006&amp;" "&amp;J3006&amp;" "&amp;K3006&amp;" "&amp;L3006&amp;" "&amp;M3006&amp;" "&amp;N3006</f>
        <v>2690</v>
      </c>
      <c r="G3006" t="s">
        <f>TEXT(D3006,"mmm dd")</f>
        <v>1265</v>
      </c>
      <c r="I3006" t="s">
        <v>2223</v>
      </c>
      <c r="J3006" t="s">
        <v>2320</v>
      </c>
    </row>
    <row r="3007" spans="1:23">
      <c r="A3007">
        <v>29</v>
      </c>
      <c r="B3007">
        <v>3</v>
      </c>
      <c r="C3007">
        <v>2020</v>
      </c>
      <c r="D3007" s="3" t="str">
        <f>B3007&amp;"/"&amp;A3007&amp;"/"&amp;C3007</f>
        <v>3/29/2020</v>
      </c>
      <c r="E3007">
        <v>0.66666666666666663</v>
      </c>
      <c r="F3007" t="s">
        <f>I3007&amp;" "&amp;J3007&amp;" "&amp;K3007&amp;" "&amp;L3007&amp;" "&amp;M3007&amp;" "&amp;N3007</f>
        <v>2690</v>
      </c>
      <c r="G3007" t="s">
        <f>TEXT(D3007,"mmm dd")</f>
        <v>1897</v>
      </c>
      <c r="I3007" t="s">
        <v>2223</v>
      </c>
      <c r="J3007" t="s">
        <v>2320</v>
      </c>
    </row>
    <row r="3008" spans="1:23">
      <c r="A3008">
        <v>1</v>
      </c>
      <c r="B3008">
        <v>4</v>
      </c>
      <c r="C3008">
        <v>2020</v>
      </c>
      <c r="D3008" s="3" t="str">
        <f>B3008&amp;"/"&amp;A3008&amp;"/"&amp;C3008</f>
        <v>4/1/2020</v>
      </c>
      <c r="E3008">
        <v>1</v>
      </c>
      <c r="F3008" t="s">
        <f>I3008&amp;" "&amp;J3008&amp;" "&amp;K3008&amp;" "&amp;L3008&amp;" "&amp;M3008&amp;" "&amp;N3008</f>
        <v>2360</v>
      </c>
      <c r="G3008" t="s">
        <f>TEXT(D3008,"mmm dd")</f>
        <v>43</v>
      </c>
      <c r="I3008" t="s">
        <v>2357</v>
      </c>
      <c r="J3008">
        <v>101</v>
      </c>
    </row>
    <row r="3009" spans="1:23">
      <c r="A3009">
        <v>3</v>
      </c>
      <c r="B3009">
        <v>4</v>
      </c>
      <c r="C3009">
        <v>2020</v>
      </c>
      <c r="D3009" s="3" t="str">
        <f>B3009&amp;"/"&amp;A3009&amp;"/"&amp;C3009</f>
        <v>4/3/2020</v>
      </c>
      <c r="E3009">
        <v>0.16666666666666666</v>
      </c>
      <c r="F3009" t="s">
        <f>I3009&amp;" "&amp;J3009&amp;" "&amp;K3009&amp;" "&amp;L3009&amp;" "&amp;M3009&amp;" "&amp;N3009</f>
        <v>2690</v>
      </c>
      <c r="G3009" t="s">
        <f>TEXT(D3009,"mmm dd")</f>
        <v>83</v>
      </c>
      <c r="I3009" t="s">
        <v>2223</v>
      </c>
      <c r="J3009" t="s">
        <v>2320</v>
      </c>
    </row>
    <row r="3010" spans="1:23">
      <c r="A3010">
        <v>4</v>
      </c>
      <c r="B3010">
        <v>4</v>
      </c>
      <c r="C3010">
        <v>2020</v>
      </c>
      <c r="D3010" s="3" t="s">
        <f>B3010&amp;"/"&amp;A3010&amp;"/"&amp;C3010</f>
        <v>2827</v>
      </c>
      <c r="E3010">
        <v>0.54166666666666663</v>
      </c>
      <c r="F3010" t="str">
        <f>I3010&amp;" "&amp;J3010&amp;" "&amp;K3010&amp;" "&amp;L3010&amp;" "&amp;M3010&amp;" "&amp;N3010</f>
        <v>St. Paul’s video   </v>
      </c>
      <c r="G3010" t="s">
        <f>TEXT(D3010,"mmm dd")</f>
        <v>91</v>
      </c>
      <c r="I3010" t="s">
        <v>218</v>
      </c>
      <c r="J3010" t="s">
        <v>2668</v>
      </c>
      <c r="K3010" t="inlineStr">
        <is>
          <t>video</t>
        </is>
      </c>
    </row>
    <row r="3011" spans="1:23">
      <c r="A3011">
        <v>4</v>
      </c>
      <c r="B3011">
        <v>4</v>
      </c>
      <c r="C3011">
        <v>2020</v>
      </c>
      <c r="D3011" s="3" t="s">
        <f>B3011&amp;"/"&amp;A3011&amp;"/"&amp;C3011</f>
        <v>2827</v>
      </c>
      <c r="E3011">
        <v>1.0763888888888888</v>
      </c>
      <c r="F3011" t="str">
        <f>I3011&amp;" "&amp;J3011&amp;" "&amp;K3011&amp;" "&amp;L3011&amp;" "&amp;M3011&amp;" "&amp;N3011</f>
        <v>Long Horn    </v>
      </c>
      <c r="G3011" t="s">
        <f>TEXT(D3011,"mmm dd")</f>
        <v>91</v>
      </c>
      <c r="I3011" t="s">
        <v>2193</v>
      </c>
      <c r="J3011" t="inlineStr">
        <is>
          <t>Horn</t>
        </is>
      </c>
    </row>
    <row r="3012" spans="1:23">
      <c r="A3012">
        <v>7</v>
      </c>
      <c r="B3012">
        <v>4</v>
      </c>
      <c r="C3012">
        <v>2020</v>
      </c>
      <c r="D3012" s="3" t="str">
        <f>B3012&amp;"/"&amp;A3012&amp;"/"&amp;C3012</f>
        <v>4/7/2020</v>
      </c>
      <c r="E3012">
        <v>0.75</v>
      </c>
      <c r="F3012" t="s">
        <f>I3012&amp;" "&amp;J3012&amp;" "&amp;K3012&amp;" "&amp;L3012&amp;" "&amp;M3012&amp;" "&amp;N3012</f>
        <v>2690</v>
      </c>
      <c r="G3012" t="s">
        <f>TEXT(D3012,"mmm dd")</f>
        <v>125</v>
      </c>
      <c r="I3012" t="s">
        <v>2223</v>
      </c>
      <c r="J3012" t="s">
        <v>2320</v>
      </c>
    </row>
    <row r="3013" spans="1:23">
      <c r="A3013">
        <v>8</v>
      </c>
      <c r="B3013">
        <v>4</v>
      </c>
      <c r="C3013">
        <v>2020</v>
      </c>
      <c r="D3013" s="3" t="str">
        <f>B3013&amp;"/"&amp;A3013&amp;"/"&amp;C3013</f>
        <v>4/8/2020</v>
      </c>
      <c r="E3013">
        <v>0.83333333333333337</v>
      </c>
      <c r="F3013" t="s">
        <f>I3013&amp;" "&amp;J3013&amp;" "&amp;K3013&amp;" "&amp;L3013&amp;" "&amp;M3013&amp;" "&amp;N3013</f>
        <v>2360</v>
      </c>
      <c r="G3013" t="s">
        <f>TEXT(D3013,"mmm dd")</f>
        <v>141</v>
      </c>
      <c r="I3013" t="s">
        <v>2357</v>
      </c>
      <c r="J3013">
        <v>101</v>
      </c>
    </row>
    <row r="3014" spans="1:23">
      <c r="A3014">
        <v>12</v>
      </c>
      <c r="B3014">
        <v>4</v>
      </c>
      <c r="C3014">
        <v>2020</v>
      </c>
      <c r="D3014" s="3" t="str">
        <f>B3014&amp;"/"&amp;A3014&amp;"/"&amp;C3014</f>
        <v>4/12/2020</v>
      </c>
      <c r="E3014">
        <v>0.66666666666666663</v>
      </c>
      <c r="F3014" t="s">
        <f>I3014&amp;" "&amp;J3014&amp;" "&amp;K3014&amp;" "&amp;L3014&amp;" "&amp;M3014&amp;" "&amp;N3014</f>
        <v>2690</v>
      </c>
      <c r="G3014" t="s">
        <f>TEXT(D3014,"mmm dd")</f>
        <v>168</v>
      </c>
      <c r="I3014" t="s">
        <v>2223</v>
      </c>
      <c r="J3014" t="s">
        <v>2320</v>
      </c>
    </row>
    <row r="3015" spans="1:23">
      <c r="A3015">
        <v>16</v>
      </c>
      <c r="B3015">
        <v>4</v>
      </c>
      <c r="C3015">
        <v>2020</v>
      </c>
      <c r="D3015" s="3" t="str">
        <f>B3015&amp;"/"&amp;A3015&amp;"/"&amp;C3015</f>
        <v>4/16/2020</v>
      </c>
      <c r="E3015">
        <v>0.875</v>
      </c>
      <c r="F3015" t="s">
        <f>I3015&amp;" "&amp;J3015&amp;" "&amp;K3015&amp;" "&amp;L3015&amp;" "&amp;M3015&amp;" "&amp;N3015</f>
        <v>2690</v>
      </c>
      <c r="G3015" t="s">
        <f>TEXT(D3015,"mmm dd")</f>
        <v>184</v>
      </c>
      <c r="I3015" t="s">
        <v>2223</v>
      </c>
      <c r="J3015" t="s">
        <v>2320</v>
      </c>
    </row>
    <row r="3016" spans="1:23">
      <c r="A3016">
        <v>19</v>
      </c>
      <c r="B3016">
        <v>4</v>
      </c>
      <c r="C3016">
        <v>2020</v>
      </c>
      <c r="D3016" s="3" t="str">
        <f>B3016&amp;"/"&amp;A3016&amp;"/"&amp;C3016</f>
        <v>4/19/2020</v>
      </c>
      <c r="E3016">
        <v>0.625</v>
      </c>
      <c r="F3016" t="str">
        <f>I3016&amp;" "&amp;J3016&amp;" "&amp;K3016&amp;" "&amp;L3016&amp;" "&amp;M3016&amp;" "&amp;N3016</f>
        <v>Our Saviour    </v>
      </c>
      <c r="G3016" t="s">
        <f>TEXT(D3016,"mmm dd")</f>
        <v>196</v>
      </c>
      <c r="I3016" t="s">
        <v>2119</v>
      </c>
      <c r="J3016" t="s">
        <v>2756</v>
      </c>
    </row>
    <row r="3017" spans="1:23">
      <c r="A3017">
        <v>21</v>
      </c>
      <c r="B3017">
        <v>4</v>
      </c>
      <c r="C3017">
        <v>2020</v>
      </c>
      <c r="D3017" s="3" t="s">
        <f>B3017&amp;"/"&amp;A3017&amp;"/"&amp;C3017</f>
        <v>2828</v>
      </c>
      <c r="E3017">
        <v>0.66666666666666663</v>
      </c>
      <c r="F3017" t="str">
        <f>I3017&amp;" "&amp;J3017&amp;" "&amp;K3017&amp;" "&amp;L3017&amp;" "&amp;M3017&amp;" "&amp;N3017</f>
        <v>Kinard Office open   </v>
      </c>
      <c r="G3017" t="s">
        <f>TEXT(D3017,"mmm dd")</f>
        <v>211</v>
      </c>
      <c r="I3017" t="inlineStr">
        <is>
          <t>Kinard</t>
        </is>
      </c>
      <c r="J3017" t="s">
        <v>493</v>
      </c>
      <c r="K3017" t="s">
        <v>2235</v>
      </c>
    </row>
    <row r="3018" spans="1:23">
      <c r="A3018">
        <v>21</v>
      </c>
      <c r="B3018">
        <v>4</v>
      </c>
      <c r="C3018">
        <v>2020</v>
      </c>
      <c r="D3018" s="3" t="s">
        <f>B3018&amp;"/"&amp;A3018&amp;"/"&amp;C3018</f>
        <v>2828</v>
      </c>
      <c r="E3018">
        <v>0.58333333333333337</v>
      </c>
      <c r="F3018" t="str">
        <f>I3018&amp;" "&amp;J3018&amp;" "&amp;K3018&amp;" "&amp;L3018&amp;" "&amp;M3018&amp;" "&amp;N3018</f>
        <v>Grocery shopping    </v>
      </c>
      <c r="G3018" t="s">
        <f>TEXT(D3018,"mmm dd")</f>
        <v>211</v>
      </c>
      <c r="I3018" t="inlineStr">
        <is>
          <t>Grocery</t>
        </is>
      </c>
      <c r="J3018" t="inlineStr">
        <is>
          <t>shopping</t>
        </is>
      </c>
    </row>
    <row r="3019" spans="1:23">
      <c r="A3019">
        <v>21</v>
      </c>
      <c r="B3019">
        <v>4</v>
      </c>
      <c r="C3019">
        <v>2020</v>
      </c>
      <c r="D3019" s="3" t="s">
        <f>B3019&amp;"/"&amp;A3019&amp;"/"&amp;C3019</f>
        <v>2828</v>
      </c>
      <c r="E3019">
        <v>0.66666666666666663</v>
      </c>
      <c r="F3019" t="s">
        <f>I3019&amp;" "&amp;J3019&amp;" "&amp;K3019&amp;" "&amp;L3019&amp;" "&amp;M3019&amp;" "&amp;N3019</f>
        <v>2690</v>
      </c>
      <c r="G3019" t="s">
        <f>TEXT(D3019,"mmm dd")</f>
        <v>211</v>
      </c>
      <c r="I3019" t="s">
        <v>2223</v>
      </c>
      <c r="J3019" t="s">
        <v>2320</v>
      </c>
    </row>
    <row r="3020" spans="1:23">
      <c r="A3020">
        <v>24</v>
      </c>
      <c r="B3020">
        <v>4</v>
      </c>
      <c r="C3020">
        <v>2020</v>
      </c>
      <c r="D3020" s="3" t="str">
        <f>B3020&amp;"/"&amp;A3020&amp;"/"&amp;C3020</f>
        <v>4/24/2020</v>
      </c>
      <c r="E3020">
        <v>0.72916666666666663</v>
      </c>
      <c r="F3020" t="str">
        <f>I3020&amp;" "&amp;J3020&amp;" "&amp;K3020&amp;" "&amp;L3020&amp;" "&amp;M3020&amp;" "&amp;N3020</f>
        <v>Dr John A. Tenini  </v>
      </c>
      <c r="G3020" t="s">
        <f>TEXT(D3020,"mmm dd")</f>
        <v>224</v>
      </c>
      <c r="I3020" t="s">
        <v>1791</v>
      </c>
      <c r="J3020" t="s">
        <v>585</v>
      </c>
      <c r="K3020" t="inlineStr">
        <is>
          <t>A.</t>
        </is>
      </c>
      <c r="L3020" t="s">
        <v>2829</v>
      </c>
    </row>
    <row r="3021" spans="1:23">
      <c r="A3021">
        <v>25</v>
      </c>
      <c r="B3021">
        <v>4</v>
      </c>
      <c r="C3021">
        <v>2020</v>
      </c>
      <c r="D3021" s="3" t="s">
        <f>B3021&amp;"/"&amp;A3021&amp;"/"&amp;C3021</f>
        <v>2830</v>
      </c>
      <c r="E3021">
        <v>0.70833333333333337</v>
      </c>
      <c r="F3021" t="str">
        <f>I3021&amp;" "&amp;J3021&amp;" "&amp;K3021&amp;" "&amp;L3021&amp;" "&amp;M3021&amp;" "&amp;N3021</f>
        <v>St Paul’s with Mary Pat </v>
      </c>
      <c r="G3021" t="s">
        <f>TEXT(D3021,"mmm dd")</f>
        <v>227</v>
      </c>
      <c r="I3021" t="s">
        <v>1796</v>
      </c>
      <c r="J3021" t="s">
        <v>2668</v>
      </c>
      <c r="K3021" t="s">
        <v>755</v>
      </c>
      <c r="L3021" t="s">
        <v>410</v>
      </c>
      <c r="M3021" t="s">
        <v>702</v>
      </c>
    </row>
    <row r="3022" spans="1:23">
      <c r="A3022">
        <v>25</v>
      </c>
      <c r="B3022">
        <v>4</v>
      </c>
      <c r="C3022">
        <v>2020</v>
      </c>
      <c r="D3022" s="3" t="s">
        <f>B3022&amp;"/"&amp;A3022&amp;"/"&amp;C3022</f>
        <v>2830</v>
      </c>
      <c r="E3022">
        <v>1</v>
      </c>
      <c r="F3022" t="s">
        <f>I3022&amp;" "&amp;J3022&amp;" "&amp;K3022&amp;" "&amp;L3022&amp;" "&amp;M3022&amp;" "&amp;N3022</f>
        <v>2690</v>
      </c>
      <c r="G3022" t="s">
        <f>TEXT(D3022,"mmm dd")</f>
        <v>227</v>
      </c>
      <c r="I3022" t="s">
        <v>2223</v>
      </c>
      <c r="J3022" t="s">
        <v>2320</v>
      </c>
    </row>
    <row r="3023" spans="1:23">
      <c r="A3023">
        <v>30</v>
      </c>
      <c r="B3023">
        <v>4</v>
      </c>
      <c r="C3023">
        <v>2020</v>
      </c>
      <c r="D3023" s="3" t="str">
        <f>B3023&amp;"/"&amp;A3023&amp;"/"&amp;C3023</f>
        <v>4/30/2020</v>
      </c>
      <c r="E3023">
        <v>0.79166666666666663</v>
      </c>
      <c r="F3023" t="s">
        <f>I3023&amp;" "&amp;J3023&amp;" "&amp;K3023&amp;" "&amp;L3023&amp;" "&amp;M3023&amp;" "&amp;N3023</f>
        <v>2690</v>
      </c>
      <c r="G3023" t="s">
        <f>TEXT(D3023,"mmm dd")</f>
        <v>246</v>
      </c>
      <c r="I3023" t="s">
        <v>2223</v>
      </c>
      <c r="J3023" t="s">
        <v>2320</v>
      </c>
    </row>
    <row r="3024" spans="1:23">
      <c r="A3024">
        <v>2</v>
      </c>
      <c r="B3024">
        <v>5</v>
      </c>
      <c r="C3024">
        <v>2020</v>
      </c>
      <c r="D3024" s="3" t="str">
        <f>B3024&amp;"/"&amp;A3024&amp;"/"&amp;C3024</f>
        <v>5/2/2020</v>
      </c>
      <c r="E3024">
        <v>0.91666666666666663</v>
      </c>
      <c r="F3024" t="str">
        <f>I3024&amp;" "&amp;J3024&amp;" "&amp;K3024&amp;" "&amp;L3024&amp;" "&amp;M3024&amp;" "&amp;N3024</f>
        <v>Relg 101 Final Exam  </v>
      </c>
      <c r="G3024" t="s">
        <f>TEXT(D3024,"mmm dd")</f>
        <v>256</v>
      </c>
      <c r="I3024" t="s">
        <v>2450</v>
      </c>
      <c r="J3024">
        <v>101</v>
      </c>
      <c r="K3024" t="s">
        <v>1763</v>
      </c>
      <c r="L3024" t="s">
        <v>2313</v>
      </c>
    </row>
    <row r="3025" spans="1:23">
      <c r="A3025">
        <v>4</v>
      </c>
      <c r="B3025">
        <v>5</v>
      </c>
      <c r="C3025">
        <v>2020</v>
      </c>
      <c r="D3025" s="3" t="str">
        <f>B3025&amp;"/"&amp;A3025&amp;"/"&amp;C3025</f>
        <v>5/4/2020</v>
      </c>
      <c r="E3025">
        <v>1.0833333333333333</v>
      </c>
      <c r="F3025" t="s">
        <f>I3025&amp;" "&amp;J3025&amp;" "&amp;K3025&amp;" "&amp;L3025&amp;" "&amp;M3025&amp;" "&amp;N3025</f>
        <v>2690</v>
      </c>
      <c r="G3025" t="s">
        <f>TEXT(D3025,"mmm dd")</f>
        <v>268</v>
      </c>
      <c r="I3025" t="s">
        <v>2223</v>
      </c>
      <c r="J3025" t="s">
        <v>2320</v>
      </c>
    </row>
    <row r="3026" spans="1:23">
      <c r="A3026">
        <v>5</v>
      </c>
      <c r="B3026">
        <v>5</v>
      </c>
      <c r="C3026">
        <v>2020</v>
      </c>
      <c r="D3026" s="3" t="str">
        <f>B3026&amp;"/"&amp;A3026&amp;"/"&amp;C3026</f>
        <v>5/5/2020</v>
      </c>
      <c r="E3026">
        <v>0.52083333333333337</v>
      </c>
      <c r="F3026" t="s">
        <f>I3026&amp;" "&amp;J3026&amp;" "&amp;K3026&amp;" "&amp;L3026&amp;" "&amp;M3026&amp;" "&amp;N3026</f>
        <v>2427</v>
      </c>
      <c r="G3026" t="s">
        <f>TEXT(D3026,"mmm dd")</f>
        <v>2212</v>
      </c>
      <c r="I3026" t="s">
        <v>1409</v>
      </c>
    </row>
    <row r="3027" spans="1:23">
      <c r="A3027">
        <v>6</v>
      </c>
      <c r="B3027">
        <v>5</v>
      </c>
      <c r="C3027">
        <v>2020</v>
      </c>
      <c r="D3027" s="3" t="str">
        <f>B3027&amp;"/"&amp;A3027&amp;"/"&amp;C3027</f>
        <v>5/6/2020</v>
      </c>
      <c r="E3027">
        <v>0.70833333333333337</v>
      </c>
      <c r="F3027" t="s">
        <f>I3027&amp;" "&amp;J3027&amp;" "&amp;K3027&amp;" "&amp;L3027&amp;" "&amp;M3027&amp;" "&amp;N3027</f>
        <v>2831</v>
      </c>
      <c r="G3027" t="s">
        <f>TEXT(D3027,"mmm dd")</f>
        <v>277</v>
      </c>
      <c r="I3027" t="s">
        <v>2712</v>
      </c>
      <c r="J3027" t="s">
        <v>842</v>
      </c>
      <c r="K3027" t="s">
        <v>2832</v>
      </c>
    </row>
    <row r="3028" spans="1:23">
      <c r="A3028">
        <v>8</v>
      </c>
      <c r="B3028">
        <v>5</v>
      </c>
      <c r="C3028">
        <v>2020</v>
      </c>
      <c r="D3028" s="3" t="str">
        <f>B3028&amp;"/"&amp;A3028&amp;"/"&amp;C3028</f>
        <v>5/8/2020</v>
      </c>
      <c r="E3028">
        <v>1.0416666666666667</v>
      </c>
      <c r="F3028" t="str">
        <f>I3028&amp;" "&amp;J3028&amp;" "&amp;K3028&amp;" "&amp;L3028&amp;" "&amp;M3028&amp;" "&amp;N3028</f>
        <v>Carter Plumbing re. leak  </v>
      </c>
      <c r="G3028" t="s">
        <f>TEXT(D3028,"mmm dd")</f>
        <v>282</v>
      </c>
      <c r="I3028" t="inlineStr">
        <is>
          <t>Carter</t>
        </is>
      </c>
      <c r="J3028" t="s">
        <v>2543</v>
      </c>
      <c r="K3028" t="s">
        <v>633</v>
      </c>
      <c r="L3028" t="inlineStr">
        <is>
          <t>leak</t>
        </is>
      </c>
    </row>
    <row r="3029" spans="1:23">
      <c r="A3029">
        <v>9</v>
      </c>
      <c r="B3029">
        <v>5</v>
      </c>
      <c r="C3029">
        <v>2020</v>
      </c>
      <c r="D3029" s="3" t="s">
        <f>B3029&amp;"/"&amp;A3029&amp;"/"&amp;C3029</f>
        <v>2833</v>
      </c>
      <c r="E3029">
        <v>0.70833333333333337</v>
      </c>
      <c r="F3029" t="s">
        <f>I3029&amp;" "&amp;J3029&amp;" "&amp;K3029&amp;" "&amp;L3029&amp;" "&amp;M3029&amp;" "&amp;N3029</f>
        <v>2690</v>
      </c>
      <c r="G3029" t="s">
        <f>TEXT(D3029,"mmm dd")</f>
        <v>295</v>
      </c>
      <c r="I3029" t="s">
        <v>2223</v>
      </c>
      <c r="J3029" t="s">
        <v>2320</v>
      </c>
    </row>
    <row r="3030" spans="1:23">
      <c r="A3030">
        <v>9</v>
      </c>
      <c r="B3030">
        <v>5</v>
      </c>
      <c r="C3030">
        <v>2020</v>
      </c>
      <c r="D3030" s="3" t="s">
        <f>B3030&amp;"/"&amp;A3030&amp;"/"&amp;C3030</f>
        <v>2833</v>
      </c>
      <c r="E3030">
        <v>0.70833333333333337</v>
      </c>
      <c r="F3030" t="str">
        <f>I3030&amp;" "&amp;J3030&amp;" "&amp;K3030&amp;" "&amp;L3030&amp;" "&amp;M3030&amp;" "&amp;N3030</f>
        <v>Supply St Paul’s\  Monroe </v>
      </c>
      <c r="G3030" t="s">
        <f>TEXT(D3030,"mmm dd")</f>
        <v>295</v>
      </c>
      <c r="I3030" t="s">
        <v>2468</v>
      </c>
      <c r="J3030" t="s">
        <v>1796</v>
      </c>
      <c r="K3030" t="inlineStr">
        <is>
          <t>Paul’s\</t>
        </is>
      </c>
      <c r="M3030" t="s">
        <v>2669</v>
      </c>
    </row>
    <row r="3031" spans="1:23">
      <c r="A3031">
        <v>12</v>
      </c>
      <c r="B3031">
        <v>5</v>
      </c>
      <c r="C3031">
        <v>2020</v>
      </c>
      <c r="D3031" s="3" t="str">
        <f>B3031&amp;"/"&amp;A3031&amp;"/"&amp;C3031</f>
        <v>5/12/2020</v>
      </c>
      <c r="E3031">
        <v>0.63541666666666663</v>
      </c>
      <c r="F3031" t="str">
        <f>I3031&amp;" "&amp;J3031&amp;" "&amp;K3031&amp;" "&amp;L3031&amp;" "&amp;M3031&amp;" "&amp;N3031</f>
        <v>Meet North Carolina diocese  </v>
      </c>
      <c r="G3031" t="s">
        <f>TEXT(D3031,"mmm dd")</f>
        <v>317</v>
      </c>
      <c r="I3031" t="s">
        <v>300</v>
      </c>
      <c r="J3031" t="s">
        <v>1747</v>
      </c>
      <c r="K3031" t="s">
        <v>2509</v>
      </c>
      <c r="L3031" t="inlineStr">
        <is>
          <t>diocese</t>
        </is>
      </c>
    </row>
    <row r="3032" spans="1:23">
      <c r="A3032">
        <v>14</v>
      </c>
      <c r="B3032">
        <v>5</v>
      </c>
      <c r="C3032">
        <v>2020</v>
      </c>
      <c r="D3032" s="3" t="str">
        <f>B3032&amp;"/"&amp;A3032&amp;"/"&amp;C3032</f>
        <v>5/14/2020</v>
      </c>
      <c r="E3032">
        <v>0.20833333333333334</v>
      </c>
      <c r="F3032" t="s">
        <f>I3032&amp;" "&amp;J3032&amp;" "&amp;K3032&amp;" "&amp;L3032&amp;" "&amp;M3032&amp;" "&amp;N3032</f>
        <v>2690</v>
      </c>
      <c r="G3032" t="s">
        <f>TEXT(D3032,"mmm dd")</f>
        <v>323</v>
      </c>
      <c r="I3032" t="s">
        <v>2223</v>
      </c>
      <c r="J3032" t="s">
        <v>2320</v>
      </c>
    </row>
    <row r="3033" spans="1:23">
      <c r="A3033">
        <v>15</v>
      </c>
      <c r="B3033">
        <v>5</v>
      </c>
      <c r="C3033">
        <v>2020</v>
      </c>
      <c r="D3033" s="3" t="str">
        <f>B3033&amp;"/"&amp;A3033&amp;"/"&amp;C3033</f>
        <v>5/15/2020</v>
      </c>
      <c r="E3033">
        <v>0.64583333333333337</v>
      </c>
      <c r="F3033" t="s">
        <f>I3033&amp;" "&amp;J3033&amp;" "&amp;K3033&amp;" "&amp;L3033&amp;" "&amp;M3033&amp;" "&amp;N3033</f>
        <v>2834</v>
      </c>
      <c r="G3033" t="s">
        <f>TEXT(D3033,"mmm dd")</f>
        <v>326</v>
      </c>
      <c r="I3033" t="s">
        <v>2835</v>
      </c>
      <c r="J3033">
        <v>101</v>
      </c>
      <c r="K3033" t="s">
        <v>2836</v>
      </c>
    </row>
    <row r="3034" spans="1:23">
      <c r="A3034">
        <v>18</v>
      </c>
      <c r="B3034">
        <v>5</v>
      </c>
      <c r="C3034">
        <v>2020</v>
      </c>
      <c r="D3034" s="3" t="s">
        <f>B3034&amp;"/"&amp;A3034&amp;"/"&amp;C3034</f>
        <v>2837</v>
      </c>
      <c r="E3034">
        <v>0.64583333333333337</v>
      </c>
      <c r="F3034" t="s">
        <f>I3034&amp;" "&amp;J3034&amp;" "&amp;K3034&amp;" "&amp;L3034&amp;" "&amp;M3034&amp;" "&amp;N3034</f>
        <v>2834</v>
      </c>
      <c r="G3034" t="s">
        <f>TEXT(D3034,"mmm dd")</f>
        <v>339</v>
      </c>
      <c r="I3034" t="s">
        <v>2835</v>
      </c>
      <c r="J3034">
        <v>101</v>
      </c>
      <c r="K3034" t="s">
        <v>2836</v>
      </c>
    </row>
    <row r="3035" spans="1:23">
      <c r="A3035">
        <v>18</v>
      </c>
      <c r="B3035">
        <v>5</v>
      </c>
      <c r="C3035">
        <v>2020</v>
      </c>
      <c r="D3035" s="3" t="s">
        <f>B3035&amp;"/"&amp;A3035&amp;"/"&amp;C3035</f>
        <v>2837</v>
      </c>
      <c r="E3035">
        <v>0.91666666666666663</v>
      </c>
      <c r="F3035" t="s">
        <f>I3035&amp;" "&amp;J3035&amp;" "&amp;K3035&amp;" "&amp;L3035&amp;" "&amp;M3035&amp;" "&amp;N3035</f>
        <v>2690</v>
      </c>
      <c r="G3035" t="s">
        <f>TEXT(D3035,"mmm dd")</f>
        <v>339</v>
      </c>
      <c r="I3035" t="s">
        <v>2223</v>
      </c>
      <c r="J3035" t="s">
        <v>2320</v>
      </c>
    </row>
    <row r="3036" spans="1:23">
      <c r="A3036">
        <v>21</v>
      </c>
      <c r="B3036">
        <v>5</v>
      </c>
      <c r="C3036">
        <v>2020</v>
      </c>
      <c r="D3036" s="3" t="s">
        <f>B3036&amp;"/"&amp;A3036&amp;"/"&amp;C3036</f>
        <v>2838</v>
      </c>
      <c r="E3036">
        <v>0.79166666666666663</v>
      </c>
      <c r="F3036" t="str">
        <f>I3036&amp;" "&amp;J3036&amp;" "&amp;K3036&amp;" "&amp;L3036&amp;" "&amp;M3036&amp;" "&amp;N3036</f>
        <v>ST. Paul’s for Mass  </v>
      </c>
      <c r="G3036" t="s">
        <f>TEXT(D3036,"mmm dd")</f>
        <v>354</v>
      </c>
      <c r="I3036" t="inlineStr">
        <is>
          <t>ST.</t>
        </is>
      </c>
      <c r="J3036" t="s">
        <v>2668</v>
      </c>
      <c r="K3036" t="s">
        <v>439</v>
      </c>
      <c r="L3036" t="s">
        <v>1273</v>
      </c>
    </row>
    <row r="3037" spans="1:23">
      <c r="A3037">
        <v>21</v>
      </c>
      <c r="B3037">
        <v>5</v>
      </c>
      <c r="C3037">
        <v>2020</v>
      </c>
      <c r="D3037" s="3" t="s">
        <f>B3037&amp;"/"&amp;A3037&amp;"/"&amp;C3037</f>
        <v>2838</v>
      </c>
      <c r="E3037">
        <v>0.61458333333333337</v>
      </c>
      <c r="F3037" t="str">
        <f>I3037&amp;" "&amp;J3037&amp;" "&amp;K3037&amp;" "&amp;L3037&amp;" "&amp;M3037&amp;" "&amp;N3037</f>
        <v>Ultrasound (2x)    </v>
      </c>
      <c r="G3037" t="s">
        <f>TEXT(D3037,"mmm dd")</f>
        <v>354</v>
      </c>
      <c r="I3037" t="inlineStr">
        <is>
          <t>Ultrasound</t>
        </is>
      </c>
      <c r="J3037" t="inlineStr">
        <is>
          <t>(2x)</t>
        </is>
      </c>
    </row>
    <row r="3038" spans="1:23">
      <c r="A3038">
        <v>22</v>
      </c>
      <c r="B3038">
        <v>5</v>
      </c>
      <c r="C3038">
        <v>2020</v>
      </c>
      <c r="D3038" s="3" t="str">
        <f>B3038&amp;"/"&amp;A3038&amp;"/"&amp;C3038</f>
        <v>5/22/2020</v>
      </c>
      <c r="E3038">
        <v>0.64583333333333337</v>
      </c>
      <c r="F3038" t="s">
        <f>I3038&amp;" "&amp;J3038&amp;" "&amp;K3038&amp;" "&amp;L3038&amp;" "&amp;M3038&amp;" "&amp;N3038</f>
        <v>2839</v>
      </c>
      <c r="G3038" t="s">
        <f>TEXT(D3038,"mmm dd")</f>
        <v>357</v>
      </c>
      <c r="I3038" t="s">
        <v>2835</v>
      </c>
      <c r="J3038">
        <v>102</v>
      </c>
      <c r="K3038" t="s">
        <v>2840</v>
      </c>
      <c r="L3038" t="s">
        <v>2841</v>
      </c>
      <c r="M3038" t="s">
        <v>2842</v>
      </c>
      <c r="N3038" t="s">
        <v>135</v>
      </c>
    </row>
    <row r="3039" spans="1:23">
      <c r="A3039">
        <v>23</v>
      </c>
      <c r="B3039">
        <v>5</v>
      </c>
      <c r="C3039">
        <v>2020</v>
      </c>
      <c r="D3039" s="3" t="str">
        <f>B3039&amp;"/"&amp;A3039&amp;"/"&amp;C3039</f>
        <v>5/23/2020</v>
      </c>
      <c r="E3039">
        <v>0.20833333333333334</v>
      </c>
      <c r="F3039" t="s">
        <f>I3039&amp;" "&amp;J3039&amp;" "&amp;K3039&amp;" "&amp;L3039&amp;" "&amp;M3039&amp;" "&amp;N3039</f>
        <v>2690</v>
      </c>
      <c r="G3039" t="s">
        <f>TEXT(D3039,"mmm dd")</f>
        <v>360</v>
      </c>
      <c r="I3039" t="s">
        <v>2223</v>
      </c>
      <c r="J3039" t="s">
        <v>2320</v>
      </c>
    </row>
    <row r="3040" spans="1:23">
      <c r="A3040">
        <v>25</v>
      </c>
      <c r="B3040">
        <v>5</v>
      </c>
      <c r="C3040">
        <v>2020</v>
      </c>
      <c r="D3040" s="3" t="str">
        <f>B3040&amp;"/"&amp;A3040&amp;"/"&amp;C3040</f>
        <v>5/25/2020</v>
      </c>
      <c r="E3040">
        <v>0.64583333333333337</v>
      </c>
      <c r="F3040" t="s">
        <f>I3040&amp;" "&amp;J3040&amp;" "&amp;K3040&amp;" "&amp;L3040&amp;" "&amp;M3040&amp;" "&amp;N3040</f>
        <v>2839</v>
      </c>
      <c r="G3040" t="s">
        <f>TEXT(D3040,"mmm dd")</f>
        <v>380</v>
      </c>
      <c r="I3040" t="s">
        <v>2835</v>
      </c>
      <c r="J3040">
        <v>102</v>
      </c>
      <c r="K3040" t="s">
        <v>2840</v>
      </c>
      <c r="L3040" t="s">
        <v>2841</v>
      </c>
      <c r="M3040" t="s">
        <v>2842</v>
      </c>
      <c r="N3040" t="s">
        <v>135</v>
      </c>
    </row>
    <row r="3041" spans="1:23">
      <c r="A3041">
        <v>26</v>
      </c>
      <c r="B3041">
        <v>5</v>
      </c>
      <c r="C3041">
        <v>2020</v>
      </c>
      <c r="D3041" s="3" t="str">
        <f>B3041&amp;"/"&amp;A3041&amp;"/"&amp;C3041</f>
        <v>5/26/2020</v>
      </c>
      <c r="E3041">
        <v>0.70833333333333337</v>
      </c>
      <c r="F3041" t="str">
        <f>I3041&amp;" "&amp;J3041&amp;" "&amp;K3041&amp;" "&amp;L3041&amp;" "&amp;M3041&amp;" "&amp;N3041</f>
        <v>Dr Geary dentist   </v>
      </c>
      <c r="G3041" t="s">
        <f>TEXT(D3041,"mmm dd")</f>
        <v>386</v>
      </c>
      <c r="I3041" t="s">
        <v>1791</v>
      </c>
      <c r="J3041" t="s">
        <v>2537</v>
      </c>
      <c r="K3041" t="s">
        <v>1973</v>
      </c>
    </row>
    <row r="3042" spans="1:23">
      <c r="A3042">
        <v>27</v>
      </c>
      <c r="B3042">
        <v>5</v>
      </c>
      <c r="C3042">
        <v>2020</v>
      </c>
      <c r="D3042" s="3" t="str">
        <f>B3042&amp;"/"&amp;A3042&amp;"/"&amp;C3042</f>
        <v>5/27/2020</v>
      </c>
      <c r="E3042">
        <v>0.91666666666666663</v>
      </c>
      <c r="F3042" t="s">
        <f>I3042&amp;" "&amp;J3042&amp;" "&amp;K3042&amp;" "&amp;L3042&amp;" "&amp;M3042&amp;" "&amp;N3042</f>
        <v>2690</v>
      </c>
      <c r="G3042" t="s">
        <f>TEXT(D3042,"mmm dd")</f>
        <v>391</v>
      </c>
      <c r="I3042" t="s">
        <v>2223</v>
      </c>
      <c r="J3042" t="s">
        <v>2320</v>
      </c>
    </row>
    <row r="3043" spans="1:23">
      <c r="A3043">
        <v>28</v>
      </c>
      <c r="B3043">
        <v>5</v>
      </c>
      <c r="C3043">
        <v>2020</v>
      </c>
      <c r="D3043" s="3" t="s">
        <f>B3043&amp;"/"&amp;A3043&amp;"/"&amp;C3043</f>
        <v>2843</v>
      </c>
      <c r="E3043">
        <v>0.70833333333333337</v>
      </c>
      <c r="F3043" t="s">
        <f>I3043&amp;" "&amp;J3043&amp;" "&amp;K3043&amp;" "&amp;L3043&amp;" "&amp;M3043&amp;" "&amp;N3043</f>
        <v>2844</v>
      </c>
      <c r="G3043" t="s">
        <f>TEXT(D3043,"mmm dd")</f>
        <v>393</v>
      </c>
      <c r="I3043" t="s">
        <v>1409</v>
      </c>
      <c r="J3043" t="s">
        <v>2712</v>
      </c>
      <c r="K3043" t="s">
        <v>2845</v>
      </c>
    </row>
    <row r="3044" spans="1:23">
      <c r="A3044">
        <v>28</v>
      </c>
      <c r="B3044">
        <v>5</v>
      </c>
      <c r="C3044">
        <v>2020</v>
      </c>
      <c r="D3044" s="3" t="s">
        <f>B3044&amp;"/"&amp;A3044&amp;"/"&amp;C3044</f>
        <v>2843</v>
      </c>
      <c r="E3044">
        <v>0.75</v>
      </c>
      <c r="F3044" t="str">
        <f>I3044&amp;" "&amp;J3044&amp;" "&amp;K3044&amp;" "&amp;L3044&amp;" "&amp;M3044&amp;" "&amp;N3044</f>
        <v>Call funeral family   </v>
      </c>
      <c r="G3044" t="s">
        <f>TEXT(D3044,"mmm dd")</f>
        <v>393</v>
      </c>
      <c r="I3044" t="s">
        <v>1028</v>
      </c>
      <c r="J3044" t="s">
        <v>1116</v>
      </c>
      <c r="K3044" t="s">
        <v>995</v>
      </c>
    </row>
    <row r="3045" spans="1:23">
      <c r="A3045">
        <v>29</v>
      </c>
      <c r="B3045">
        <v>5</v>
      </c>
      <c r="C3045">
        <v>2020</v>
      </c>
      <c r="D3045" s="3" t="str">
        <f>B3045&amp;"/"&amp;A3045&amp;"/"&amp;C3045</f>
        <v>5/29/2020</v>
      </c>
      <c r="E3045">
        <v>0.75</v>
      </c>
      <c r="F3045" t="str">
        <f>I3045&amp;" "&amp;J3045&amp;" "&amp;K3045&amp;" "&amp;L3045&amp;" "&amp;M3045&amp;" "&amp;N3045</f>
        <v>Taping St. Paul's Pentecost  </v>
      </c>
      <c r="G3045" t="s">
        <f>TEXT(D3045,"mmm dd")</f>
        <v>397</v>
      </c>
      <c r="I3045" t="s">
        <v>2846</v>
      </c>
      <c r="J3045" t="s">
        <v>218</v>
      </c>
      <c r="K3045" t="s">
        <v>2471</v>
      </c>
      <c r="L3045" t="s">
        <v>311</v>
      </c>
    </row>
    <row r="3046" spans="1:23">
      <c r="A3046">
        <v>30</v>
      </c>
      <c r="B3046">
        <v>5</v>
      </c>
      <c r="C3046">
        <v>2020</v>
      </c>
      <c r="D3046" s="3" t="str">
        <f>B3046&amp;"/"&amp;A3046&amp;"/"&amp;C3046</f>
        <v>5/30/2020</v>
      </c>
      <c r="E3046">
        <v>1.0416666666666667</v>
      </c>
      <c r="F3046" t="str">
        <f>I3046&amp;" "&amp;J3046&amp;" "&amp;K3046&amp;" "&amp;L3046&amp;" "&amp;M3046&amp;" "&amp;N3046</f>
        <v>Social with Judges   </v>
      </c>
      <c r="G3046" t="s">
        <f>TEXT(D3046,"mmm dd")</f>
        <v>402</v>
      </c>
      <c r="I3046" t="inlineStr">
        <is>
          <t>Social</t>
        </is>
      </c>
      <c r="J3046" t="s">
        <v>755</v>
      </c>
      <c r="K3046" t="s">
        <v>2847</v>
      </c>
    </row>
    <row r="3047" spans="1:23">
      <c r="A3047">
        <v>1</v>
      </c>
      <c r="B3047">
        <v>6</v>
      </c>
      <c r="C3047">
        <v>2020</v>
      </c>
      <c r="D3047" s="3" t="s">
        <f>B3047&amp;"/"&amp;A3047&amp;"/"&amp;C3047</f>
        <v>2848</v>
      </c>
      <c r="E3047">
        <v>0.75</v>
      </c>
      <c r="F3047" t="str">
        <f>I3047&amp;" "&amp;J3047&amp;" "&amp;K3047&amp;" "&amp;L3047&amp;" "&amp;M3047&amp;" "&amp;N3047</f>
        <v>Taping St. Paul's Trinity Sunday </v>
      </c>
      <c r="G3047" t="s">
        <f>TEXT(D3047,"mmm dd")</f>
        <v>421</v>
      </c>
      <c r="I3047" t="s">
        <v>2846</v>
      </c>
      <c r="J3047" t="s">
        <v>218</v>
      </c>
      <c r="K3047" t="s">
        <v>2471</v>
      </c>
      <c r="L3047" t="s">
        <v>340</v>
      </c>
      <c r="M3047" t="s">
        <v>341</v>
      </c>
    </row>
    <row r="3048" spans="1:23">
      <c r="A3048">
        <v>1</v>
      </c>
      <c r="B3048">
        <v>6</v>
      </c>
      <c r="C3048">
        <v>2020</v>
      </c>
      <c r="D3048" s="3" t="s">
        <f>B3048&amp;"/"&amp;A3048&amp;"/"&amp;C3048</f>
        <v>2848</v>
      </c>
      <c r="E3048">
        <v>0.625</v>
      </c>
      <c r="F3048" t="s">
        <f>I3048&amp;" "&amp;J3048&amp;" "&amp;K3048&amp;" "&amp;L3048&amp;" "&amp;M3048&amp;" "&amp;N3048</f>
        <v>2690</v>
      </c>
      <c r="G3048" t="s">
        <f>TEXT(D3048,"mmm dd")</f>
        <v>421</v>
      </c>
      <c r="I3048" t="s">
        <v>2223</v>
      </c>
      <c r="J3048" t="s">
        <v>2320</v>
      </c>
    </row>
    <row r="3049" spans="1:23">
      <c r="A3049">
        <v>3</v>
      </c>
      <c r="B3049">
        <v>6</v>
      </c>
      <c r="C3049">
        <v>2020</v>
      </c>
      <c r="D3049" s="3" t="str">
        <f>B3049&amp;"/"&amp;A3049&amp;"/"&amp;C3049</f>
        <v>6/3/2020</v>
      </c>
      <c r="E3049">
        <v>0.875</v>
      </c>
      <c r="F3049" t="str">
        <f>I3049&amp;" "&amp;J3049&amp;" "&amp;K3049&amp;" "&amp;L3049&amp;" "&amp;M3049&amp;" "&amp;N3049</f>
        <v>Funeral at St. Paul's\  Monroe</v>
      </c>
      <c r="G3049" t="s">
        <f>TEXT(D3049,"mmm dd")</f>
        <v>434</v>
      </c>
      <c r="I3049" t="s">
        <v>1135</v>
      </c>
      <c r="J3049" t="s">
        <v>53</v>
      </c>
      <c r="K3049" t="s">
        <v>218</v>
      </c>
      <c r="L3049" t="s">
        <v>2621</v>
      </c>
      <c r="N3049" t="s">
        <v>2669</v>
      </c>
    </row>
    <row r="3050" spans="1:23">
      <c r="A3050">
        <v>5</v>
      </c>
      <c r="B3050">
        <v>6</v>
      </c>
      <c r="C3050">
        <v>2020</v>
      </c>
      <c r="D3050" s="3" t="s">
        <f>B3050&amp;"/"&amp;A3050&amp;"/"&amp;C3050</f>
        <v>2849</v>
      </c>
      <c r="E3050">
        <v>1.1041666666666667</v>
      </c>
      <c r="F3050" t="str">
        <f>I3050&amp;" "&amp;J3050&amp;" "&amp;K3050&amp;" "&amp;L3050&amp;" "&amp;M3050&amp;" "&amp;N3050</f>
        <v>Happy Hour    </v>
      </c>
      <c r="G3050" t="s">
        <f>TEXT(D3050,"mmm dd")</f>
        <v>446</v>
      </c>
      <c r="I3050" t="s">
        <v>2850</v>
      </c>
      <c r="J3050" t="s">
        <v>1395</v>
      </c>
    </row>
    <row r="3051" spans="1:23">
      <c r="A3051">
        <v>5</v>
      </c>
      <c r="B3051">
        <v>6</v>
      </c>
      <c r="C3051">
        <v>2020</v>
      </c>
      <c r="D3051" s="3" t="s">
        <f>B3051&amp;"/"&amp;A3051&amp;"/"&amp;C3051</f>
        <v>2849</v>
      </c>
      <c r="E3051">
        <v>1</v>
      </c>
      <c r="F3051" t="s">
        <f>I3051&amp;" "&amp;J3051&amp;" "&amp;K3051&amp;" "&amp;L3051&amp;" "&amp;M3051&amp;" "&amp;N3051</f>
        <v>2690</v>
      </c>
      <c r="G3051" t="s">
        <f>TEXT(D3051,"mmm dd")</f>
        <v>446</v>
      </c>
      <c r="I3051" t="s">
        <v>2223</v>
      </c>
      <c r="J3051" t="s">
        <v>2320</v>
      </c>
    </row>
    <row r="3052" spans="1:23">
      <c r="A3052">
        <v>6</v>
      </c>
      <c r="B3052">
        <v>6</v>
      </c>
      <c r="C3052">
        <v>2020</v>
      </c>
      <c r="D3052" s="3" t="str">
        <f>B3052&amp;"/"&amp;A3052&amp;"/"&amp;C3052</f>
        <v>6/6/2020</v>
      </c>
      <c r="E3052">
        <v>0.125</v>
      </c>
      <c r="F3052" t="s">
        <f>I3052&amp;" "&amp;J3052&amp;" "&amp;K3052&amp;" "&amp;L3052&amp;" "&amp;M3052&amp;" "&amp;N3052</f>
        <v>2851</v>
      </c>
      <c r="G3052" t="s">
        <f>TEXT(D3052,"mmm dd")</f>
        <v>462</v>
      </c>
      <c r="I3052" t="s">
        <v>1816</v>
      </c>
    </row>
    <row r="3053" spans="1:23">
      <c r="A3053">
        <v>8</v>
      </c>
      <c r="B3053">
        <v>6</v>
      </c>
      <c r="C3053">
        <v>2020</v>
      </c>
      <c r="D3053" s="3" t="str">
        <f>B3053&amp;"/"&amp;A3053&amp;"/"&amp;C3053</f>
        <v>6/8/2020</v>
      </c>
      <c r="E3053">
        <v>0.9375</v>
      </c>
      <c r="F3053" t="str">
        <f>I3053&amp;" "&amp;J3053&amp;" "&amp;K3053&amp;" "&amp;L3053&amp;" "&amp;M3053&amp;" "&amp;N3053</f>
        <v>Meet Chip    </v>
      </c>
      <c r="G3053" t="s">
        <f>TEXT(D3053,"mmm dd")</f>
        <v>1325</v>
      </c>
      <c r="I3053" t="s">
        <v>300</v>
      </c>
      <c r="J3053" t="inlineStr">
        <is>
          <t>Chip</t>
        </is>
      </c>
    </row>
    <row r="3054" spans="1:23">
      <c r="A3054">
        <v>10</v>
      </c>
      <c r="B3054">
        <v>6</v>
      </c>
      <c r="C3054">
        <v>2020</v>
      </c>
      <c r="D3054" s="3" t="str">
        <f>B3054&amp;"/"&amp;A3054&amp;"/"&amp;C3054</f>
        <v>6/10/2020</v>
      </c>
      <c r="E3054">
        <v>0.70833333333333337</v>
      </c>
      <c r="F3054" t="s">
        <f>I3054&amp;" "&amp;J3054&amp;" "&amp;K3054&amp;" "&amp;L3054&amp;" "&amp;M3054&amp;" "&amp;N3054</f>
        <v>2690</v>
      </c>
      <c r="G3054" t="s">
        <f>TEXT(D3054,"mmm dd")</f>
        <v>475</v>
      </c>
      <c r="I3054" t="s">
        <v>2223</v>
      </c>
      <c r="J3054" t="s">
        <v>2320</v>
      </c>
    </row>
    <row r="3055" spans="1:23">
      <c r="A3055">
        <v>12</v>
      </c>
      <c r="B3055">
        <v>6</v>
      </c>
      <c r="C3055">
        <v>2020</v>
      </c>
      <c r="D3055" s="3" t="str">
        <f>B3055&amp;"/"&amp;A3055&amp;"/"&amp;C3055</f>
        <v>6/12/2020</v>
      </c>
      <c r="E3055">
        <v>0.75</v>
      </c>
      <c r="F3055" t="str">
        <f>I3055&amp;" "&amp;J3055&amp;" "&amp;K3055&amp;" "&amp;L3055&amp;" "&amp;M3055&amp;" "&amp;N3055</f>
        <v>Record at Monroe   </v>
      </c>
      <c r="G3055" t="s">
        <f>TEXT(D3055,"mmm dd")</f>
        <v>501</v>
      </c>
      <c r="I3055" t="inlineStr">
        <is>
          <t>Record</t>
        </is>
      </c>
      <c r="J3055" t="s">
        <v>53</v>
      </c>
      <c r="K3055" t="s">
        <v>2669</v>
      </c>
    </row>
    <row r="3056" spans="1:23">
      <c r="A3056">
        <v>14</v>
      </c>
      <c r="B3056">
        <v>6</v>
      </c>
      <c r="C3056">
        <v>2020</v>
      </c>
      <c r="D3056" s="3" t="s">
        <f>B3056&amp;"/"&amp;A3056&amp;"/"&amp;C3056</f>
        <v>2852</v>
      </c>
      <c r="E3056">
        <v>0.72916666666666663</v>
      </c>
      <c r="F3056" t="s">
        <f>I3056&amp;" "&amp;J3056&amp;" "&amp;K3056&amp;" "&amp;L3056&amp;" "&amp;M3056&amp;" "&amp;N3056</f>
        <v>2809</v>
      </c>
      <c r="G3056" t="s">
        <f>TEXT(D3056,"mmm dd")</f>
        <v>524</v>
      </c>
      <c r="I3056" t="s">
        <v>2468</v>
      </c>
      <c r="J3056" t="s">
        <v>2119</v>
      </c>
      <c r="K3056" t="s">
        <v>2756</v>
      </c>
    </row>
    <row r="3057" spans="1:23">
      <c r="A3057">
        <v>14</v>
      </c>
      <c r="B3057">
        <v>6</v>
      </c>
      <c r="C3057">
        <v>2020</v>
      </c>
      <c r="D3057" s="3" t="s">
        <f>B3057&amp;"/"&amp;A3057&amp;"/"&amp;C3057</f>
        <v>2852</v>
      </c>
      <c r="E3057">
        <v>1.0833333333333333</v>
      </c>
      <c r="F3057" t="s">
        <f>I3057&amp;" "&amp;J3057&amp;" "&amp;K3057&amp;" "&amp;L3057&amp;" "&amp;M3057&amp;" "&amp;N3057</f>
        <v>2690</v>
      </c>
      <c r="G3057" t="s">
        <f>TEXT(D3057,"mmm dd")</f>
        <v>524</v>
      </c>
      <c r="I3057" t="s">
        <v>2223</v>
      </c>
      <c r="J3057" t="s">
        <v>2320</v>
      </c>
    </row>
    <row r="3058" spans="1:23">
      <c r="A3058">
        <v>16</v>
      </c>
      <c r="B3058">
        <v>6</v>
      </c>
      <c r="C3058">
        <v>2020</v>
      </c>
      <c r="D3058" s="3" t="str">
        <f>B3058&amp;"/"&amp;A3058&amp;"/"&amp;C3058</f>
        <v>6/16/2020</v>
      </c>
      <c r="E3058">
        <v>0.84722222222222221</v>
      </c>
      <c r="F3058" t="str">
        <f>I3058&amp;" "&amp;J3058&amp;" "&amp;K3058&amp;" "&amp;L3058&amp;" "&amp;M3058&amp;" "&amp;N3058</f>
        <v>Sean Pitale    </v>
      </c>
      <c r="G3058" t="s">
        <f>TEXT(D3058,"mmm dd")</f>
        <v>543</v>
      </c>
      <c r="I3058" t="s">
        <v>2255</v>
      </c>
      <c r="J3058" t="inlineStr">
        <is>
          <t>Pitale</t>
        </is>
      </c>
    </row>
    <row r="3059" spans="1:23">
      <c r="A3059">
        <v>19</v>
      </c>
      <c r="B3059">
        <v>6</v>
      </c>
      <c r="C3059">
        <v>2020</v>
      </c>
      <c r="D3059" s="3" t="s">
        <f>B3059&amp;"/"&amp;A3059&amp;"/"&amp;C3059</f>
        <v>2853</v>
      </c>
      <c r="E3059">
        <v>0.75</v>
      </c>
      <c r="F3059" t="str">
        <f>I3059&amp;" "&amp;J3059&amp;" "&amp;K3059&amp;" "&amp;L3059&amp;" "&amp;M3059&amp;" "&amp;N3059</f>
        <v>Billman @ Murdoch\  Geary </v>
      </c>
      <c r="G3059" t="s">
        <f>TEXT(D3059,"mmm dd")</f>
        <v>564</v>
      </c>
      <c r="I3059" t="inlineStr">
        <is>
          <t>Billman</t>
        </is>
      </c>
      <c r="J3059" t="s">
        <v>48</v>
      </c>
      <c r="K3059" t="inlineStr">
        <is>
          <t>Murdoch\</t>
        </is>
      </c>
      <c r="M3059" t="s">
        <v>2537</v>
      </c>
    </row>
    <row r="3060" spans="1:23">
      <c r="A3060">
        <v>19</v>
      </c>
      <c r="B3060">
        <v>6</v>
      </c>
      <c r="C3060">
        <v>2020</v>
      </c>
      <c r="D3060" s="3" t="s">
        <f>B3060&amp;"/"&amp;A3060&amp;"/"&amp;C3060</f>
        <v>2853</v>
      </c>
      <c r="E3060">
        <v>0.75</v>
      </c>
      <c r="F3060" t="s">
        <f>I3060&amp;" "&amp;J3060&amp;" "&amp;K3060&amp;" "&amp;L3060&amp;" "&amp;M3060&amp;" "&amp;N3060</f>
        <v>2690</v>
      </c>
      <c r="G3060" t="s">
        <f>TEXT(D3060,"mmm dd")</f>
        <v>564</v>
      </c>
      <c r="I3060" t="s">
        <v>2223</v>
      </c>
      <c r="J3060" t="s">
        <v>2320</v>
      </c>
    </row>
    <row r="3061" spans="1:23">
      <c r="A3061">
        <v>21</v>
      </c>
      <c r="B3061">
        <v>6</v>
      </c>
      <c r="C3061">
        <v>2020</v>
      </c>
      <c r="D3061" s="3" t="str">
        <f>B3061&amp;"/"&amp;A3061&amp;"/"&amp;C3061</f>
        <v>6/21/2020</v>
      </c>
      <c r="E3061">
        <v>0.70833333333333337</v>
      </c>
      <c r="F3061" t="s">
        <f>I3061&amp;" "&amp;J3061&amp;" "&amp;K3061&amp;" "&amp;L3061&amp;" "&amp;M3061&amp;" "&amp;N3061</f>
        <v>2809</v>
      </c>
      <c r="G3061" t="s">
        <f>TEXT(D3061,"mmm dd")</f>
        <v>568</v>
      </c>
      <c r="I3061" t="s">
        <v>2468</v>
      </c>
      <c r="J3061" t="s">
        <v>2119</v>
      </c>
      <c r="K3061" t="s">
        <v>2756</v>
      </c>
    </row>
    <row r="3062" spans="1:23">
      <c r="A3062">
        <v>23</v>
      </c>
      <c r="B3062">
        <v>6</v>
      </c>
      <c r="C3062">
        <v>2020</v>
      </c>
      <c r="D3062" s="3" t="str">
        <f>B3062&amp;"/"&amp;A3062&amp;"/"&amp;C3062</f>
        <v>6/23/2020</v>
      </c>
      <c r="E3062">
        <v>1.0833333333333333</v>
      </c>
      <c r="F3062" t="s">
        <f>I3062&amp;" "&amp;J3062&amp;" "&amp;K3062&amp;" "&amp;L3062&amp;" "&amp;M3062&amp;" "&amp;N3062</f>
        <v>2690</v>
      </c>
      <c r="G3062" t="s">
        <f>TEXT(D3062,"mmm dd")</f>
        <v>579</v>
      </c>
      <c r="I3062" t="s">
        <v>2223</v>
      </c>
      <c r="J3062" t="s">
        <v>2320</v>
      </c>
    </row>
    <row r="3063" spans="1:23">
      <c r="A3063">
        <v>27</v>
      </c>
      <c r="B3063">
        <v>6</v>
      </c>
      <c r="C3063">
        <v>2020</v>
      </c>
      <c r="D3063" s="3" t="str">
        <f>B3063&amp;"/"&amp;A3063&amp;"/"&amp;C3063</f>
        <v>6/27/2020</v>
      </c>
      <c r="E3063">
        <v>1</v>
      </c>
      <c r="F3063" t="s">
        <f>I3063&amp;" "&amp;J3063&amp;" "&amp;K3063&amp;" "&amp;L3063&amp;" "&amp;M3063&amp;" "&amp;N3063</f>
        <v>2331</v>
      </c>
      <c r="G3063" t="s">
        <f>TEXT(D3063,"mmm dd")</f>
        <v>1336</v>
      </c>
      <c r="I3063" t="s">
        <v>1028</v>
      </c>
      <c r="J3063" t="s">
        <v>1008</v>
      </c>
    </row>
    <row r="3064" spans="1:23">
      <c r="A3064">
        <v>28</v>
      </c>
      <c r="B3064">
        <v>6</v>
      </c>
      <c r="C3064">
        <v>2020</v>
      </c>
      <c r="D3064" s="3" t="s">
        <f>B3064&amp;"/"&amp;A3064&amp;"/"&amp;C3064</f>
        <v>2854</v>
      </c>
      <c r="E3064">
        <v>0.6875</v>
      </c>
      <c r="F3064" t="s">
        <f>I3064&amp;" "&amp;J3064&amp;" "&amp;K3064&amp;" "&amp;L3064&amp;" "&amp;M3064&amp;" "&amp;N3064</f>
        <v>2809</v>
      </c>
      <c r="G3064" t="s">
        <f>TEXT(D3064,"mmm dd")</f>
        <v>597</v>
      </c>
      <c r="I3064" t="s">
        <v>2468</v>
      </c>
      <c r="J3064" t="s">
        <v>2119</v>
      </c>
      <c r="K3064" t="s">
        <v>2756</v>
      </c>
    </row>
    <row r="3065" spans="1:23">
      <c r="A3065">
        <v>28</v>
      </c>
      <c r="B3065">
        <v>6</v>
      </c>
      <c r="C3065">
        <v>2020</v>
      </c>
      <c r="D3065" s="3" t="s">
        <f>B3065&amp;"/"&amp;A3065&amp;"/"&amp;C3065</f>
        <v>2854</v>
      </c>
      <c r="E3065">
        <v>0.72916666666666663</v>
      </c>
      <c r="F3065" t="str">
        <f>I3065&amp;" "&amp;J3065&amp;" "&amp;K3065&amp;" "&amp;L3065&amp;" "&amp;M3065&amp;" "&amp;N3065</f>
        <v>Morning Prayer\  Sunday\  June</v>
      </c>
      <c r="G3065" t="s">
        <f>TEXT(D3065,"mmm dd")</f>
        <v>597</v>
      </c>
      <c r="I3065" t="s">
        <v>2126</v>
      </c>
      <c r="J3065" t="inlineStr">
        <is>
          <t>Prayer\</t>
        </is>
      </c>
      <c r="L3065" t="inlineStr">
        <is>
          <t>Sunday\</t>
        </is>
      </c>
      <c r="N3065" t="s">
        <v>1539</v>
      </c>
    </row>
    <row r="3066" spans="1:23">
      <c r="A3066">
        <v>28</v>
      </c>
      <c r="B3066">
        <v>6</v>
      </c>
      <c r="C3066">
        <v>2020</v>
      </c>
      <c r="D3066" s="3" t="s">
        <f>B3066&amp;"/"&amp;A3066&amp;"/"&amp;C3066</f>
        <v>2854</v>
      </c>
      <c r="E3066">
        <v>0.91666666666666663</v>
      </c>
      <c r="F3066" t="s">
        <f>I3066&amp;" "&amp;J3066&amp;" "&amp;K3066&amp;" "&amp;L3066&amp;" "&amp;M3066&amp;" "&amp;N3066</f>
        <v>2690</v>
      </c>
      <c r="G3066" t="s">
        <f>TEXT(D3066,"mmm dd")</f>
        <v>597</v>
      </c>
      <c r="I3066" t="s">
        <v>2223</v>
      </c>
      <c r="J3066" t="s">
        <v>2320</v>
      </c>
    </row>
    <row r="3067" spans="1:23">
      <c r="A3067">
        <v>28</v>
      </c>
      <c r="B3067">
        <v>6</v>
      </c>
      <c r="C3067">
        <v>2020</v>
      </c>
      <c r="D3067" s="3" t="s">
        <f>B3067&amp;"/"&amp;A3067&amp;"/"&amp;C3067</f>
        <v>2854</v>
      </c>
      <c r="E3067">
        <v>0.83333333333333337</v>
      </c>
      <c r="F3067" t="s">
        <f>I3067&amp;" "&amp;J3067&amp;" "&amp;K3067&amp;" "&amp;L3067&amp;" "&amp;M3067&amp;" "&amp;N3067</f>
        <v>2331</v>
      </c>
      <c r="G3067" t="s">
        <f>TEXT(D3067,"mmm dd")</f>
        <v>597</v>
      </c>
      <c r="I3067" t="s">
        <v>1028</v>
      </c>
      <c r="J3067" t="s">
        <v>1008</v>
      </c>
    </row>
    <row r="3068" spans="1:23">
      <c r="A3068">
        <v>29</v>
      </c>
      <c r="B3068">
        <v>6</v>
      </c>
      <c r="C3068">
        <v>2020</v>
      </c>
      <c r="D3068" s="3" t="str">
        <f>B3068&amp;"/"&amp;A3068&amp;"/"&amp;C3068</f>
        <v>6/29/2020</v>
      </c>
      <c r="E3068">
        <v>0.79166666666666663</v>
      </c>
      <c r="F3068" t="str">
        <f>I3068&amp;" "&amp;J3068&amp;" "&amp;K3068&amp;" "&amp;L3068&amp;" "&amp;M3068&amp;" "&amp;N3068</f>
        <v>Murray surgery    </v>
      </c>
      <c r="G3068" t="s">
        <f>TEXT(D3068,"mmm dd")</f>
        <v>603</v>
      </c>
      <c r="I3068" t="s">
        <v>1008</v>
      </c>
      <c r="J3068" t="s">
        <v>1448</v>
      </c>
    </row>
    <row r="3069" spans="1:23">
      <c r="A3069">
        <v>1</v>
      </c>
      <c r="B3069">
        <v>7</v>
      </c>
      <c r="C3069">
        <v>2020</v>
      </c>
      <c r="D3069" s="3" t="str">
        <f>B3069&amp;"/"&amp;A3069&amp;"/"&amp;C3069</f>
        <v>7/1/2020</v>
      </c>
      <c r="E3069">
        <v>0.70833333333333337</v>
      </c>
      <c r="F3069" t="s">
        <f>I3069&amp;" "&amp;J3069&amp;" "&amp;K3069&amp;" "&amp;L3069&amp;" "&amp;M3069&amp;" "&amp;N3069</f>
        <v>2831</v>
      </c>
      <c r="G3069" t="s">
        <f>TEXT(D3069,"mmm dd")</f>
        <v>13</v>
      </c>
      <c r="I3069" t="s">
        <v>2712</v>
      </c>
      <c r="J3069" t="s">
        <v>842</v>
      </c>
      <c r="K3069" t="s">
        <v>2832</v>
      </c>
    </row>
    <row r="3070" spans="1:23">
      <c r="A3070">
        <v>2</v>
      </c>
      <c r="B3070">
        <v>7</v>
      </c>
      <c r="C3070">
        <v>2020</v>
      </c>
      <c r="D3070" s="3" t="str">
        <f>B3070&amp;"/"&amp;A3070&amp;"/"&amp;C3070</f>
        <v>7/2/2020</v>
      </c>
      <c r="E3070">
        <v>0.66666666666666663</v>
      </c>
      <c r="F3070" t="str">
        <f>I3070&amp;" "&amp;J3070&amp;" "&amp;K3070&amp;" "&amp;L3070&amp;" "&amp;M3070&amp;" "&amp;N3070</f>
        <v>OlgaMaria picks up dulcimer  </v>
      </c>
      <c r="G3070" t="s">
        <f>TEXT(D3070,"mmm dd")</f>
        <v>15</v>
      </c>
      <c r="I3070" t="inlineStr">
        <is>
          <t>OlgaMaria</t>
        </is>
      </c>
      <c r="J3070" t="inlineStr">
        <is>
          <t>picks</t>
        </is>
      </c>
      <c r="K3070" t="s">
        <v>807</v>
      </c>
      <c r="L3070" t="inlineStr">
        <is>
          <t>dulcimer</t>
        </is>
      </c>
    </row>
    <row r="3071" spans="1:23">
      <c r="A3071">
        <v>3</v>
      </c>
      <c r="B3071">
        <v>7</v>
      </c>
      <c r="C3071">
        <v>2020</v>
      </c>
      <c r="D3071" s="3" t="str">
        <f>B3071&amp;"/"&amp;A3071&amp;"/"&amp;C3071</f>
        <v>7/3/2020</v>
      </c>
      <c r="E3071">
        <v>0.625</v>
      </c>
      <c r="F3071" t="s">
        <f>I3071&amp;" "&amp;J3071&amp;" "&amp;K3071&amp;" "&amp;L3071&amp;" "&amp;M3071&amp;" "&amp;N3071</f>
        <v>2690</v>
      </c>
      <c r="G3071" t="s">
        <f>TEXT(D3071,"mmm dd")</f>
        <v>16</v>
      </c>
      <c r="I3071" t="s">
        <v>2223</v>
      </c>
      <c r="J3071" t="s">
        <v>2320</v>
      </c>
    </row>
    <row r="3072" spans="1:23">
      <c r="A3072">
        <v>7</v>
      </c>
      <c r="B3072">
        <v>7</v>
      </c>
      <c r="C3072">
        <v>2020</v>
      </c>
      <c r="D3072" s="3" t="str">
        <f>B3072&amp;"/"&amp;A3072&amp;"/"&amp;C3072</f>
        <v>7/7/2020</v>
      </c>
      <c r="E3072">
        <v>1</v>
      </c>
      <c r="F3072" t="s">
        <f>I3072&amp;" "&amp;J3072&amp;" "&amp;K3072&amp;" "&amp;L3072&amp;" "&amp;M3072&amp;" "&amp;N3072</f>
        <v>2690</v>
      </c>
      <c r="G3072" t="s">
        <f>TEXT(D3072,"mmm dd")</f>
        <v>24</v>
      </c>
      <c r="I3072" t="s">
        <v>2223</v>
      </c>
      <c r="J3072" t="s">
        <v>2320</v>
      </c>
    </row>
    <row r="3073" spans="1:23">
      <c r="A3073">
        <v>12</v>
      </c>
      <c r="B3073">
        <v>7</v>
      </c>
      <c r="C3073">
        <v>2020</v>
      </c>
      <c r="D3073" s="3" t="str">
        <f>B3073&amp;"/"&amp;A3073&amp;"/"&amp;C3073</f>
        <v>7/12/2020</v>
      </c>
      <c r="E3073">
        <v>0.66666666666666663</v>
      </c>
      <c r="F3073" t="s">
        <f>I3073&amp;" "&amp;J3073&amp;" "&amp;K3073&amp;" "&amp;L3073&amp;" "&amp;M3073&amp;" "&amp;N3073</f>
        <v>2690</v>
      </c>
      <c r="G3073" t="s">
        <f>TEXT(D3073,"mmm dd")</f>
        <v>638</v>
      </c>
      <c r="I3073" t="s">
        <v>2223</v>
      </c>
      <c r="J3073" t="s">
        <v>2320</v>
      </c>
    </row>
    <row r="3074" spans="1:23">
      <c r="A3074">
        <v>16</v>
      </c>
      <c r="B3074">
        <v>7</v>
      </c>
      <c r="C3074">
        <v>2020</v>
      </c>
      <c r="D3074" s="3" t="str">
        <f>B3074&amp;"/"&amp;A3074&amp;"/"&amp;C3074</f>
        <v>7/16/2020</v>
      </c>
      <c r="E3074">
        <v>1.0833333333333333</v>
      </c>
      <c r="F3074" t="s">
        <f>I3074&amp;" "&amp;J3074&amp;" "&amp;K3074&amp;" "&amp;L3074&amp;" "&amp;M3074&amp;" "&amp;N3074</f>
        <v>2690</v>
      </c>
      <c r="G3074" t="s">
        <f>TEXT(D3074,"mmm dd")</f>
        <v>646</v>
      </c>
      <c r="I3074" t="s">
        <v>2223</v>
      </c>
      <c r="J3074" t="s">
        <v>2320</v>
      </c>
    </row>
    <row r="3075" spans="1:23">
      <c r="A3075">
        <v>21</v>
      </c>
      <c r="B3075">
        <v>7</v>
      </c>
      <c r="C3075">
        <v>2020</v>
      </c>
      <c r="D3075" s="3" t="str">
        <f>B3075&amp;"/"&amp;A3075&amp;"/"&amp;C3075</f>
        <v>7/21/2020</v>
      </c>
      <c r="E3075">
        <v>0.95833333333333337</v>
      </c>
      <c r="F3075" t="s">
        <f>I3075&amp;" "&amp;J3075&amp;" "&amp;K3075&amp;" "&amp;L3075&amp;" "&amp;M3075&amp;" "&amp;N3075</f>
        <v>2690</v>
      </c>
      <c r="G3075" t="s">
        <f>TEXT(D3075,"mmm dd")</f>
        <v>672</v>
      </c>
      <c r="I3075" t="s">
        <v>2223</v>
      </c>
      <c r="J3075" t="s">
        <v>2320</v>
      </c>
    </row>
    <row r="3076" spans="1:23">
      <c r="A3076">
        <v>26</v>
      </c>
      <c r="B3076">
        <v>7</v>
      </c>
      <c r="C3076">
        <v>2020</v>
      </c>
      <c r="D3076" s="3" t="str">
        <f>B3076&amp;"/"&amp;A3076&amp;"/"&amp;C3076</f>
        <v>7/26/2020</v>
      </c>
      <c r="E3076">
        <v>0.70833333333333337</v>
      </c>
      <c r="F3076" t="s">
        <f>I3076&amp;" "&amp;J3076&amp;" "&amp;K3076&amp;" "&amp;L3076&amp;" "&amp;M3076&amp;" "&amp;N3076</f>
        <v>2690</v>
      </c>
      <c r="G3076" t="s">
        <f>TEXT(D3076,"mmm dd")</f>
        <v>27</v>
      </c>
      <c r="I3076" t="s">
        <v>2223</v>
      </c>
      <c r="J3076" t="s">
        <v>2320</v>
      </c>
    </row>
    <row r="3077" spans="1:23">
      <c r="A3077">
        <v>28</v>
      </c>
      <c r="B3077">
        <v>7</v>
      </c>
      <c r="C3077">
        <v>2020</v>
      </c>
      <c r="D3077" s="3" t="str">
        <f>B3077&amp;"/"&amp;A3077&amp;"/"&amp;C3077</f>
        <v>7/28/2020</v>
      </c>
      <c r="E3077">
        <v>0.70833333333333337</v>
      </c>
      <c r="F3077" t="str">
        <f>I3077&amp;" "&amp;J3077&amp;" "&amp;K3077&amp;" "&amp;L3077&amp;" "&amp;M3077&amp;" "&amp;N3077</f>
        <v>Clericus with Bishop   </v>
      </c>
      <c r="G3077" t="s">
        <f>TEXT(D3077,"mmm dd")</f>
        <v>1745</v>
      </c>
      <c r="I3077" t="s">
        <v>1409</v>
      </c>
      <c r="J3077" t="s">
        <v>755</v>
      </c>
      <c r="K3077" t="s">
        <v>85</v>
      </c>
    </row>
    <row r="3078" spans="1:23">
      <c r="A3078">
        <v>31</v>
      </c>
      <c r="B3078">
        <v>7</v>
      </c>
      <c r="C3078">
        <v>2020</v>
      </c>
      <c r="D3078" s="3" t="str">
        <f>B3078&amp;"/"&amp;A3078&amp;"/"&amp;C3078</f>
        <v>7/31/2020</v>
      </c>
      <c r="E3078">
        <v>0.58333333333333337</v>
      </c>
      <c r="F3078" t="s">
        <f>I3078&amp;" "&amp;J3078&amp;" "&amp;K3078&amp;" "&amp;L3078&amp;" "&amp;M3078&amp;" "&amp;N3078</f>
        <v>2690</v>
      </c>
      <c r="G3078" t="s">
        <f>TEXT(D3078,"mmm dd")</f>
        <v>714</v>
      </c>
      <c r="I3078" t="s">
        <v>2223</v>
      </c>
      <c r="J3078" t="s">
        <v>2320</v>
      </c>
    </row>
    <row r="3079" spans="1:23">
      <c r="A3079">
        <v>1</v>
      </c>
      <c r="B3079">
        <v>8</v>
      </c>
      <c r="C3079">
        <v>2020</v>
      </c>
      <c r="D3079" s="3" t="str">
        <f>B3079&amp;"/"&amp;A3079&amp;"/"&amp;C3079</f>
        <v>8/1/2020</v>
      </c>
      <c r="E3079">
        <v>0.79166666666666663</v>
      </c>
      <c r="F3079" t="str">
        <f>I3079&amp;" "&amp;J3079&amp;" "&amp;K3079&amp;" "&amp;L3079&amp;" "&amp;M3079&amp;" "&amp;N3079</f>
        <v>Patch   bd card </v>
      </c>
      <c r="G3079" t="s">
        <f>TEXT(D3079,"mmm dd")</f>
        <v>1357</v>
      </c>
      <c r="I3079" t="s">
        <v>2623</v>
      </c>
      <c r="L3079" t="inlineStr">
        <is>
          <t>bd</t>
        </is>
      </c>
      <c r="M3079" t="s">
        <v>2480</v>
      </c>
    </row>
    <row r="3080" spans="1:23">
      <c r="A3080">
        <v>4</v>
      </c>
      <c r="B3080">
        <v>8</v>
      </c>
      <c r="C3080">
        <v>2020</v>
      </c>
      <c r="D3080" s="3" t="s">
        <f>B3080&amp;"/"&amp;A3080&amp;"/"&amp;C3080</f>
        <v>2855</v>
      </c>
      <c r="E3080">
        <v>0.83333333333333337</v>
      </c>
      <c r="F3080" t="s">
        <f>I3080&amp;" "&amp;J3080&amp;" "&amp;K3080&amp;" "&amp;L3080&amp;" "&amp;M3080&amp;" "&amp;N3080</f>
        <v>2802</v>
      </c>
      <c r="G3080" t="s">
        <f>TEXT(D3080,"mmm dd")</f>
        <v>1603</v>
      </c>
      <c r="I3080" t="s">
        <v>1370</v>
      </c>
      <c r="J3080" t="s">
        <v>427</v>
      </c>
    </row>
    <row r="3081" spans="1:23">
      <c r="A3081">
        <v>4</v>
      </c>
      <c r="B3081">
        <v>8</v>
      </c>
      <c r="C3081">
        <v>2020</v>
      </c>
      <c r="D3081" s="3" t="s">
        <f>B3081&amp;"/"&amp;A3081&amp;"/"&amp;C3081</f>
        <v>2855</v>
      </c>
      <c r="E3081">
        <v>1.0833333333333333</v>
      </c>
      <c r="F3081" t="s">
        <f>I3081&amp;" "&amp;J3081&amp;" "&amp;K3081&amp;" "&amp;L3081&amp;" "&amp;M3081&amp;" "&amp;N3081</f>
        <v>2690</v>
      </c>
      <c r="G3081" t="s">
        <f>TEXT(D3081,"mmm dd")</f>
        <v>1603</v>
      </c>
      <c r="I3081" t="s">
        <v>2223</v>
      </c>
      <c r="J3081" t="s">
        <v>2320</v>
      </c>
    </row>
    <row r="3082" spans="1:23">
      <c r="A3082">
        <v>9</v>
      </c>
      <c r="B3082">
        <v>8</v>
      </c>
      <c r="C3082">
        <v>2020</v>
      </c>
      <c r="D3082" s="3" t="str">
        <f>B3082&amp;"/"&amp;A3082&amp;"/"&amp;C3082</f>
        <v>8/9/2020</v>
      </c>
      <c r="E3082">
        <v>1.0208333333333333</v>
      </c>
      <c r="F3082" t="s">
        <f>I3082&amp;" "&amp;J3082&amp;" "&amp;K3082&amp;" "&amp;L3082&amp;" "&amp;M3082&amp;" "&amp;N3082</f>
        <v>2690</v>
      </c>
      <c r="G3082" t="s">
        <f>TEXT(D3082,"mmm dd")</f>
        <v>729</v>
      </c>
      <c r="I3082" t="s">
        <v>2223</v>
      </c>
      <c r="J3082" t="s">
        <v>2320</v>
      </c>
    </row>
    <row r="3083" spans="1:23">
      <c r="A3083">
        <v>14</v>
      </c>
      <c r="B3083">
        <v>8</v>
      </c>
      <c r="C3083">
        <v>2020</v>
      </c>
      <c r="D3083" s="3" t="str">
        <f>B3083&amp;"/"&amp;A3083&amp;"/"&amp;C3083</f>
        <v>8/14/2020</v>
      </c>
      <c r="E3083">
        <v>0.72916666666666663</v>
      </c>
      <c r="F3083" t="s">
        <f>I3083&amp;" "&amp;J3083&amp;" "&amp;K3083&amp;" "&amp;L3083&amp;" "&amp;M3083&amp;" "&amp;N3083</f>
        <v>2690</v>
      </c>
      <c r="G3083" t="s">
        <f>TEXT(D3083,"mmm dd")</f>
        <v>760</v>
      </c>
      <c r="I3083" t="s">
        <v>2223</v>
      </c>
      <c r="J3083" t="s">
        <v>2320</v>
      </c>
    </row>
    <row r="3084" spans="1:23">
      <c r="A3084">
        <v>18</v>
      </c>
      <c r="B3084">
        <v>8</v>
      </c>
      <c r="C3084">
        <v>2020</v>
      </c>
      <c r="D3084" s="3" t="s">
        <f>B3084&amp;"/"&amp;A3084&amp;"/"&amp;C3084</f>
        <v>2856</v>
      </c>
      <c r="E3084">
        <v>0.72916666666666663</v>
      </c>
      <c r="F3084" t="s">
        <f>I3084&amp;" "&amp;J3084&amp;" "&amp;K3084&amp;" "&amp;L3084&amp;" "&amp;M3084&amp;" "&amp;N3084</f>
        <v>2857</v>
      </c>
      <c r="G3084" t="s">
        <f>TEXT(D3084,"mmm dd")</f>
        <v>2041</v>
      </c>
      <c r="I3084" t="s">
        <v>2858</v>
      </c>
      <c r="J3084" t="s">
        <v>2112</v>
      </c>
    </row>
    <row r="3085" spans="1:23">
      <c r="A3085">
        <v>18</v>
      </c>
      <c r="B3085">
        <v>8</v>
      </c>
      <c r="C3085">
        <v>2020</v>
      </c>
      <c r="D3085" s="3" t="s">
        <f>B3085&amp;"/"&amp;A3085&amp;"/"&amp;C3085</f>
        <v>2856</v>
      </c>
      <c r="E3085">
        <v>0.6875</v>
      </c>
      <c r="F3085" t="str">
        <f>I3085&amp;" "&amp;J3085&amp;" "&amp;K3085&amp;" "&amp;L3085&amp;" "&amp;M3085&amp;" "&amp;N3085</f>
        <v>Zoom clericus    </v>
      </c>
      <c r="G3085" t="s">
        <f>TEXT(D3085,"mmm dd")</f>
        <v>2041</v>
      </c>
      <c r="I3085" t="s">
        <v>2712</v>
      </c>
      <c r="J3085" t="s">
        <v>1620</v>
      </c>
    </row>
    <row r="3086" spans="1:23">
      <c r="A3086">
        <v>18</v>
      </c>
      <c r="B3086">
        <v>8</v>
      </c>
      <c r="C3086">
        <v>2020</v>
      </c>
      <c r="D3086" s="3" t="s">
        <f>B3086&amp;"/"&amp;A3086&amp;"/"&amp;C3086</f>
        <v>2856</v>
      </c>
      <c r="E3086">
        <v>0.89583333333333337</v>
      </c>
      <c r="F3086" t="s">
        <f>I3086&amp;" "&amp;J3086&amp;" "&amp;K3086&amp;" "&amp;L3086&amp;" "&amp;M3086&amp;" "&amp;N3086</f>
        <v>2690</v>
      </c>
      <c r="G3086" t="s">
        <f>TEXT(D3086,"mmm dd")</f>
        <v>2041</v>
      </c>
      <c r="I3086" t="s">
        <v>2223</v>
      </c>
      <c r="J3086" t="s">
        <v>2320</v>
      </c>
    </row>
    <row r="3087" spans="1:23">
      <c r="A3087">
        <v>20</v>
      </c>
      <c r="B3087">
        <v>8</v>
      </c>
      <c r="C3087">
        <v>2020</v>
      </c>
      <c r="D3087" s="3" t="str">
        <f>B3087&amp;"/"&amp;A3087&amp;"/"&amp;C3087</f>
        <v>8/20/2020</v>
      </c>
      <c r="E3087">
        <v>0.70833333333333337</v>
      </c>
      <c r="F3087" t="s">
        <f>I3087&amp;" "&amp;J3087&amp;" "&amp;K3087&amp;" "&amp;L3087&amp;" "&amp;M3087&amp;" "&amp;N3087</f>
        <v>2645</v>
      </c>
      <c r="G3087" t="s">
        <f>TEXT(D3087,"mmm dd")</f>
        <v>812</v>
      </c>
      <c r="I3087" t="s">
        <v>2625</v>
      </c>
      <c r="J3087" t="s">
        <v>842</v>
      </c>
    </row>
    <row r="3088" spans="1:23">
      <c r="A3088">
        <v>23</v>
      </c>
      <c r="B3088">
        <v>8</v>
      </c>
      <c r="C3088">
        <v>2020</v>
      </c>
      <c r="D3088" s="3" t="str">
        <f>B3088&amp;"/"&amp;A3088&amp;"/"&amp;C3088</f>
        <v>8/23/2020</v>
      </c>
      <c r="E3088">
        <v>0.77083333333333337</v>
      </c>
      <c r="F3088" t="s">
        <f>I3088&amp;" "&amp;J3088&amp;" "&amp;K3088&amp;" "&amp;L3088&amp;" "&amp;M3088&amp;" "&amp;N3088</f>
        <v>2690</v>
      </c>
      <c r="G3088" t="s">
        <f>TEXT(D3088,"mmm dd")</f>
        <v>828</v>
      </c>
      <c r="I3088" t="s">
        <v>2223</v>
      </c>
      <c r="J3088" t="s">
        <v>2320</v>
      </c>
    </row>
    <row r="3089" spans="1:23">
      <c r="A3089">
        <v>24</v>
      </c>
      <c r="B3089">
        <v>8</v>
      </c>
      <c r="C3089">
        <v>2020</v>
      </c>
      <c r="D3089" s="3" t="s">
        <f>B3089&amp;"/"&amp;A3089&amp;"/"&amp;C3089</f>
        <v>2859</v>
      </c>
      <c r="E3089" t="s">
        <v>42</v>
      </c>
      <c r="F3089" t="str">
        <f>I3089&amp;" "&amp;J3089&amp;" "&amp;K3089&amp;" "&amp;L3089&amp;" "&amp;M3089&amp;" "&amp;N3089</f>
        <v>Old WU opening class  </v>
      </c>
      <c r="G3089" t="s">
        <f>TEXT(D3089,"mmm dd")</f>
        <v>1372</v>
      </c>
      <c r="I3089" t="inlineStr">
        <is>
          <t>Old</t>
        </is>
      </c>
      <c r="J3089" t="s">
        <v>2641</v>
      </c>
      <c r="K3089" t="inlineStr">
        <is>
          <t>opening</t>
        </is>
      </c>
      <c r="L3089" t="s">
        <v>857</v>
      </c>
    </row>
    <row r="3090" spans="1:23">
      <c r="A3090">
        <v>24</v>
      </c>
      <c r="B3090">
        <v>8</v>
      </c>
      <c r="C3090">
        <v>2020</v>
      </c>
      <c r="D3090" s="3" t="s">
        <f>B3090&amp;"/"&amp;A3090&amp;"/"&amp;C3090</f>
        <v>2859</v>
      </c>
      <c r="E3090">
        <v>0.8125</v>
      </c>
      <c r="F3090" t="str">
        <f>I3090&amp;" "&amp;J3090&amp;" "&amp;K3090&amp;" "&amp;L3090&amp;" "&amp;M3090&amp;" "&amp;N3090</f>
        <v>HR re passport   </v>
      </c>
      <c r="G3090" t="s">
        <f>TEXT(D3090,"mmm dd")</f>
        <v>1372</v>
      </c>
      <c r="I3090" t="s">
        <v>2551</v>
      </c>
      <c r="J3090" t="s">
        <v>594</v>
      </c>
      <c r="K3090" t="inlineStr">
        <is>
          <t>passport</t>
        </is>
      </c>
    </row>
    <row r="3091" spans="1:23">
      <c r="A3091">
        <v>26</v>
      </c>
      <c r="B3091">
        <v>8</v>
      </c>
      <c r="C3091">
        <v>2020</v>
      </c>
      <c r="D3091" s="3" t="str">
        <f>B3091&amp;"/"&amp;A3091&amp;"/"&amp;C3091</f>
        <v>8/26/2020</v>
      </c>
      <c r="E3091">
        <v>0.69791666666666663</v>
      </c>
      <c r="F3091" t="s">
        <f>I3091&amp;" "&amp;J3091&amp;" "&amp;K3091&amp;" "&amp;L3091&amp;" "&amp;M3091&amp;" "&amp;N3091</f>
        <v>2782</v>
      </c>
      <c r="G3091" t="s">
        <f>TEXT(D3091,"mmm dd")</f>
        <v>837</v>
      </c>
      <c r="I3091" t="s">
        <v>2783</v>
      </c>
    </row>
    <row r="3092" spans="1:23">
      <c r="A3092">
        <v>27</v>
      </c>
      <c r="B3092">
        <v>8</v>
      </c>
      <c r="C3092">
        <v>2020</v>
      </c>
      <c r="D3092" s="3" t="str">
        <f>B3092&amp;"/"&amp;A3092&amp;"/"&amp;C3092</f>
        <v>8/27/2020</v>
      </c>
      <c r="E3092">
        <v>0.625</v>
      </c>
      <c r="F3092" t="str">
        <f>I3092&amp;" "&amp;J3092&amp;" "&amp;K3092&amp;" "&amp;L3092&amp;" "&amp;M3092&amp;" "&amp;N3092</f>
        <v>Dr. Chad Matthews periodontist  </v>
      </c>
      <c r="G3092" t="s">
        <f>TEXT(D3092,"mmm dd")</f>
        <v>1374</v>
      </c>
      <c r="I3092" t="s">
        <v>847</v>
      </c>
      <c r="J3092" t="s">
        <v>2778</v>
      </c>
      <c r="K3092" t="s">
        <v>2513</v>
      </c>
      <c r="L3092" t="s">
        <v>2510</v>
      </c>
    </row>
    <row r="3093" spans="1:23">
      <c r="A3093">
        <v>28</v>
      </c>
      <c r="B3093">
        <v>8</v>
      </c>
      <c r="C3093">
        <v>2020</v>
      </c>
      <c r="D3093" s="3" t="str">
        <f>B3093&amp;"/"&amp;A3093&amp;"/"&amp;C3093</f>
        <v>8/28/2020</v>
      </c>
      <c r="E3093">
        <v>0.27083333333333331</v>
      </c>
      <c r="F3093" t="s">
        <f>I3093&amp;" "&amp;J3093&amp;" "&amp;K3093&amp;" "&amp;L3093&amp;" "&amp;M3093&amp;" "&amp;N3093</f>
        <v>2690</v>
      </c>
      <c r="G3093" t="s">
        <f>TEXT(D3093,"mmm dd")</f>
        <v>1375</v>
      </c>
      <c r="I3093" t="s">
        <v>2223</v>
      </c>
      <c r="J3093" t="s">
        <v>2320</v>
      </c>
    </row>
    <row r="3094" spans="1:23">
      <c r="A3094">
        <v>1</v>
      </c>
      <c r="B3094">
        <v>9</v>
      </c>
      <c r="C3094">
        <v>2020</v>
      </c>
      <c r="D3094" s="3" t="s">
        <f>B3094&amp;"/"&amp;A3094&amp;"/"&amp;C3094</f>
        <v>2860</v>
      </c>
      <c r="E3094">
        <v>0.97916666666666663</v>
      </c>
      <c r="F3094" t="s">
        <f>I3094&amp;" "&amp;J3094&amp;" "&amp;K3094&amp;" "&amp;L3094&amp;" "&amp;M3094&amp;" "&amp;N3094</f>
        <v>2690</v>
      </c>
      <c r="G3094" t="s">
        <f>TEXT(D3094,"mmm dd")</f>
        <v>2065</v>
      </c>
      <c r="I3094" t="s">
        <v>2223</v>
      </c>
      <c r="J3094" t="s">
        <v>2320</v>
      </c>
    </row>
    <row r="3095" spans="1:23">
      <c r="A3095">
        <v>1</v>
      </c>
      <c r="B3095">
        <v>9</v>
      </c>
      <c r="C3095">
        <v>2020</v>
      </c>
      <c r="D3095" s="3" t="s">
        <f>B3095&amp;"/"&amp;A3095&amp;"/"&amp;C3095</f>
        <v>2860</v>
      </c>
      <c r="E3095">
        <v>0.91666666666666663</v>
      </c>
      <c r="F3095" t="str">
        <f>I3095&amp;" "&amp;J3095&amp;" "&amp;K3095&amp;" "&amp;L3095&amp;" "&amp;M3095&amp;" "&amp;N3095</f>
        <v>Emily and Winthrop University  </v>
      </c>
      <c r="G3095" t="s">
        <f>TEXT(D3095,"mmm dd")</f>
        <v>2065</v>
      </c>
      <c r="I3095" t="inlineStr">
        <is>
          <t>Emily</t>
        </is>
      </c>
      <c r="J3095" t="s">
        <v>135</v>
      </c>
      <c r="K3095" t="s">
        <v>2444</v>
      </c>
      <c r="L3095" t="s">
        <v>2445</v>
      </c>
    </row>
    <row r="3096" spans="1:23">
      <c r="A3096">
        <v>2</v>
      </c>
      <c r="B3096">
        <v>9</v>
      </c>
      <c r="C3096">
        <v>2020</v>
      </c>
      <c r="D3096" s="3" t="str">
        <f>B3096&amp;"/"&amp;A3096&amp;"/"&amp;C3096</f>
        <v>9/2/2020</v>
      </c>
      <c r="E3096">
        <v>0.70833333333333337</v>
      </c>
      <c r="F3096" t="str">
        <f>I3096&amp;" "&amp;J3096&amp;" "&amp;K3096&amp;" "&amp;L3096&amp;" "&amp;M3096&amp;" "&amp;N3096</f>
        <v>RELG 101 Zoom Meeting  </v>
      </c>
      <c r="G3096" t="s">
        <f>TEXT(D3096,"mmm dd")</f>
        <v>1376</v>
      </c>
      <c r="I3096" t="s">
        <v>2357</v>
      </c>
      <c r="J3096">
        <v>101</v>
      </c>
      <c r="K3096" t="s">
        <v>2712</v>
      </c>
      <c r="L3096" t="s">
        <v>898</v>
      </c>
    </row>
    <row r="3097" spans="1:23">
      <c r="A3097">
        <v>3</v>
      </c>
      <c r="B3097">
        <v>9</v>
      </c>
      <c r="C3097">
        <v>2020</v>
      </c>
      <c r="D3097" s="3" t="str">
        <f>B3097&amp;"/"&amp;A3097&amp;"/"&amp;C3097</f>
        <v>9/3/2020</v>
      </c>
      <c r="E3097">
        <v>0.79166666666666663</v>
      </c>
      <c r="F3097" t="s">
        <f>I3097&amp;" "&amp;J3097&amp;" "&amp;K3097&amp;" "&amp;L3097&amp;" "&amp;M3097&amp;" "&amp;N3097</f>
        <v>2861</v>
      </c>
      <c r="G3097" t="s">
        <f>TEXT(D3097,"mmm dd")</f>
        <v>850</v>
      </c>
      <c r="I3097" t="s">
        <v>2862</v>
      </c>
      <c r="J3097" t="s">
        <v>2863</v>
      </c>
    </row>
    <row r="3098" spans="1:23">
      <c r="A3098">
        <v>6</v>
      </c>
      <c r="B3098">
        <v>9</v>
      </c>
      <c r="C3098">
        <v>2020</v>
      </c>
      <c r="D3098" s="3" t="s">
        <f>B3098&amp;"/"&amp;A3098&amp;"/"&amp;C3098</f>
        <v>2864</v>
      </c>
      <c r="E3098">
        <v>0.6875</v>
      </c>
      <c r="F3098" t="str">
        <f>I3098&amp;" "&amp;J3098&amp;" "&amp;K3098&amp;" "&amp;L3098&amp;" "&amp;M3098&amp;" "&amp;N3098</f>
        <v>Supply at Our Saviour  </v>
      </c>
      <c r="G3098" t="s">
        <f>TEXT(D3098,"mmm dd")</f>
        <v>860</v>
      </c>
      <c r="I3098" t="s">
        <v>2468</v>
      </c>
      <c r="J3098" t="s">
        <v>53</v>
      </c>
      <c r="K3098" t="s">
        <v>2119</v>
      </c>
      <c r="L3098" t="s">
        <v>2756</v>
      </c>
    </row>
    <row r="3099" spans="1:23">
      <c r="A3099">
        <v>6</v>
      </c>
      <c r="B3099">
        <v>9</v>
      </c>
      <c r="C3099">
        <v>2020</v>
      </c>
      <c r="D3099" s="3" t="s">
        <f>B3099&amp;"/"&amp;A3099&amp;"/"&amp;C3099</f>
        <v>2864</v>
      </c>
      <c r="E3099">
        <v>0.72916666666666663</v>
      </c>
      <c r="F3099" t="s">
        <f>I3099&amp;" "&amp;J3099&amp;" "&amp;K3099&amp;" "&amp;L3099&amp;" "&amp;M3099&amp;" "&amp;N3099</f>
        <v>2690</v>
      </c>
      <c r="G3099" t="s">
        <f>TEXT(D3099,"mmm dd")</f>
        <v>860</v>
      </c>
      <c r="I3099" t="s">
        <v>2223</v>
      </c>
      <c r="J3099" t="s">
        <v>2320</v>
      </c>
    </row>
    <row r="3100" spans="1:23">
      <c r="A3100">
        <v>10</v>
      </c>
      <c r="B3100">
        <v>9</v>
      </c>
      <c r="C3100">
        <v>2020</v>
      </c>
      <c r="D3100" s="3" t="str">
        <f>B3100&amp;"/"&amp;A3100&amp;"/"&amp;C3100</f>
        <v>9/10/2020</v>
      </c>
      <c r="E3100">
        <v>0.77083333333333337</v>
      </c>
      <c r="F3100" t="s">
        <f>I3100&amp;" "&amp;J3100&amp;" "&amp;K3100&amp;" "&amp;L3100&amp;" "&amp;M3100&amp;" "&amp;N3100</f>
        <v>2865</v>
      </c>
      <c r="G3100" t="s">
        <f>TEXT(D3100,"mmm dd")</f>
        <v>1382</v>
      </c>
      <c r="I3100" t="s">
        <v>2372</v>
      </c>
      <c r="J3100" t="s">
        <v>2866</v>
      </c>
      <c r="K3100" t="s">
        <v>1736</v>
      </c>
    </row>
    <row r="3101" spans="1:23">
      <c r="A3101">
        <v>11</v>
      </c>
      <c r="B3101">
        <v>9</v>
      </c>
      <c r="C3101">
        <v>2020</v>
      </c>
      <c r="D3101" s="3" t="str">
        <f>B3101&amp;"/"&amp;A3101&amp;"/"&amp;C3101</f>
        <v>9/11/2020</v>
      </c>
      <c r="E3101">
        <v>0.22916666666666666</v>
      </c>
      <c r="F3101" t="s">
        <f>I3101&amp;" "&amp;J3101&amp;" "&amp;K3101&amp;" "&amp;L3101&amp;" "&amp;M3101&amp;" "&amp;N3101</f>
        <v>2690</v>
      </c>
      <c r="G3101" t="s">
        <f>TEXT(D3101,"mmm dd")</f>
        <v>1383</v>
      </c>
      <c r="I3101" t="s">
        <v>2223</v>
      </c>
      <c r="J3101" t="s">
        <v>2320</v>
      </c>
    </row>
    <row r="3102" spans="1:23">
      <c r="A3102">
        <v>15</v>
      </c>
      <c r="B3102">
        <v>9</v>
      </c>
      <c r="C3102">
        <v>2020</v>
      </c>
      <c r="D3102" s="3" t="str">
        <f>B3102&amp;"/"&amp;A3102&amp;"/"&amp;C3102</f>
        <v>9/15/2020</v>
      </c>
      <c r="E3102">
        <v>0.64583333333333337</v>
      </c>
      <c r="F3102" t="s">
        <f>I3102&amp;" "&amp;J3102&amp;" "&amp;K3102&amp;" "&amp;L3102&amp;" "&amp;M3102&amp;" "&amp;N3102</f>
        <v>2867</v>
      </c>
      <c r="G3102" t="s">
        <f>TEXT(D3102,"mmm dd")</f>
        <v>1391</v>
      </c>
      <c r="I3102" t="s">
        <v>585</v>
      </c>
      <c r="J3102" t="s">
        <v>2868</v>
      </c>
      <c r="L3102" t="s">
        <v>2713</v>
      </c>
    </row>
    <row r="3103" spans="1:23">
      <c r="A3103">
        <v>29</v>
      </c>
      <c r="B3103">
        <v>9</v>
      </c>
      <c r="C3103">
        <v>2020</v>
      </c>
      <c r="D3103" s="3" t="str">
        <f>B3103&amp;"/"&amp;A3103&amp;"/"&amp;C3103</f>
        <v>9/29/2020</v>
      </c>
      <c r="E3103">
        <v>0.6875</v>
      </c>
      <c r="F3103" t="s">
        <f>I3103&amp;" "&amp;J3103&amp;" "&amp;K3103&amp;" "&amp;L3103&amp;" "&amp;M3103&amp;" "&amp;N3103</f>
        <v>2844</v>
      </c>
      <c r="G3103" t="s">
        <f>TEXT(D3103,"mmm dd")</f>
        <v>1771</v>
      </c>
      <c r="I3103" t="s">
        <v>1409</v>
      </c>
      <c r="J3103" t="s">
        <v>2712</v>
      </c>
      <c r="K3103" t="s">
        <v>2845</v>
      </c>
      <c r="O3103" t="inlineStr">
        <is>
          <t>HMSA)</t>
        </is>
      </c>
    </row>
    <row r="3104" spans="1:23">
      <c r="A3104">
        <v>1</v>
      </c>
      <c r="B3104">
        <v>10</v>
      </c>
      <c r="C3104">
        <v>2020</v>
      </c>
      <c r="D3104" s="3" t="str">
        <f>B3104&amp;"/"&amp;A3104&amp;"/"&amp;C3104</f>
        <v>10/1/2020</v>
      </c>
      <c r="E3104">
        <v>0.77083333333333337</v>
      </c>
      <c r="F3104" t="str">
        <f>I3104&amp;" "&amp;J3104&amp;" "&amp;K3104&amp;" "&amp;L3104&amp;" "&amp;M3104&amp;" "&amp;N3104</f>
        <v>Charles and Winthrop University  </v>
      </c>
      <c r="G3104" t="s">
        <f>TEXT(D3104,"mmm dd")</f>
        <v>2099</v>
      </c>
      <c r="I3104" t="s">
        <v>1874</v>
      </c>
      <c r="J3104" t="s">
        <v>135</v>
      </c>
      <c r="K3104" t="s">
        <v>2444</v>
      </c>
      <c r="L3104" t="s">
        <v>2445</v>
      </c>
    </row>
    <row r="3105" spans="1:23">
      <c r="A3105">
        <v>3</v>
      </c>
      <c r="B3105">
        <v>10</v>
      </c>
      <c r="C3105">
        <v>2020</v>
      </c>
      <c r="D3105" s="3" t="str">
        <f>B3105&amp;"/"&amp;A3105&amp;"/"&amp;C3105</f>
        <v>10/3/2020</v>
      </c>
      <c r="E3105" t="s">
        <v>42</v>
      </c>
      <c r="F3105" t="s">
        <f>I3105&amp;" "&amp;J3105&amp;" "&amp;K3105&amp;" "&amp;L3105&amp;" "&amp;M3105&amp;" "&amp;N3105</f>
        <v>2661</v>
      </c>
      <c r="G3105" t="s">
        <f>TEXT(D3105,"mmm dd")</f>
        <v>920</v>
      </c>
      <c r="I3105" t="s">
        <v>2527</v>
      </c>
      <c r="J3105" t="s">
        <v>2641</v>
      </c>
      <c r="K3105" t="s">
        <v>2642</v>
      </c>
    </row>
    <row r="3106" spans="1:23">
      <c r="A3106">
        <v>5</v>
      </c>
      <c r="B3106">
        <v>10</v>
      </c>
      <c r="C3106">
        <v>2020</v>
      </c>
      <c r="D3106" s="3" t="str">
        <f>B3106&amp;"/"&amp;A3106&amp;"/"&amp;C3106</f>
        <v>10/5/2020</v>
      </c>
      <c r="E3106">
        <v>0.625</v>
      </c>
      <c r="F3106" t="str">
        <f>I3106&amp;" "&amp;J3106&amp;" "&amp;K3106&amp;" "&amp;L3106&amp;" "&amp;M3106&amp;" "&amp;N3106</f>
        <v>Erin @ Palmetto Counseling  </v>
      </c>
      <c r="G3106" t="s">
        <f>TEXT(D3106,"mmm dd")</f>
        <v>1612</v>
      </c>
      <c r="I3106" t="s">
        <v>2869</v>
      </c>
      <c r="J3106" t="s">
        <v>48</v>
      </c>
      <c r="K3106" t="s">
        <v>2715</v>
      </c>
      <c r="L3106" t="s">
        <v>1857</v>
      </c>
    </row>
    <row r="3107" spans="1:23">
      <c r="A3107">
        <v>6</v>
      </c>
      <c r="B3107">
        <v>10</v>
      </c>
      <c r="C3107">
        <v>2020</v>
      </c>
      <c r="D3107" s="3" t="s">
        <f>B3107&amp;"/"&amp;A3107&amp;"/"&amp;C3107</f>
        <v>2870</v>
      </c>
      <c r="E3107">
        <v>0.75</v>
      </c>
      <c r="F3107" t="str">
        <f>I3107&amp;" "&amp;J3107&amp;" "&amp;K3107&amp;" "&amp;L3107&amp;" "&amp;M3107&amp;" "&amp;N3107</f>
        <v>Amy &amp; Patch   </v>
      </c>
      <c r="G3107" t="s">
        <f>TEXT(D3107,"mmm dd")</f>
        <v>1615</v>
      </c>
      <c r="I3107" t="s">
        <v>1310</v>
      </c>
      <c r="J3107" t="s">
        <v>73</v>
      </c>
      <c r="K3107" t="s">
        <v>2623</v>
      </c>
    </row>
    <row r="3108" spans="1:23">
      <c r="A3108">
        <v>6</v>
      </c>
      <c r="B3108">
        <v>10</v>
      </c>
      <c r="C3108">
        <v>2020</v>
      </c>
      <c r="D3108" s="3" t="s">
        <f>B3108&amp;"/"&amp;A3108&amp;"/"&amp;C3108</f>
        <v>2870</v>
      </c>
      <c r="E3108">
        <v>0.52083333333333337</v>
      </c>
      <c r="F3108" t="s">
        <f>I3108&amp;" "&amp;J3108&amp;" "&amp;K3108&amp;" "&amp;L3108&amp;" "&amp;M3108&amp;" "&amp;N3108</f>
        <v>2114</v>
      </c>
      <c r="G3108" t="s">
        <f>TEXT(D3108,"mmm dd")</f>
        <v>1615</v>
      </c>
      <c r="I3108" t="s">
        <v>2115</v>
      </c>
      <c r="J3108" t="s">
        <v>319</v>
      </c>
    </row>
    <row r="3109" spans="1:23">
      <c r="A3109">
        <v>7</v>
      </c>
      <c r="B3109">
        <v>10</v>
      </c>
      <c r="C3109">
        <v>2020</v>
      </c>
      <c r="D3109" s="3" t="s">
        <f>B3109&amp;"/"&amp;A3109&amp;"/"&amp;C3109</f>
        <v>2871</v>
      </c>
      <c r="E3109">
        <v>0.72916666666666663</v>
      </c>
      <c r="F3109" t="str">
        <f>I3109&amp;" "&amp;J3109&amp;" "&amp;K3109&amp;" "&amp;L3109&amp;" "&amp;M3109&amp;" "&amp;N3109</f>
        <v>Jakeem for 101   </v>
      </c>
      <c r="G3109" t="s">
        <f>TEXT(D3109,"mmm dd")</f>
        <v>1399</v>
      </c>
      <c r="I3109" t="inlineStr">
        <is>
          <t>Jakeem</t>
        </is>
      </c>
      <c r="J3109" t="s">
        <v>439</v>
      </c>
      <c r="K3109">
        <v>101</v>
      </c>
    </row>
    <row r="3110" spans="1:23">
      <c r="A3110">
        <v>7</v>
      </c>
      <c r="B3110">
        <v>10</v>
      </c>
      <c r="C3110">
        <v>2020</v>
      </c>
      <c r="D3110" s="3" t="s">
        <f>B3110&amp;"/"&amp;A3110&amp;"/"&amp;C3110</f>
        <v>2871</v>
      </c>
      <c r="E3110">
        <v>0.72916666666666663</v>
      </c>
      <c r="F3110" t="str">
        <f>I3110&amp;" "&amp;J3110&amp;" "&amp;K3110&amp;" "&amp;L3110&amp;" "&amp;M3110&amp;" "&amp;N3110</f>
        <v>Jhakeem meeting    </v>
      </c>
      <c r="G3110" t="s">
        <f>TEXT(D3110,"mmm dd")</f>
        <v>1399</v>
      </c>
      <c r="I3110" t="inlineStr">
        <is>
          <t>Jhakeem</t>
        </is>
      </c>
      <c r="J3110" t="s">
        <v>842</v>
      </c>
    </row>
    <row r="3111" spans="1:23">
      <c r="A3111">
        <v>8</v>
      </c>
      <c r="B3111">
        <v>10</v>
      </c>
      <c r="C3111">
        <v>2020</v>
      </c>
      <c r="D3111" s="3" t="str">
        <f>B3111&amp;"/"&amp;A3111&amp;"/"&amp;C3111</f>
        <v>10/8/2020</v>
      </c>
      <c r="E3111">
        <v>0.75</v>
      </c>
      <c r="F3111" t="s">
        <f>I3111&amp;" "&amp;J3111&amp;" "&amp;K3111&amp;" "&amp;L3111&amp;" "&amp;M3111&amp;" "&amp;N3111</f>
        <v>2865</v>
      </c>
      <c r="G3111" t="s">
        <f>TEXT(D3111,"mmm dd")</f>
        <v>1617</v>
      </c>
      <c r="I3111" t="s">
        <v>2372</v>
      </c>
      <c r="J3111" t="s">
        <v>2866</v>
      </c>
      <c r="K3111" t="s">
        <v>1736</v>
      </c>
    </row>
    <row r="3112" spans="1:23">
      <c r="A3112">
        <v>13</v>
      </c>
      <c r="B3112">
        <v>10</v>
      </c>
      <c r="C3112">
        <v>2020</v>
      </c>
      <c r="D3112" s="3" t="str">
        <f>B3112&amp;"/"&amp;A3112&amp;"/"&amp;C3112</f>
        <v>10/13/2020</v>
      </c>
      <c r="E3112">
        <v>0.6875</v>
      </c>
      <c r="F3112" t="s">
        <f>I3112&amp;" "&amp;J3112&amp;" "&amp;K3112&amp;" "&amp;L3112&amp;" "&amp;M3112&amp;" "&amp;N3112</f>
        <v>2802</v>
      </c>
      <c r="G3112" t="s">
        <f>TEXT(D3112,"mmm dd")</f>
        <v>1775</v>
      </c>
      <c r="I3112" t="s">
        <v>1370</v>
      </c>
      <c r="J3112" t="s">
        <v>427</v>
      </c>
    </row>
    <row r="3113" spans="1:23">
      <c r="A3113">
        <v>15</v>
      </c>
      <c r="B3113">
        <v>10</v>
      </c>
      <c r="C3113">
        <v>2020</v>
      </c>
      <c r="D3113" s="3" t="str">
        <f>B3113&amp;"/"&amp;A3113&amp;"/"&amp;C3113</f>
        <v>10/15/2020</v>
      </c>
      <c r="E3113">
        <v>0.6875</v>
      </c>
      <c r="F3113" t="s">
        <f>I3113&amp;" "&amp;J3113&amp;" "&amp;K3113&amp;" "&amp;L3113&amp;" "&amp;M3113&amp;" "&amp;N3113</f>
        <v>2867</v>
      </c>
      <c r="G3113" t="s">
        <f>TEXT(D3113,"mmm dd")</f>
        <v>942</v>
      </c>
      <c r="I3113" t="s">
        <v>585</v>
      </c>
      <c r="J3113" t="s">
        <v>2868</v>
      </c>
      <c r="L3113" t="s">
        <v>2713</v>
      </c>
    </row>
    <row r="3114" spans="1:23">
      <c r="A3114">
        <v>19</v>
      </c>
      <c r="B3114">
        <v>10</v>
      </c>
      <c r="C3114">
        <v>2020</v>
      </c>
      <c r="D3114" s="3" t="str">
        <f>B3114&amp;"/"&amp;A3114&amp;"/"&amp;C3114</f>
        <v>10/19/2020</v>
      </c>
      <c r="E3114">
        <v>0.85416666666666663</v>
      </c>
      <c r="F3114" t="s">
        <f>I3114&amp;" "&amp;J3114&amp;" "&amp;K3114&amp;" "&amp;L3114&amp;" "&amp;M3114&amp;" "&amp;N3114</f>
        <v>2690</v>
      </c>
      <c r="G3114" t="s">
        <f>TEXT(D3114,"mmm dd")</f>
        <v>1626</v>
      </c>
      <c r="I3114" t="s">
        <v>2223</v>
      </c>
      <c r="J3114" t="s">
        <v>2320</v>
      </c>
    </row>
    <row r="3115" spans="1:23">
      <c r="A3115">
        <v>20</v>
      </c>
      <c r="B3115">
        <v>10</v>
      </c>
      <c r="C3115">
        <v>2020</v>
      </c>
      <c r="D3115" s="3" t="str">
        <f>B3115&amp;"/"&amp;A3115&amp;"/"&amp;C3115</f>
        <v>10/20/2020</v>
      </c>
      <c r="E3115">
        <v>0.45833333333333331</v>
      </c>
      <c r="F3115" t="s">
        <f>I3115&amp;" "&amp;J3115&amp;" "&amp;K3115&amp;" "&amp;L3115&amp;" "&amp;M3115&amp;" "&amp;N3115</f>
        <v>2127</v>
      </c>
      <c r="G3115" t="s">
        <f>TEXT(D3115,"mmm dd")</f>
        <v>1408</v>
      </c>
      <c r="I3115" t="s">
        <v>1707</v>
      </c>
      <c r="J3115" t="s">
        <v>1770</v>
      </c>
      <c r="K3115" t="s">
        <v>319</v>
      </c>
    </row>
    <row r="3116" spans="1:23">
      <c r="A3116">
        <v>24</v>
      </c>
      <c r="B3116">
        <v>10</v>
      </c>
      <c r="C3116">
        <v>2020</v>
      </c>
      <c r="D3116" s="3" t="s">
        <f>B3116&amp;"/"&amp;A3116&amp;"/"&amp;C3116</f>
        <v>2872</v>
      </c>
      <c r="E3116">
        <v>0.90625</v>
      </c>
      <c r="F3116" t="str">
        <f>I3116&amp;" "&amp;J3116&amp;" "&amp;K3116&amp;" "&amp;L3116&amp;" "&amp;M3116&amp;" "&amp;N3116</f>
        <v>CONVENTION 52    </v>
      </c>
      <c r="G3116" t="s">
        <f>TEXT(D3116,"mmm dd")</f>
        <v>956</v>
      </c>
      <c r="I3116" t="inlineStr">
        <is>
          <t>CONVENTION</t>
        </is>
      </c>
      <c r="J3116">
        <v>52</v>
      </c>
    </row>
    <row r="3117" spans="1:23">
      <c r="A3117">
        <v>24</v>
      </c>
      <c r="B3117">
        <v>10</v>
      </c>
      <c r="C3117">
        <v>2020</v>
      </c>
      <c r="D3117" s="3" t="s">
        <f>B3117&amp;"/"&amp;A3117&amp;"/"&amp;C3117</f>
        <v>2872</v>
      </c>
      <c r="E3117">
        <v>0.75347222222222221</v>
      </c>
      <c r="F3117" t="s">
        <f>I3117&amp;" "&amp;J3117&amp;" "&amp;K3117&amp;" "&amp;L3117&amp;" "&amp;M3117&amp;" "&amp;N3117</f>
        <v>2690</v>
      </c>
      <c r="G3117" t="s">
        <f>TEXT(D3117,"mmm dd")</f>
        <v>956</v>
      </c>
      <c r="I3117" t="s">
        <v>2223</v>
      </c>
      <c r="J3117" t="s">
        <v>2320</v>
      </c>
    </row>
    <row r="3118" spans="1:23">
      <c r="A3118">
        <v>27</v>
      </c>
      <c r="B3118">
        <v>10</v>
      </c>
      <c r="C3118">
        <v>2020</v>
      </c>
      <c r="D3118" s="3" t="str">
        <f>B3118&amp;"/"&amp;A3118&amp;"/"&amp;C3118</f>
        <v>10/27/2020</v>
      </c>
      <c r="E3118">
        <v>0.6875</v>
      </c>
      <c r="F3118" t="s">
        <f>I3118&amp;" "&amp;J3118&amp;" "&amp;K3118&amp;" "&amp;L3118&amp;" "&amp;M3118&amp;" "&amp;N3118</f>
        <v>2427</v>
      </c>
      <c r="G3118" t="s">
        <f>TEXT(D3118,"mmm dd")</f>
        <v>1781</v>
      </c>
      <c r="I3118" t="s">
        <v>1409</v>
      </c>
    </row>
    <row r="3119" spans="1:23">
      <c r="A3119">
        <v>28</v>
      </c>
      <c r="B3119">
        <v>10</v>
      </c>
      <c r="C3119">
        <v>2020</v>
      </c>
      <c r="D3119" s="3" t="str">
        <f>B3119&amp;"/"&amp;A3119&amp;"/"&amp;C3119</f>
        <v>10/28/2020</v>
      </c>
      <c r="E3119">
        <v>1.0868055555555556</v>
      </c>
      <c r="F3119" t="s">
        <f>I3119&amp;" "&amp;J3119&amp;" "&amp;K3119&amp;" "&amp;L3119&amp;" "&amp;M3119&amp;" "&amp;N3119</f>
        <v>2690</v>
      </c>
      <c r="G3119" t="s">
        <f>TEXT(D3119,"mmm dd")</f>
        <v>959</v>
      </c>
      <c r="I3119" t="s">
        <v>2223</v>
      </c>
      <c r="J3119" t="s">
        <v>2320</v>
      </c>
    </row>
    <row r="3120" spans="1:23">
      <c r="A3120">
        <v>29</v>
      </c>
      <c r="B3120">
        <v>10</v>
      </c>
      <c r="C3120">
        <v>2020</v>
      </c>
      <c r="D3120" s="3" t="str">
        <f>B3120&amp;"/"&amp;A3120&amp;"/"&amp;C3120</f>
        <v>10/29/2020</v>
      </c>
      <c r="E3120">
        <v>0.77083333333333337</v>
      </c>
      <c r="F3120" t="str">
        <f>I3120&amp;" "&amp;J3120&amp;" "&amp;K3120&amp;" "&amp;L3120&amp;" "&amp;M3120&amp;" "&amp;N3120</f>
        <v>Erin at    </v>
      </c>
      <c r="G3120" t="s">
        <f>TEXT(D3120,"mmm dd")</f>
        <v>962</v>
      </c>
      <c r="I3120" t="s">
        <v>2869</v>
      </c>
      <c r="J3120" t="s">
        <v>53</v>
      </c>
    </row>
    <row r="3121" spans="1:23">
      <c r="A3121">
        <v>2</v>
      </c>
      <c r="B3121">
        <v>11</v>
      </c>
      <c r="C3121">
        <v>2020</v>
      </c>
      <c r="D3121" s="3" t="str">
        <f>B3121&amp;"/"&amp;A3121&amp;"/"&amp;C3121</f>
        <v>11/2/2020</v>
      </c>
      <c r="E3121">
        <v>0.92708333333333337</v>
      </c>
      <c r="F3121" t="s">
        <f>I3121&amp;" "&amp;J3121&amp;" "&amp;K3121&amp;" "&amp;L3121&amp;" "&amp;M3121&amp;" "&amp;N3121</f>
        <v>2690</v>
      </c>
      <c r="G3121" t="s">
        <f>TEXT(D3121,"mmm dd")</f>
        <v>32</v>
      </c>
      <c r="I3121" t="s">
        <v>2223</v>
      </c>
      <c r="J3121" t="s">
        <v>2320</v>
      </c>
    </row>
    <row r="3122" spans="1:23">
      <c r="A3122">
        <v>3</v>
      </c>
      <c r="B3122">
        <v>11</v>
      </c>
      <c r="C3122">
        <v>2020</v>
      </c>
      <c r="D3122" s="3" t="str">
        <f>B3122&amp;"/"&amp;A3122&amp;"/"&amp;C3122</f>
        <v>11/3/2020</v>
      </c>
      <c r="E3122">
        <v>0.45833333333333331</v>
      </c>
      <c r="F3122" t="s">
        <f>I3122&amp;" "&amp;J3122&amp;" "&amp;K3122&amp;" "&amp;L3122&amp;" "&amp;M3122&amp;" "&amp;N3122</f>
        <v>2463</v>
      </c>
      <c r="G3122" t="s">
        <f>TEXT(D3122,"mmm dd")</f>
        <v>33</v>
      </c>
      <c r="I3122" t="s">
        <v>2464</v>
      </c>
      <c r="J3122" t="s">
        <v>2465</v>
      </c>
      <c r="K3122" t="s">
        <v>319</v>
      </c>
    </row>
    <row r="3123" spans="1:23">
      <c r="A3123">
        <v>5</v>
      </c>
      <c r="B3123">
        <v>11</v>
      </c>
      <c r="C3123">
        <v>2020</v>
      </c>
      <c r="D3123" s="3" t="str">
        <f>B3123&amp;"/"&amp;A3123&amp;"/"&amp;C3123</f>
        <v>11/5/2020</v>
      </c>
      <c r="E3123">
        <v>0.8125</v>
      </c>
      <c r="F3123" t="s">
        <f>I3123&amp;" "&amp;J3123&amp;" "&amp;K3123&amp;" "&amp;L3123&amp;" "&amp;M3123&amp;" "&amp;N3123</f>
        <v>2865</v>
      </c>
      <c r="G3123" t="s">
        <f>TEXT(D3123,"mmm dd")</f>
        <v>35</v>
      </c>
      <c r="I3123" t="s">
        <v>2372</v>
      </c>
      <c r="J3123" t="s">
        <v>2866</v>
      </c>
      <c r="K3123" t="s">
        <v>1736</v>
      </c>
    </row>
    <row r="3124" spans="1:23">
      <c r="A3124">
        <v>6</v>
      </c>
      <c r="B3124">
        <v>11</v>
      </c>
      <c r="C3124">
        <v>2020</v>
      </c>
      <c r="D3124" s="3" t="str">
        <f>B3124&amp;"/"&amp;A3124&amp;"/"&amp;C3124</f>
        <v>11/6/2020</v>
      </c>
      <c r="E3124">
        <v>0.97916666666666663</v>
      </c>
      <c r="F3124" t="str">
        <f>I3124&amp;" "&amp;J3124&amp;" "&amp;K3124&amp;" "&amp;L3124&amp;" "&amp;M3124&amp;" "&amp;N3124</f>
        <v>Gwen &amp; Gracie Meeting  </v>
      </c>
      <c r="G3124" t="s">
        <f>TEXT(D3124,"mmm dd")</f>
        <v>1645</v>
      </c>
      <c r="I3124" t="inlineStr">
        <is>
          <t>Gwen</t>
        </is>
      </c>
      <c r="J3124" t="s">
        <v>73</v>
      </c>
      <c r="K3124" t="inlineStr">
        <is>
          <t>Gracie</t>
        </is>
      </c>
      <c r="L3124" t="s">
        <v>898</v>
      </c>
    </row>
    <row r="3125" spans="1:23">
      <c r="A3125">
        <v>7</v>
      </c>
      <c r="B3125">
        <v>11</v>
      </c>
      <c r="C3125">
        <v>2020</v>
      </c>
      <c r="D3125" s="3" t="str">
        <f>B3125&amp;"/"&amp;A3125&amp;"/"&amp;C3125</f>
        <v>11/7/2020</v>
      </c>
      <c r="E3125">
        <v>0.13541666666666666</v>
      </c>
      <c r="F3125" t="s">
        <f>I3125&amp;" "&amp;J3125&amp;" "&amp;K3125&amp;" "&amp;L3125&amp;" "&amp;M3125&amp;" "&amp;N3125</f>
        <v>2690</v>
      </c>
      <c r="G3125" t="s">
        <f>TEXT(D3125,"mmm dd")</f>
        <v>1417</v>
      </c>
      <c r="I3125" t="s">
        <v>2223</v>
      </c>
      <c r="J3125" t="s">
        <v>2320</v>
      </c>
    </row>
    <row r="3126" spans="1:23">
      <c r="A3126">
        <v>10</v>
      </c>
      <c r="B3126">
        <v>11</v>
      </c>
      <c r="C3126">
        <v>2020</v>
      </c>
      <c r="D3126" s="3" t="str">
        <f>B3126&amp;"/"&amp;A3126&amp;"/"&amp;C3126</f>
        <v>11/10/2020</v>
      </c>
      <c r="E3126">
        <v>0.89583333333333337</v>
      </c>
      <c r="F3126" t="s">
        <f>I3126&amp;" "&amp;J3126&amp;" "&amp;K3126&amp;" "&amp;L3126&amp;" "&amp;M3126&amp;" "&amp;N3126</f>
        <v>2873</v>
      </c>
      <c r="G3126" t="s">
        <f>TEXT(D3126,"mmm dd")</f>
        <v>983</v>
      </c>
      <c r="I3126" t="s">
        <v>2874</v>
      </c>
      <c r="J3126" t="s">
        <v>2238</v>
      </c>
    </row>
    <row r="3127" spans="1:23">
      <c r="A3127">
        <v>11</v>
      </c>
      <c r="B3127">
        <v>11</v>
      </c>
      <c r="C3127">
        <v>2020</v>
      </c>
      <c r="D3127" s="3" t="str">
        <f>B3127&amp;"/"&amp;A3127&amp;"/"&amp;C3127</f>
        <v>11/11/2020</v>
      </c>
      <c r="E3127">
        <v>0.71875</v>
      </c>
      <c r="F3127" t="s">
        <f>I3127&amp;" "&amp;J3127&amp;" "&amp;K3127&amp;" "&amp;L3127&amp;" "&amp;M3127&amp;" "&amp;N3127</f>
        <v>2690</v>
      </c>
      <c r="G3127" t="s">
        <f>TEXT(D3127,"mmm dd")</f>
        <v>986</v>
      </c>
      <c r="I3127" t="s">
        <v>2223</v>
      </c>
      <c r="J3127" t="s">
        <v>2320</v>
      </c>
    </row>
    <row r="3128" spans="1:23">
      <c r="A3128">
        <v>12</v>
      </c>
      <c r="B3128">
        <v>11</v>
      </c>
      <c r="C3128">
        <v>2020</v>
      </c>
      <c r="D3128" s="3" t="str">
        <f>B3128&amp;"/"&amp;A3128&amp;"/"&amp;C3128</f>
        <v>11/12/2020</v>
      </c>
      <c r="E3128">
        <v>0.79166666666666663</v>
      </c>
      <c r="F3128" t="str">
        <f>I3128&amp;" "&amp;J3128&amp;" "&amp;K3128&amp;" "&amp;L3128&amp;" "&amp;M3128&amp;" "&amp;N3128</f>
        <v>Zoom meeting with department  </v>
      </c>
      <c r="G3128" t="s">
        <f>TEXT(D3128,"mmm dd")</f>
        <v>993</v>
      </c>
      <c r="I3128" t="s">
        <v>2712</v>
      </c>
      <c r="J3128" t="s">
        <v>842</v>
      </c>
      <c r="K3128" t="s">
        <v>755</v>
      </c>
      <c r="L3128" t="s">
        <v>2610</v>
      </c>
    </row>
    <row r="3129" spans="1:23">
      <c r="A3129">
        <v>14</v>
      </c>
      <c r="B3129">
        <v>11</v>
      </c>
      <c r="C3129">
        <v>2020</v>
      </c>
      <c r="D3129" s="3" t="s">
        <f>B3129&amp;"/"&amp;A3129&amp;"/"&amp;C3129</f>
        <v>2875</v>
      </c>
      <c r="E3129" t="s">
        <v>42</v>
      </c>
      <c r="F3129" t="s">
        <f>I3129&amp;" "&amp;J3129&amp;" "&amp;K3129&amp;" "&amp;L3129&amp;" "&amp;M3129&amp;" "&amp;N3129</f>
        <v>2876</v>
      </c>
      <c r="G3129" t="s">
        <f>TEXT(D3129,"mmm dd")</f>
        <v>1007</v>
      </c>
      <c r="I3129" t="s">
        <v>170</v>
      </c>
      <c r="J3129" t="s">
        <v>2082</v>
      </c>
    </row>
    <row r="3130" spans="1:23">
      <c r="A3130">
        <v>15</v>
      </c>
      <c r="B3130">
        <v>11</v>
      </c>
      <c r="C3130">
        <v>2020</v>
      </c>
      <c r="D3130" s="3" t="str">
        <f>B3130&amp;"/"&amp;A3130&amp;"/"&amp;C3130</f>
        <v>11/15/2020</v>
      </c>
      <c r="E3130">
        <v>0.84375</v>
      </c>
      <c r="F3130" t="s">
        <f>I3130&amp;" "&amp;J3130&amp;" "&amp;K3130&amp;" "&amp;L3130&amp;" "&amp;M3130&amp;" "&amp;N3130</f>
        <v>2690</v>
      </c>
      <c r="G3130" t="s">
        <f>TEXT(D3130,"mmm dd")</f>
        <v>1012</v>
      </c>
      <c r="I3130" t="s">
        <v>2223</v>
      </c>
      <c r="J3130" t="s">
        <v>2320</v>
      </c>
    </row>
    <row r="3131" spans="1:23">
      <c r="A3131">
        <v>19</v>
      </c>
      <c r="B3131">
        <v>11</v>
      </c>
      <c r="C3131">
        <v>2020</v>
      </c>
      <c r="D3131" s="3" t="str">
        <f>B3131&amp;"/"&amp;A3131&amp;"/"&amp;C3131</f>
        <v>11/19/2020</v>
      </c>
      <c r="E3131">
        <v>1.09375</v>
      </c>
      <c r="F3131" t="s">
        <f>I3131&amp;" "&amp;J3131&amp;" "&amp;K3131&amp;" "&amp;L3131&amp;" "&amp;M3131&amp;" "&amp;N3131</f>
        <v>2690</v>
      </c>
      <c r="G3131" t="s">
        <f>TEXT(D3131,"mmm dd")</f>
        <v>1426</v>
      </c>
      <c r="I3131" t="s">
        <v>2223</v>
      </c>
      <c r="J3131" t="s">
        <v>2320</v>
      </c>
    </row>
    <row r="3132" spans="1:23">
      <c r="A3132">
        <v>20</v>
      </c>
      <c r="B3132">
        <v>11</v>
      </c>
      <c r="C3132">
        <v>2020</v>
      </c>
      <c r="D3132" s="3" t="str">
        <f>B3132&amp;"/"&amp;A3132&amp;"/"&amp;C3132</f>
        <v>11/20/2020</v>
      </c>
      <c r="E3132" t="s">
        <v>42</v>
      </c>
      <c r="F3132" t="str">
        <f>I3132&amp;" "&amp;J3132&amp;" "&amp;K3132&amp;" "&amp;L3132&amp;" "&amp;M3132&amp;" "&amp;N3132</f>
        <v>Stay at Royal Dunes Resort </v>
      </c>
      <c r="G3132" t="s">
        <f>TEXT(D3132,"mmm dd")</f>
        <v>1030</v>
      </c>
      <c r="I3132" t="s">
        <v>2398</v>
      </c>
      <c r="J3132" t="s">
        <v>53</v>
      </c>
      <c r="K3132" t="inlineStr">
        <is>
          <t>Royal</t>
        </is>
      </c>
      <c r="L3132" t="s">
        <v>2877</v>
      </c>
      <c r="M3132" t="s">
        <v>2878</v>
      </c>
    </row>
    <row r="3133" spans="1:23">
      <c r="A3133">
        <v>24</v>
      </c>
      <c r="B3133">
        <v>11</v>
      </c>
      <c r="C3133">
        <v>2020</v>
      </c>
      <c r="D3133" s="3" t="str">
        <f>B3133&amp;"/"&amp;A3133&amp;"/"&amp;C3133</f>
        <v>11/24/2020</v>
      </c>
      <c r="E3133">
        <v>0.63541666666666663</v>
      </c>
      <c r="F3133" t="s">
        <f>I3133&amp;" "&amp;J3133&amp;" "&amp;K3133&amp;" "&amp;L3133&amp;" "&amp;M3133&amp;" "&amp;N3133</f>
        <v>2690</v>
      </c>
      <c r="G3133" t="s">
        <f>TEXT(D3133,"mmm dd")</f>
        <v>1039</v>
      </c>
      <c r="I3133" t="s">
        <v>2223</v>
      </c>
      <c r="J3133" t="s">
        <v>2320</v>
      </c>
    </row>
    <row r="3134" spans="1:23">
      <c r="A3134">
        <v>25</v>
      </c>
      <c r="B3134">
        <v>11</v>
      </c>
      <c r="C3134">
        <v>2020</v>
      </c>
      <c r="D3134" s="3" t="str">
        <f>B3134&amp;"/"&amp;A3134&amp;"/"&amp;C3134</f>
        <v>11/25/2020</v>
      </c>
      <c r="E3134">
        <v>1.0208333333333333</v>
      </c>
      <c r="F3134" t="s">
        <f>I3134&amp;" "&amp;J3134&amp;" "&amp;K3134&amp;" "&amp;L3134&amp;" "&amp;M3134&amp;" "&amp;N3134</f>
        <v>2873</v>
      </c>
      <c r="G3134" t="s">
        <f>TEXT(D3134,"mmm dd")</f>
        <v>1433</v>
      </c>
      <c r="I3134" t="s">
        <v>2874</v>
      </c>
      <c r="J3134" t="s">
        <v>2238</v>
      </c>
    </row>
    <row r="3135" spans="1:23">
      <c r="A3135">
        <v>29</v>
      </c>
      <c r="B3135">
        <v>11</v>
      </c>
      <c r="C3135">
        <v>2020</v>
      </c>
      <c r="D3135" s="3" t="str">
        <f>B3135&amp;"/"&amp;A3135&amp;"/"&amp;C3135</f>
        <v>11/29/2020</v>
      </c>
      <c r="E3135">
        <v>0.13541666666666666</v>
      </c>
      <c r="F3135" t="s">
        <f>I3135&amp;" "&amp;J3135&amp;" "&amp;K3135&amp;" "&amp;L3135&amp;" "&amp;M3135&amp;" "&amp;N3135</f>
        <v>2690</v>
      </c>
      <c r="G3135" t="s">
        <f>TEXT(D3135,"mmm dd")</f>
        <v>2736</v>
      </c>
      <c r="I3135" t="s">
        <v>2223</v>
      </c>
      <c r="J3135" t="s">
        <v>2320</v>
      </c>
    </row>
    <row r="3136" spans="1:23">
      <c r="A3136">
        <v>1</v>
      </c>
      <c r="B3136">
        <v>12</v>
      </c>
      <c r="C3136">
        <v>2020</v>
      </c>
      <c r="D3136" s="3" t="s">
        <f>B3136&amp;"/"&amp;A3136&amp;"/"&amp;C3136</f>
        <v>2879</v>
      </c>
      <c r="E3136">
        <v>0.75</v>
      </c>
      <c r="F3136" t="s">
        <f>I3136&amp;" "&amp;J3136&amp;" "&amp;K3136&amp;" "&amp;L3136&amp;" "&amp;M3136&amp;" "&amp;N3136</f>
        <v>2880</v>
      </c>
      <c r="G3136" t="s">
        <f>TEXT(D3136,"mmm dd")</f>
        <v>1437</v>
      </c>
      <c r="I3136" t="s">
        <v>1791</v>
      </c>
      <c r="J3136" t="s">
        <v>2537</v>
      </c>
      <c r="K3136" t="s">
        <v>1973</v>
      </c>
      <c r="L3136" t="s">
        <v>439</v>
      </c>
      <c r="M3136" t="s">
        <v>1316</v>
      </c>
    </row>
    <row r="3137" spans="1:23">
      <c r="A3137">
        <v>1</v>
      </c>
      <c r="B3137">
        <v>12</v>
      </c>
      <c r="C3137">
        <v>2020</v>
      </c>
      <c r="D3137" s="3" t="s">
        <f>B3137&amp;"/"&amp;A3137&amp;"/"&amp;C3137</f>
        <v>2879</v>
      </c>
      <c r="E3137">
        <v>0.8125</v>
      </c>
      <c r="F3137" t="str">
        <f>I3137&amp;" "&amp;J3137&amp;" "&amp;K3137&amp;" "&amp;L3137&amp;" "&amp;M3137&amp;" "&amp;N3137</f>
        <v>Call Kia   Wednesday appt?</v>
      </c>
      <c r="G3137" t="s">
        <f>TEXT(D3137,"mmm dd")</f>
        <v>1437</v>
      </c>
      <c r="I3137" t="s">
        <v>1028</v>
      </c>
      <c r="J3137" t="s">
        <v>1370</v>
      </c>
      <c r="M3137" t="s">
        <v>1218</v>
      </c>
      <c r="N3137" t="inlineStr">
        <is>
          <t>appt?</t>
        </is>
      </c>
    </row>
    <row r="3138" spans="1:23">
      <c r="A3138">
        <v>2</v>
      </c>
      <c r="B3138">
        <v>12</v>
      </c>
      <c r="C3138">
        <v>2020</v>
      </c>
      <c r="D3138" s="3" t="str">
        <f>B3138&amp;"/"&amp;A3138&amp;"/"&amp;C3138</f>
        <v>12/2/2020</v>
      </c>
      <c r="E3138">
        <v>0.71875</v>
      </c>
      <c r="F3138" t="s">
        <f>I3138&amp;" "&amp;J3138&amp;" "&amp;K3138&amp;" "&amp;L3138&amp;" "&amp;M3138&amp;" "&amp;N3138</f>
        <v>2690</v>
      </c>
      <c r="G3138" t="s">
        <f>TEXT(D3138,"mmm dd")</f>
        <v>1438</v>
      </c>
      <c r="I3138" t="s">
        <v>2223</v>
      </c>
      <c r="J3138" t="s">
        <v>2320</v>
      </c>
    </row>
    <row r="3139" spans="1:23">
      <c r="A3139">
        <v>3</v>
      </c>
      <c r="B3139">
        <v>12</v>
      </c>
      <c r="C3139">
        <v>2020</v>
      </c>
      <c r="D3139" s="3" t="str">
        <f>B3139&amp;"/"&amp;A3139&amp;"/"&amp;C3139</f>
        <v>12/3/2020</v>
      </c>
      <c r="E3139">
        <v>0.79166666666666663</v>
      </c>
      <c r="F3139" t="s">
        <f>I3139&amp;" "&amp;J3139&amp;" "&amp;K3139&amp;" "&amp;L3139&amp;" "&amp;M3139&amp;" "&amp;N3139</f>
        <v>2865</v>
      </c>
      <c r="G3139" t="s">
        <f>TEXT(D3139,"mmm dd")</f>
        <v>1662</v>
      </c>
      <c r="I3139" t="s">
        <v>2372</v>
      </c>
      <c r="J3139" t="s">
        <v>2866</v>
      </c>
      <c r="K3139" t="s">
        <v>1736</v>
      </c>
    </row>
    <row r="3140" spans="1:23">
      <c r="A3140">
        <v>7</v>
      </c>
      <c r="B3140">
        <v>12</v>
      </c>
      <c r="C3140">
        <v>2020</v>
      </c>
      <c r="D3140" s="3" t="s">
        <f>B3140&amp;"/"&amp;A3140&amp;"/"&amp;C3140</f>
        <v>2881</v>
      </c>
      <c r="E3140">
        <v>0.8125</v>
      </c>
      <c r="F3140" t="str">
        <f>I3140&amp;" "&amp;J3140&amp;" "&amp;K3140&amp;" "&amp;L3140&amp;" "&amp;M3140&amp;" "&amp;N3140</f>
        <v>Erin     </v>
      </c>
      <c r="G3140" t="s">
        <f>TEXT(D3140,"mmm dd")</f>
        <v>1447</v>
      </c>
      <c r="I3140" t="s">
        <v>2869</v>
      </c>
    </row>
    <row r="3141" spans="1:23">
      <c r="A3141">
        <v>7</v>
      </c>
      <c r="B3141">
        <v>12</v>
      </c>
      <c r="C3141">
        <v>2020</v>
      </c>
      <c r="D3141" s="3" t="s">
        <f>B3141&amp;"/"&amp;A3141&amp;"/"&amp;C3141</f>
        <v>2881</v>
      </c>
      <c r="E3141">
        <v>0.76041666666666663</v>
      </c>
      <c r="F3141" t="s">
        <f>I3141&amp;" "&amp;J3141&amp;" "&amp;K3141&amp;" "&amp;L3141&amp;" "&amp;M3141&amp;" "&amp;N3141</f>
        <v>2690</v>
      </c>
      <c r="G3141" t="s">
        <f>TEXT(D3141,"mmm dd")</f>
        <v>1447</v>
      </c>
      <c r="I3141" t="s">
        <v>2223</v>
      </c>
      <c r="J3141" t="s">
        <v>2320</v>
      </c>
    </row>
    <row r="3142" spans="1:23">
      <c r="A3142">
        <v>8</v>
      </c>
      <c r="B3142">
        <v>12</v>
      </c>
      <c r="C3142">
        <v>2020</v>
      </c>
      <c r="D3142" s="3" t="str">
        <f>B3142&amp;"/"&amp;A3142&amp;"/"&amp;C3142</f>
        <v>12/8/2020</v>
      </c>
      <c r="E3142">
        <v>0.66666666666666663</v>
      </c>
      <c r="F3142" t="s">
        <f>I3142&amp;" "&amp;J3142&amp;" "&amp;K3142&amp;" "&amp;L3142&amp;" "&amp;M3142&amp;" "&amp;N3142</f>
        <v>2802</v>
      </c>
      <c r="G3142" t="s">
        <f>TEXT(D3142,"mmm dd")</f>
        <v>2154</v>
      </c>
      <c r="I3142" t="s">
        <v>1370</v>
      </c>
      <c r="J3142" t="s">
        <v>427</v>
      </c>
    </row>
    <row r="3143" spans="1:23">
      <c r="A3143">
        <v>11</v>
      </c>
      <c r="B3143">
        <v>12</v>
      </c>
      <c r="C3143">
        <v>2020</v>
      </c>
      <c r="D3143" s="3" t="s">
        <f>B3143&amp;"/"&amp;A3143&amp;"/"&amp;C3143</f>
        <v>2882</v>
      </c>
      <c r="E3143">
        <v>0.875</v>
      </c>
      <c r="F3143" t="s">
        <f>I3143&amp;" "&amp;J3143&amp;" "&amp;K3143&amp;" "&amp;L3143&amp;" "&amp;M3143&amp;" "&amp;N3143</f>
        <v>2883</v>
      </c>
      <c r="G3143" t="s">
        <f>TEXT(D3143,"mmm dd")</f>
        <v>1455</v>
      </c>
      <c r="I3143" t="s">
        <v>300</v>
      </c>
      <c r="J3143" t="s">
        <v>755</v>
      </c>
      <c r="K3143" t="s">
        <v>2884</v>
      </c>
    </row>
    <row r="3144" spans="1:23">
      <c r="A3144">
        <v>11</v>
      </c>
      <c r="B3144">
        <v>12</v>
      </c>
      <c r="C3144">
        <v>2020</v>
      </c>
      <c r="D3144" s="3" t="s">
        <f>B3144&amp;"/"&amp;A3144&amp;"/"&amp;C3144</f>
        <v>2882</v>
      </c>
      <c r="E3144">
        <v>0.96875</v>
      </c>
      <c r="F3144" t="s">
        <f>I3144&amp;" "&amp;J3144&amp;" "&amp;K3144&amp;" "&amp;L3144&amp;" "&amp;M3144&amp;" "&amp;N3144</f>
        <v>2690</v>
      </c>
      <c r="G3144" t="s">
        <f>TEXT(D3144,"mmm dd")</f>
        <v>1455</v>
      </c>
      <c r="I3144" t="s">
        <v>2223</v>
      </c>
      <c r="J3144" t="s">
        <v>2320</v>
      </c>
    </row>
    <row r="3145" spans="1:23">
      <c r="A3145">
        <v>14</v>
      </c>
      <c r="B3145">
        <v>12</v>
      </c>
      <c r="C3145">
        <v>2020</v>
      </c>
      <c r="D3145" s="3" t="str">
        <f>B3145&amp;"/"&amp;A3145&amp;"/"&amp;C3145</f>
        <v>12/14/2020</v>
      </c>
      <c r="E3145">
        <v>0.76041666666666663</v>
      </c>
      <c r="F3145" t="str">
        <f>I3145&amp;" "&amp;J3145&amp;" "&amp;K3145&amp;" "&amp;L3145&amp;" "&amp;M3145&amp;" "&amp;N3145</f>
        <v>Comporium internet tech   </v>
      </c>
      <c r="G3145" t="s">
        <f>TEXT(D3145,"mmm dd")</f>
        <v>1079</v>
      </c>
      <c r="I3145" t="s">
        <v>2332</v>
      </c>
      <c r="J3145" t="inlineStr">
        <is>
          <t>internet</t>
        </is>
      </c>
      <c r="K3145" t="inlineStr">
        <is>
          <t>tech</t>
        </is>
      </c>
    </row>
    <row r="3146" spans="1:23">
      <c r="A3146">
        <v>15</v>
      </c>
      <c r="B3146">
        <v>12</v>
      </c>
      <c r="C3146">
        <v>2020</v>
      </c>
      <c r="D3146" s="3" t="str">
        <f>B3146&amp;"/"&amp;A3146&amp;"/"&amp;C3146</f>
        <v>12/15/2020</v>
      </c>
      <c r="E3146">
        <v>0.72916666666666663</v>
      </c>
      <c r="F3146" t="s">
        <f>I3146&amp;" "&amp;J3146&amp;" "&amp;K3146&amp;" "&amp;L3146&amp;" "&amp;M3146&amp;" "&amp;N3146</f>
        <v>2427</v>
      </c>
      <c r="G3146" t="s">
        <f>TEXT(D3146,"mmm dd")</f>
        <v>1088</v>
      </c>
      <c r="I3146" t="s">
        <v>1409</v>
      </c>
    </row>
    <row r="3147" spans="1:23">
      <c r="A3147">
        <v>17</v>
      </c>
      <c r="B3147">
        <v>12</v>
      </c>
      <c r="C3147">
        <v>2020</v>
      </c>
      <c r="D3147" s="3" t="str">
        <f>B3147&amp;"/"&amp;A3147&amp;"/"&amp;C3147</f>
        <v>12/17/2020</v>
      </c>
      <c r="E3147">
        <v>0.63541666666666663</v>
      </c>
      <c r="F3147" t="s">
        <f>I3147&amp;" "&amp;J3147&amp;" "&amp;K3147&amp;" "&amp;L3147&amp;" "&amp;M3147&amp;" "&amp;N3147</f>
        <v>2690</v>
      </c>
      <c r="G3147" t="s">
        <f>TEXT(D3147,"mmm dd")</f>
        <v>1097</v>
      </c>
      <c r="I3147" t="s">
        <v>2223</v>
      </c>
      <c r="J3147" t="s">
        <v>2320</v>
      </c>
    </row>
    <row r="3148" spans="1:23">
      <c r="A3148">
        <v>22</v>
      </c>
      <c r="B3148">
        <v>12</v>
      </c>
      <c r="C3148">
        <v>2020</v>
      </c>
      <c r="D3148" s="3" t="s">
        <f>B3148&amp;"/"&amp;A3148&amp;"/"&amp;C3148</f>
        <v>2885</v>
      </c>
      <c r="E3148">
        <v>0.95833333333333337</v>
      </c>
      <c r="F3148" t="str">
        <f>I3148&amp;" "&amp;J3148&amp;" "&amp;K3148&amp;" "&amp;L3148&amp;" "&amp;M3148&amp;" "&amp;N3148</f>
        <v>Dale counseling  Janet  </v>
      </c>
      <c r="G3148" t="s">
        <f>TEXT(D3148,"mmm dd")</f>
        <v>1670</v>
      </c>
      <c r="I3148" t="s">
        <v>1316</v>
      </c>
      <c r="J3148" t="s">
        <v>2238</v>
      </c>
      <c r="L3148" t="s">
        <v>2745</v>
      </c>
    </row>
    <row r="3149" spans="1:23">
      <c r="A3149">
        <v>22</v>
      </c>
      <c r="B3149">
        <v>12</v>
      </c>
      <c r="C3149">
        <v>2020</v>
      </c>
      <c r="D3149" s="3" t="s">
        <f>B3149&amp;"/"&amp;A3149&amp;"/"&amp;C3149</f>
        <v>2885</v>
      </c>
      <c r="E3149">
        <v>0.76041666666666663</v>
      </c>
      <c r="F3149" t="s">
        <f>I3149&amp;" "&amp;J3149&amp;" "&amp;K3149&amp;" "&amp;L3149&amp;" "&amp;M3149&amp;" "&amp;N3149</f>
        <v>2690</v>
      </c>
      <c r="G3149" t="s">
        <f>TEXT(D3149,"mmm dd")</f>
        <v>1670</v>
      </c>
      <c r="I3149" t="s">
        <v>2223</v>
      </c>
      <c r="J3149" t="s">
        <v>2320</v>
      </c>
    </row>
    <row r="3150" spans="1:23">
      <c r="A3150">
        <v>24</v>
      </c>
      <c r="B3150">
        <v>12</v>
      </c>
      <c r="C3150">
        <v>2020</v>
      </c>
      <c r="D3150" s="3" t="str">
        <f>B3150&amp;"/"&amp;A3150&amp;"/"&amp;C3150</f>
        <v>12/24/2020</v>
      </c>
      <c r="E3150" t="s">
        <v>42</v>
      </c>
      <c r="F3150" t="str">
        <f>I3150&amp;" "&amp;J3150&amp;" "&amp;K3150&amp;" "&amp;L3150&amp;" "&amp;M3150&amp;" "&amp;N3150</f>
        <v>St. Peter's Christmas Liturgy  </v>
      </c>
      <c r="G3150" t="s">
        <f>TEXT(D3150,"mmm dd")</f>
        <v>1467</v>
      </c>
      <c r="I3150" t="s">
        <v>218</v>
      </c>
      <c r="J3150" t="s">
        <v>2560</v>
      </c>
      <c r="K3150" t="s">
        <v>1068</v>
      </c>
      <c r="L3150" t="s">
        <v>2886</v>
      </c>
      <c r="P3150" t="s">
        <v>1955</v>
      </c>
      <c r="Q3150" t="inlineStr">
        <is>
          <t>commitment</t>
        </is>
      </c>
    </row>
    <row r="3151" spans="1:23">
      <c r="A3151">
        <v>27</v>
      </c>
      <c r="B3151">
        <v>12</v>
      </c>
      <c r="C3151">
        <v>2020</v>
      </c>
      <c r="D3151" s="3" t="str">
        <f>B3151&amp;"/"&amp;A3151&amp;"/"&amp;C3151</f>
        <v>12/27/2020</v>
      </c>
      <c r="E3151">
        <v>0.26041666666666669</v>
      </c>
      <c r="F3151" t="s">
        <f>I3151&amp;" "&amp;J3151&amp;" "&amp;K3151&amp;" "&amp;L3151&amp;" "&amp;M3151&amp;" "&amp;N3151</f>
        <v>2690</v>
      </c>
      <c r="G3151" t="s">
        <f>TEXT(D3151,"mmm dd")</f>
        <v>1131</v>
      </c>
      <c r="I3151" t="s">
        <v>2223</v>
      </c>
      <c r="J3151" t="s">
        <v>2320</v>
      </c>
    </row>
    <row r="3152" spans="1:23">
      <c r="A3152">
        <v>31</v>
      </c>
      <c r="B3152">
        <v>12</v>
      </c>
      <c r="C3152">
        <v>2020</v>
      </c>
      <c r="D3152" s="3" t="str">
        <f>B3152&amp;"/"&amp;A3152&amp;"/"&amp;C3152</f>
        <v>12/31/2020</v>
      </c>
      <c r="E3152">
        <v>0.125</v>
      </c>
      <c r="F3152" t="s">
        <f>I3152&amp;" "&amp;J3152&amp;" "&amp;K3152&amp;" "&amp;L3152&amp;" "&amp;M3152&amp;" "&amp;N3152</f>
        <v>2887</v>
      </c>
      <c r="G3152" t="s">
        <f>TEXT(D3152,"mmm dd")</f>
        <v>1134</v>
      </c>
      <c r="I3152" t="s">
        <v>2874</v>
      </c>
      <c r="J3152" t="s">
        <v>2238</v>
      </c>
      <c r="L3152" t="s">
        <v>2745</v>
      </c>
      <c r="M3152" t="s">
        <v>2131</v>
      </c>
    </row>
    <row r="3153" spans="1:23">
      <c r="A3153">
        <v>1</v>
      </c>
      <c r="B3153">
        <v>1</v>
      </c>
      <c r="C3153">
        <v>2021</v>
      </c>
      <c r="D3153" s="3" t="str">
        <f>B3153&amp;"/"&amp;A3153&amp;"/"&amp;C3153</f>
        <v>1/1/2021</v>
      </c>
      <c r="E3153">
        <v>0.3125</v>
      </c>
      <c r="F3153" t="s">
        <f>I3153&amp;" "&amp;J3153&amp;" "&amp;K3153&amp;" "&amp;L3153&amp;" "&amp;M3153&amp;" "&amp;N3153</f>
        <v>2690</v>
      </c>
      <c r="G3153" t="s">
        <f>TEXT(D3153,"mmm dd")</f>
        <v>1676</v>
      </c>
      <c r="I3153" t="s">
        <v>2223</v>
      </c>
      <c r="J3153" t="s">
        <v>2320</v>
      </c>
    </row>
    <row r="3154" spans="1:23">
      <c r="A3154">
        <v>5</v>
      </c>
      <c r="B3154">
        <v>1</v>
      </c>
      <c r="C3154">
        <v>2021</v>
      </c>
      <c r="D3154" s="3" t="str">
        <f>B3154&amp;"/"&amp;A3154&amp;"/"&amp;C3154</f>
        <v>1/5/2021</v>
      </c>
      <c r="E3154">
        <v>0.89583333333333337</v>
      </c>
      <c r="F3154" t="str">
        <f>I3154&amp;" "&amp;J3154&amp;" "&amp;K3154&amp;" "&amp;L3154&amp;" "&amp;M3154&amp;" "&amp;N3154</f>
        <v>Janet for couple   </v>
      </c>
      <c r="G3154" t="s">
        <f>TEXT(D3154,"mmm dd")</f>
        <v>2485</v>
      </c>
      <c r="I3154" t="s">
        <v>2745</v>
      </c>
      <c r="J3154" t="s">
        <v>439</v>
      </c>
      <c r="K3154" t="s">
        <v>612</v>
      </c>
    </row>
    <row r="3155" spans="1:23">
      <c r="A3155">
        <v>7</v>
      </c>
      <c r="B3155">
        <v>1</v>
      </c>
      <c r="C3155">
        <v>2021</v>
      </c>
      <c r="D3155" s="3" t="s">
        <f>B3155&amp;"/"&amp;A3155&amp;"/"&amp;C3155</f>
        <v>2888</v>
      </c>
      <c r="E3155">
        <v>0.77083333333333337</v>
      </c>
      <c r="F3155" t="s">
        <f>I3155&amp;" "&amp;J3155&amp;" "&amp;K3155&amp;" "&amp;L3155&amp;" "&amp;M3155&amp;" "&amp;N3155</f>
        <v>2690</v>
      </c>
      <c r="G3155" t="s">
        <f>TEXT(D3155,"mmm dd")</f>
        <v>1682</v>
      </c>
      <c r="I3155" t="s">
        <v>2223</v>
      </c>
      <c r="J3155" t="s">
        <v>2320</v>
      </c>
    </row>
    <row r="3156" spans="1:23">
      <c r="A3156">
        <v>7</v>
      </c>
      <c r="B3156">
        <v>1</v>
      </c>
      <c r="C3156">
        <v>2021</v>
      </c>
      <c r="D3156" s="3" t="s">
        <f>B3156&amp;"/"&amp;A3156&amp;"/"&amp;C3156</f>
        <v>2888</v>
      </c>
      <c r="E3156">
        <v>0.79166666666666663</v>
      </c>
      <c r="F3156" t="s">
        <f>I3156&amp;" "&amp;J3156&amp;" "&amp;K3156&amp;" "&amp;L3156&amp;" "&amp;M3156&amp;" "&amp;N3156</f>
        <v>2889</v>
      </c>
      <c r="G3156" t="s">
        <f>TEXT(D3156,"mmm dd")</f>
        <v>1682</v>
      </c>
      <c r="I3156" t="s">
        <v>2890</v>
      </c>
      <c r="J3156" t="s">
        <v>2891</v>
      </c>
    </row>
    <row r="3157" spans="1:23">
      <c r="A3157">
        <v>12</v>
      </c>
      <c r="B3157">
        <v>1</v>
      </c>
      <c r="C3157">
        <v>2021</v>
      </c>
      <c r="D3157" s="3" t="s">
        <f>B3157&amp;"/"&amp;A3157&amp;"/"&amp;C3157</f>
        <v>2892</v>
      </c>
      <c r="E3157">
        <v>0.77083333333333337</v>
      </c>
      <c r="F3157" t="s">
        <f>I3157&amp;" "&amp;J3157&amp;" "&amp;K3157&amp;" "&amp;L3157&amp;" "&amp;M3157&amp;" "&amp;N3157</f>
        <v>2690</v>
      </c>
      <c r="G3157" t="s">
        <f>TEXT(D3157,"mmm dd")</f>
        <v>1478</v>
      </c>
      <c r="I3157" t="s">
        <v>2223</v>
      </c>
      <c r="J3157" t="s">
        <v>2320</v>
      </c>
    </row>
    <row r="3158" spans="1:23">
      <c r="A3158">
        <v>12</v>
      </c>
      <c r="B3158">
        <v>1</v>
      </c>
      <c r="C3158">
        <v>2021</v>
      </c>
      <c r="D3158" s="3" t="s">
        <f>B3158&amp;"/"&amp;A3158&amp;"/"&amp;C3158</f>
        <v>2892</v>
      </c>
      <c r="E3158">
        <v>0.70833333333333337</v>
      </c>
      <c r="F3158" t="str">
        <f>I3158&amp;" "&amp;J3158&amp;" "&amp;K3158&amp;" "&amp;L3158&amp;" "&amp;M3158&amp;" "&amp;N3158</f>
        <v>Zoom 317    </v>
      </c>
      <c r="G3158" t="s">
        <f>TEXT(D3158,"mmm dd")</f>
        <v>1478</v>
      </c>
      <c r="I3158" t="s">
        <v>2712</v>
      </c>
      <c r="J3158">
        <v>317</v>
      </c>
    </row>
    <row r="3159" spans="1:23">
      <c r="A3159">
        <v>13</v>
      </c>
      <c r="B3159">
        <v>1</v>
      </c>
      <c r="C3159">
        <v>2021</v>
      </c>
      <c r="D3159" s="3" t="s">
        <f>B3159&amp;"/"&amp;A3159&amp;"/"&amp;C3159</f>
        <v>2893</v>
      </c>
      <c r="E3159">
        <v>0.66666666666666663</v>
      </c>
      <c r="F3159" t="s">
        <f>I3159&amp;" "&amp;J3159&amp;" "&amp;K3159&amp;" "&amp;L3159&amp;" "&amp;M3159&amp;" "&amp;N3159</f>
        <v>2887</v>
      </c>
      <c r="G3159" t="s">
        <f>TEXT(D3159,"mmm dd")</f>
        <v>1164</v>
      </c>
      <c r="I3159" t="s">
        <v>2874</v>
      </c>
      <c r="J3159" t="s">
        <v>2238</v>
      </c>
      <c r="L3159" t="s">
        <v>2745</v>
      </c>
      <c r="M3159" t="s">
        <v>2131</v>
      </c>
    </row>
    <row r="3160" spans="1:23">
      <c r="A3160">
        <v>13</v>
      </c>
      <c r="B3160">
        <v>1</v>
      </c>
      <c r="C3160">
        <v>2021</v>
      </c>
      <c r="D3160" s="3" t="s">
        <f>B3160&amp;"/"&amp;A3160&amp;"/"&amp;C3160</f>
        <v>2893</v>
      </c>
      <c r="E3160">
        <v>0.70833333333333337</v>
      </c>
      <c r="F3160" t="str">
        <f>I3160&amp;" "&amp;J3160&amp;" "&amp;K3160&amp;" "&amp;L3160&amp;" "&amp;M3160&amp;" "&amp;N3160</f>
        <v>Zoom 100    </v>
      </c>
      <c r="G3160" t="s">
        <f>TEXT(D3160,"mmm dd")</f>
        <v>1164</v>
      </c>
      <c r="I3160" t="s">
        <v>2712</v>
      </c>
      <c r="J3160">
        <v>100</v>
      </c>
    </row>
    <row r="3161" spans="1:23">
      <c r="A3161">
        <v>13</v>
      </c>
      <c r="B3161">
        <v>1</v>
      </c>
      <c r="C3161">
        <v>2021</v>
      </c>
      <c r="D3161" s="3" t="s">
        <f>B3161&amp;"/"&amp;A3161&amp;"/"&amp;C3161</f>
        <v>2893</v>
      </c>
      <c r="E3161">
        <v>0.70833333333333337</v>
      </c>
      <c r="F3161" t="str">
        <f>I3161&amp;" "&amp;J3161&amp;" "&amp;K3161&amp;" "&amp;L3161&amp;" "&amp;M3161&amp;" "&amp;N3161</f>
        <v>RELG 101 s21   </v>
      </c>
      <c r="G3161" t="s">
        <f>TEXT(D3161,"mmm dd")</f>
        <v>1164</v>
      </c>
      <c r="I3161" t="s">
        <v>2357</v>
      </c>
      <c r="J3161">
        <v>101</v>
      </c>
      <c r="K3161" t="inlineStr">
        <is>
          <t>s21</t>
        </is>
      </c>
    </row>
    <row r="3162" spans="1:23">
      <c r="A3162">
        <v>14</v>
      </c>
      <c r="B3162">
        <v>1</v>
      </c>
      <c r="C3162">
        <v>2021</v>
      </c>
      <c r="D3162" s="3" t="s">
        <f>B3162&amp;"/"&amp;A3162&amp;"/"&amp;C3162</f>
        <v>2894</v>
      </c>
      <c r="E3162">
        <v>0.875</v>
      </c>
      <c r="F3162" t="s">
        <f>I3162&amp;" "&amp;J3162&amp;" "&amp;K3162&amp;" "&amp;L3162&amp;" "&amp;M3162&amp;" "&amp;N3162</f>
        <v>2645</v>
      </c>
      <c r="G3162" t="s">
        <f>TEXT(D3162,"mmm dd")</f>
        <v>1166</v>
      </c>
      <c r="I3162" t="s">
        <v>2625</v>
      </c>
      <c r="J3162" t="s">
        <v>842</v>
      </c>
    </row>
    <row r="3163" spans="1:23">
      <c r="A3163">
        <v>14</v>
      </c>
      <c r="B3163">
        <v>1</v>
      </c>
      <c r="C3163">
        <v>2021</v>
      </c>
      <c r="D3163" s="3" t="s">
        <f>B3163&amp;"/"&amp;A3163&amp;"/"&amp;C3163</f>
        <v>2894</v>
      </c>
      <c r="E3163">
        <v>0.77083333333333337</v>
      </c>
      <c r="F3163" t="s">
        <f>I3163&amp;" "&amp;J3163&amp;" "&amp;K3163&amp;" "&amp;L3163&amp;" "&amp;M3163&amp;" "&amp;N3163</f>
        <v>2895</v>
      </c>
      <c r="G3163" t="s">
        <f>TEXT(D3163,"mmm dd")</f>
        <v>1166</v>
      </c>
      <c r="I3163" t="s">
        <v>2869</v>
      </c>
      <c r="J3163" t="s">
        <v>439</v>
      </c>
      <c r="K3163" t="s">
        <v>1316</v>
      </c>
    </row>
    <row r="3164" spans="1:23">
      <c r="A3164">
        <v>17</v>
      </c>
      <c r="B3164">
        <v>1</v>
      </c>
      <c r="C3164">
        <v>2021</v>
      </c>
      <c r="D3164" s="3" t="s">
        <f>B3164&amp;"/"&amp;A3164&amp;"/"&amp;C3164</f>
        <v>2896</v>
      </c>
      <c r="E3164">
        <v>0.71875</v>
      </c>
      <c r="F3164" t="s">
        <f>I3164&amp;" "&amp;J3164&amp;" "&amp;K3164&amp;" "&amp;L3164&amp;" "&amp;M3164&amp;" "&amp;N3164</f>
        <v>2470</v>
      </c>
      <c r="G3164" t="s">
        <f>TEXT(D3164,"mmm dd")</f>
        <v>1174</v>
      </c>
      <c r="I3164" t="s">
        <v>2468</v>
      </c>
      <c r="J3164" t="s">
        <v>53</v>
      </c>
      <c r="K3164" t="s">
        <v>218</v>
      </c>
      <c r="L3164" t="s">
        <v>2471</v>
      </c>
    </row>
    <row r="3165" spans="1:23">
      <c r="A3165">
        <v>17</v>
      </c>
      <c r="B3165">
        <v>1</v>
      </c>
      <c r="C3165">
        <v>2021</v>
      </c>
      <c r="D3165" s="3" t="s">
        <f>B3165&amp;"/"&amp;A3165&amp;"/"&amp;C3165</f>
        <v>2896</v>
      </c>
      <c r="E3165">
        <v>1.1041666666666667</v>
      </c>
      <c r="F3165" t="s">
        <f>I3165&amp;" "&amp;J3165&amp;" "&amp;K3165&amp;" "&amp;L3165&amp;" "&amp;M3165&amp;" "&amp;N3165</f>
        <v>2690</v>
      </c>
      <c r="G3165" t="s">
        <f>TEXT(D3165,"mmm dd")</f>
        <v>1174</v>
      </c>
      <c r="I3165" t="s">
        <v>2223</v>
      </c>
      <c r="J3165" t="s">
        <v>2320</v>
      </c>
    </row>
    <row r="3166" spans="1:23">
      <c r="A3166">
        <v>18</v>
      </c>
      <c r="B3166">
        <v>1</v>
      </c>
      <c r="C3166">
        <v>2021</v>
      </c>
      <c r="D3166" s="3" t="str">
        <f>B3166&amp;"/"&amp;A3166&amp;"/"&amp;C3166</f>
        <v>1/18/2021</v>
      </c>
      <c r="E3166">
        <v>0.80208333333333337</v>
      </c>
      <c r="F3166" t="str">
        <f>I3166&amp;" "&amp;J3166&amp;" "&amp;K3166&amp;" "&amp;L3166&amp;" "&amp;M3166&amp;" "&amp;N3166</f>
        <v>Dale’s COVID Vaccine   </v>
      </c>
      <c r="G3166" t="s">
        <f>TEXT(D3166,"mmm dd")</f>
        <v>1687</v>
      </c>
      <c r="I3166" t="inlineStr">
        <is>
          <t>Dale’s</t>
        </is>
      </c>
      <c r="J3166" t="inlineStr">
        <is>
          <t>COVID</t>
        </is>
      </c>
      <c r="K3166" t="s">
        <v>2897</v>
      </c>
    </row>
    <row r="3167" spans="1:23">
      <c r="A3167">
        <v>19</v>
      </c>
      <c r="B3167">
        <v>1</v>
      </c>
      <c r="C3167">
        <v>2021</v>
      </c>
      <c r="D3167" s="3" t="s">
        <f>B3167&amp;"/"&amp;A3167&amp;"/"&amp;C3167</f>
        <v>2898</v>
      </c>
      <c r="E3167">
        <v>0.77083333333333337</v>
      </c>
      <c r="F3167" t="s">
        <f>I3167&amp;" "&amp;J3167&amp;" "&amp;K3167&amp;" "&amp;L3167&amp;" "&amp;M3167&amp;" "&amp;N3167</f>
        <v>2887</v>
      </c>
      <c r="G3167" t="s">
        <f>TEXT(D3167,"mmm dd")</f>
        <v>1481</v>
      </c>
      <c r="I3167" t="s">
        <v>2874</v>
      </c>
      <c r="J3167" t="s">
        <v>2238</v>
      </c>
      <c r="L3167" t="s">
        <v>2745</v>
      </c>
      <c r="M3167" t="s">
        <v>2131</v>
      </c>
    </row>
    <row r="3168" spans="1:23">
      <c r="A3168">
        <v>19</v>
      </c>
      <c r="B3168">
        <v>1</v>
      </c>
      <c r="C3168">
        <v>2021</v>
      </c>
      <c r="D3168" s="3" t="s">
        <f>B3168&amp;"/"&amp;A3168&amp;"/"&amp;C3168</f>
        <v>2898</v>
      </c>
      <c r="E3168">
        <v>0.70833333333333337</v>
      </c>
      <c r="F3168" t="str">
        <f>I3168&amp;" "&amp;J3168&amp;" "&amp;K3168&amp;" "&amp;L3168&amp;" "&amp;M3168&amp;" "&amp;N3168</f>
        <v>RELG 317 Weekly Zoom  </v>
      </c>
      <c r="G3168" t="s">
        <f>TEXT(D3168,"mmm dd")</f>
        <v>1481</v>
      </c>
      <c r="I3168" t="s">
        <v>2357</v>
      </c>
      <c r="J3168">
        <v>317</v>
      </c>
      <c r="K3168" t="inlineStr">
        <is>
          <t>Weekly</t>
        </is>
      </c>
      <c r="L3168" t="s">
        <v>2712</v>
      </c>
    </row>
    <row r="3169" spans="1:23">
      <c r="A3169">
        <v>22</v>
      </c>
      <c r="B3169">
        <v>1</v>
      </c>
      <c r="C3169">
        <v>2021</v>
      </c>
      <c r="D3169" s="3" t="str">
        <f>B3169&amp;"/"&amp;A3169&amp;"/"&amp;C3169</f>
        <v>1/22/2021</v>
      </c>
      <c r="E3169">
        <v>1.1041666666666667</v>
      </c>
      <c r="F3169" t="s">
        <f>I3169&amp;" "&amp;J3169&amp;" "&amp;K3169&amp;" "&amp;L3169&amp;" "&amp;M3169&amp;" "&amp;N3169</f>
        <v>2690</v>
      </c>
      <c r="G3169" t="s">
        <f>TEXT(D3169,"mmm dd")</f>
        <v>1692</v>
      </c>
      <c r="I3169" t="s">
        <v>2223</v>
      </c>
      <c r="J3169" t="s">
        <v>2320</v>
      </c>
    </row>
    <row r="3170" spans="1:23">
      <c r="A3170">
        <v>26</v>
      </c>
      <c r="B3170">
        <v>1</v>
      </c>
      <c r="C3170">
        <v>2021</v>
      </c>
      <c r="D3170" s="3" t="str">
        <f>B3170&amp;"/"&amp;A3170&amp;"/"&amp;C3170</f>
        <v>1/26/2021</v>
      </c>
      <c r="E3170">
        <v>0.8125</v>
      </c>
      <c r="F3170" t="s">
        <f>I3170&amp;" "&amp;J3170&amp;" "&amp;K3170&amp;" "&amp;L3170&amp;" "&amp;M3170&amp;" "&amp;N3170</f>
        <v>2887</v>
      </c>
      <c r="G3170" t="s">
        <f>TEXT(D3170,"mmm dd")</f>
        <v>1488</v>
      </c>
      <c r="I3170" t="s">
        <v>2874</v>
      </c>
      <c r="J3170" t="s">
        <v>2238</v>
      </c>
      <c r="L3170" t="s">
        <v>2745</v>
      </c>
      <c r="M3170" t="s">
        <v>2131</v>
      </c>
    </row>
    <row r="3171" spans="1:23">
      <c r="A3171">
        <v>28</v>
      </c>
      <c r="B3171">
        <v>1</v>
      </c>
      <c r="C3171">
        <v>2021</v>
      </c>
      <c r="D3171" s="3" t="str">
        <f>B3171&amp;"/"&amp;A3171&amp;"/"&amp;C3171</f>
        <v>1/28/2021</v>
      </c>
      <c r="E3171">
        <v>0.72916666666666663</v>
      </c>
      <c r="F3171" t="s">
        <f>I3171&amp;" "&amp;J3171&amp;" "&amp;K3171&amp;" "&amp;L3171&amp;" "&amp;M3171&amp;" "&amp;N3171</f>
        <v>2690</v>
      </c>
      <c r="G3171" t="s">
        <f>TEXT(D3171,"mmm dd")</f>
        <v>1492</v>
      </c>
      <c r="I3171" t="s">
        <v>2223</v>
      </c>
      <c r="J3171" t="s">
        <v>2320</v>
      </c>
    </row>
    <row r="3172" spans="1:23">
      <c r="A3172">
        <v>30</v>
      </c>
      <c r="B3172">
        <v>1</v>
      </c>
      <c r="C3172">
        <v>2021</v>
      </c>
      <c r="D3172" s="3" t="str">
        <f>B3172&amp;"/"&amp;A3172&amp;"/"&amp;C3172</f>
        <v>1/30/2021</v>
      </c>
      <c r="E3172" t="s">
        <v>42</v>
      </c>
      <c r="F3172" t="str">
        <f>I3172&amp;" "&amp;J3172&amp;" "&amp;K3172&amp;" "&amp;L3172&amp;" "&amp;M3172&amp;" "&amp;N3172</f>
        <v>Stay at Hampton Inn Dayton Dayton</v>
      </c>
      <c r="G3172" t="s">
        <f>TEXT(D3172,"mmm dd")</f>
        <v>1499</v>
      </c>
      <c r="I3172" t="s">
        <v>2398</v>
      </c>
      <c r="J3172" t="s">
        <v>53</v>
      </c>
      <c r="K3172" t="inlineStr">
        <is>
          <t>Hampton</t>
        </is>
      </c>
      <c r="L3172" t="s">
        <v>2763</v>
      </c>
      <c r="M3172" t="s">
        <v>2562</v>
      </c>
      <c r="N3172" t="s">
        <v>2562</v>
      </c>
    </row>
    <row r="3173" spans="1:23">
      <c r="A3173">
        <v>1</v>
      </c>
      <c r="B3173">
        <v>2</v>
      </c>
      <c r="C3173">
        <v>2021</v>
      </c>
      <c r="D3173" s="3" t="s">
        <f>B3173&amp;"/"&amp;A3173&amp;"/"&amp;C3173</f>
        <v>2899</v>
      </c>
      <c r="E3173">
        <v>0.79166666666666663</v>
      </c>
      <c r="F3173" t="str">
        <f>I3173&amp;" "&amp;J3173&amp;" "&amp;K3173&amp;" "&amp;L3173&amp;" "&amp;M3173&amp;" "&amp;N3173</f>
        <v>Catherine Windham    </v>
      </c>
      <c r="G3173" t="s">
        <f>TEXT(D3173,"mmm dd")</f>
        <v>1838</v>
      </c>
      <c r="I3173" t="s">
        <v>240</v>
      </c>
      <c r="J3173" t="inlineStr">
        <is>
          <t>Windham</t>
        </is>
      </c>
    </row>
    <row r="3174" spans="1:23">
      <c r="A3174">
        <v>1</v>
      </c>
      <c r="B3174">
        <v>2</v>
      </c>
      <c r="C3174">
        <v>2021</v>
      </c>
      <c r="D3174" s="3" t="s">
        <f>B3174&amp;"/"&amp;A3174&amp;"/"&amp;C3174</f>
        <v>2899</v>
      </c>
      <c r="E3174">
        <v>1.0208333333333333</v>
      </c>
      <c r="F3174" t="s">
        <f>I3174&amp;" "&amp;J3174&amp;" "&amp;K3174&amp;" "&amp;L3174&amp;" "&amp;M3174&amp;" "&amp;N3174</f>
        <v>2690</v>
      </c>
      <c r="G3174" t="s">
        <f>TEXT(D3174,"mmm dd")</f>
        <v>1838</v>
      </c>
      <c r="I3174" t="s">
        <v>2223</v>
      </c>
      <c r="J3174" t="s">
        <v>2320</v>
      </c>
    </row>
    <row r="3175" spans="1:23">
      <c r="A3175">
        <v>2</v>
      </c>
      <c r="B3175">
        <v>2</v>
      </c>
      <c r="C3175">
        <v>2021</v>
      </c>
      <c r="D3175" s="3" t="str">
        <f>B3175&amp;"/"&amp;A3175&amp;"/"&amp;C3175</f>
        <v>2/2/2021</v>
      </c>
      <c r="E3175">
        <v>0.52083333333333337</v>
      </c>
      <c r="F3175" t="s">
        <f>I3175&amp;" "&amp;J3175&amp;" "&amp;K3175&amp;" "&amp;L3175&amp;" "&amp;M3175&amp;" "&amp;N3175</f>
        <v>2427</v>
      </c>
      <c r="G3175" t="s">
        <f>TEXT(D3175,"mmm dd")</f>
        <v>1699</v>
      </c>
      <c r="I3175" t="s">
        <v>1409</v>
      </c>
    </row>
    <row r="3176" spans="1:23">
      <c r="A3176">
        <v>7</v>
      </c>
      <c r="B3176">
        <v>2</v>
      </c>
      <c r="C3176">
        <v>2021</v>
      </c>
      <c r="D3176" s="3" t="str">
        <f>B3176&amp;"/"&amp;A3176&amp;"/"&amp;C3176</f>
        <v>2/7/2021</v>
      </c>
      <c r="E3176">
        <v>0.77083333333333337</v>
      </c>
      <c r="F3176" t="s">
        <f>I3176&amp;" "&amp;J3176&amp;" "&amp;K3176&amp;" "&amp;L3176&amp;" "&amp;M3176&amp;" "&amp;N3176</f>
        <v>2690</v>
      </c>
      <c r="G3176" t="s">
        <f>TEXT(D3176,"mmm dd")</f>
        <v>2572</v>
      </c>
      <c r="I3176" t="s">
        <v>2223</v>
      </c>
      <c r="J3176" t="s">
        <v>2320</v>
      </c>
    </row>
    <row r="3177" spans="1:23">
      <c r="A3177">
        <v>8</v>
      </c>
      <c r="B3177">
        <v>2</v>
      </c>
      <c r="C3177">
        <v>2021</v>
      </c>
      <c r="D3177" s="3" t="str">
        <f>B3177&amp;"/"&amp;A3177&amp;"/"&amp;C3177</f>
        <v>2/8/2021</v>
      </c>
      <c r="E3177">
        <v>0.91666666666666663</v>
      </c>
      <c r="F3177" t="str">
        <f>I3177&amp;" "&amp;J3177&amp;" "&amp;K3177&amp;" "&amp;L3177&amp;" "&amp;M3177&amp;" "&amp;N3177</f>
        <v>Liturgy taping at St. Paul's </v>
      </c>
      <c r="G3177" t="s">
        <f>TEXT(D3177,"mmm dd")</f>
        <v>1843</v>
      </c>
      <c r="I3177" t="s">
        <v>2886</v>
      </c>
      <c r="J3177" t="inlineStr">
        <is>
          <t>taping</t>
        </is>
      </c>
      <c r="K3177" t="s">
        <v>53</v>
      </c>
      <c r="L3177" t="s">
        <v>218</v>
      </c>
      <c r="M3177" t="s">
        <v>2471</v>
      </c>
    </row>
    <row r="3178" spans="1:23">
      <c r="A3178">
        <v>9</v>
      </c>
      <c r="B3178">
        <v>2</v>
      </c>
      <c r="C3178">
        <v>2021</v>
      </c>
      <c r="D3178" s="3" t="str">
        <f>B3178&amp;"/"&amp;A3178&amp;"/"&amp;C3178</f>
        <v>2/9/2021</v>
      </c>
      <c r="E3178">
        <v>0.66666666666666663</v>
      </c>
      <c r="F3178" t="str">
        <f>I3178&amp;" "&amp;J3178&amp;" "&amp;K3178&amp;" "&amp;L3178&amp;" "&amp;M3178&amp;" "&amp;N3178</f>
        <v>Dales 2nd Covid vaccine  </v>
      </c>
      <c r="G3178" t="s">
        <f>TEXT(D3178,"mmm dd")</f>
        <v>1504</v>
      </c>
      <c r="I3178" t="inlineStr">
        <is>
          <t>Dales</t>
        </is>
      </c>
      <c r="J3178" t="s">
        <v>426</v>
      </c>
      <c r="K3178" t="s">
        <v>2900</v>
      </c>
      <c r="L3178" t="s">
        <v>2673</v>
      </c>
    </row>
    <row r="3179" spans="1:23">
      <c r="A3179">
        <v>11</v>
      </c>
      <c r="B3179">
        <v>2</v>
      </c>
      <c r="C3179">
        <v>2021</v>
      </c>
      <c r="D3179" s="3" t="str">
        <f>B3179&amp;"/"&amp;A3179&amp;"/"&amp;C3179</f>
        <v>2/11/2021</v>
      </c>
      <c r="E3179">
        <v>1.0625</v>
      </c>
      <c r="F3179" t="s">
        <f>I3179&amp;" "&amp;J3179&amp;" "&amp;K3179&amp;" "&amp;L3179&amp;" "&amp;M3179&amp;" "&amp;N3179</f>
        <v>2690</v>
      </c>
      <c r="G3179" t="s">
        <f>TEXT(D3179,"mmm dd")</f>
        <v>1509</v>
      </c>
      <c r="I3179" t="s">
        <v>2223</v>
      </c>
      <c r="J3179" t="s">
        <v>2320</v>
      </c>
    </row>
    <row r="3180" spans="1:23">
      <c r="A3180">
        <v>16</v>
      </c>
      <c r="B3180">
        <v>2</v>
      </c>
      <c r="C3180">
        <v>2021</v>
      </c>
      <c r="D3180" s="3" t="s">
        <f>B3180&amp;"/"&amp;A3180&amp;"/"&amp;C3180</f>
        <v>2901</v>
      </c>
      <c r="E3180">
        <v>1</v>
      </c>
      <c r="F3180" t="str">
        <f>I3180&amp;" "&amp;J3180&amp;" "&amp;K3180&amp;" "&amp;L3180&amp;" "&amp;M3180&amp;" "&amp;N3180</f>
        <v>The Black Church (PBS)  </v>
      </c>
      <c r="G3180" t="s">
        <f>TEXT(D3180,"mmm dd")</f>
        <v>1201</v>
      </c>
      <c r="I3180" t="s">
        <v>407</v>
      </c>
      <c r="J3180" t="inlineStr">
        <is>
          <t>Black</t>
        </is>
      </c>
      <c r="K3180" t="s">
        <v>964</v>
      </c>
      <c r="L3180" t="inlineStr">
        <is>
          <t>(PBS)</t>
        </is>
      </c>
    </row>
    <row r="3181" spans="1:23">
      <c r="A3181">
        <v>16</v>
      </c>
      <c r="B3181">
        <v>2</v>
      </c>
      <c r="C3181">
        <v>2021</v>
      </c>
      <c r="D3181" s="3" t="s">
        <f>B3181&amp;"/"&amp;A3181&amp;"/"&amp;C3181</f>
        <v>2901</v>
      </c>
      <c r="E3181">
        <v>0.91666666666666663</v>
      </c>
      <c r="F3181" t="s">
        <f>I3181&amp;" "&amp;J3181&amp;" "&amp;K3181&amp;" "&amp;L3181&amp;" "&amp;M3181&amp;" "&amp;N3181</f>
        <v>2690</v>
      </c>
      <c r="G3181" t="s">
        <f>TEXT(D3181,"mmm dd")</f>
        <v>1201</v>
      </c>
      <c r="I3181" t="s">
        <v>2223</v>
      </c>
      <c r="J3181" t="s">
        <v>2320</v>
      </c>
    </row>
    <row r="3182" spans="1:23">
      <c r="A3182">
        <v>17</v>
      </c>
      <c r="B3182">
        <v>2</v>
      </c>
      <c r="C3182">
        <v>2021</v>
      </c>
      <c r="D3182" s="3" t="str">
        <f>B3182&amp;"/"&amp;A3182&amp;"/"&amp;C3182</f>
        <v>2/17/2021</v>
      </c>
      <c r="E3182">
        <v>0.6875</v>
      </c>
      <c r="F3182" t="s">
        <f>I3182&amp;" "&amp;J3182&amp;" "&amp;K3182&amp;" "&amp;L3182&amp;" "&amp;M3182&amp;" "&amp;N3182</f>
        <v>2887</v>
      </c>
      <c r="G3182" t="s">
        <f>TEXT(D3182,"mmm dd")</f>
        <v>1521</v>
      </c>
      <c r="I3182" t="s">
        <v>2874</v>
      </c>
      <c r="J3182" t="s">
        <v>2238</v>
      </c>
      <c r="L3182" t="s">
        <v>2745</v>
      </c>
      <c r="M3182" t="s">
        <v>2131</v>
      </c>
    </row>
    <row r="3183" spans="1:23">
      <c r="A3183">
        <v>21</v>
      </c>
      <c r="B3183">
        <v>2</v>
      </c>
      <c r="C3183">
        <v>2021</v>
      </c>
      <c r="D3183" s="3" t="str">
        <f>B3183&amp;"/"&amp;A3183&amp;"/"&amp;C3183</f>
        <v>2/21/2021</v>
      </c>
      <c r="E3183">
        <v>0.875</v>
      </c>
      <c r="F3183" t="s">
        <f>I3183&amp;" "&amp;J3183&amp;" "&amp;K3183&amp;" "&amp;L3183&amp;" "&amp;M3183&amp;" "&amp;N3183</f>
        <v>2690</v>
      </c>
      <c r="G3183" t="s">
        <f>TEXT(D3183,"mmm dd")</f>
        <v>1530</v>
      </c>
      <c r="I3183" t="s">
        <v>2223</v>
      </c>
      <c r="J3183" t="s">
        <v>2320</v>
      </c>
    </row>
    <row r="3184" spans="1:23">
      <c r="A3184">
        <v>23</v>
      </c>
      <c r="B3184">
        <v>2</v>
      </c>
      <c r="C3184">
        <v>2021</v>
      </c>
      <c r="D3184" s="3" t="str">
        <f>B3184&amp;"/"&amp;A3184&amp;"/"&amp;C3184</f>
        <v>2/23/2021</v>
      </c>
      <c r="E3184">
        <v>0.72916666666666663</v>
      </c>
      <c r="F3184" t="s">
        <f>I3184&amp;" "&amp;J3184&amp;" "&amp;K3184&amp;" "&amp;L3184&amp;" "&amp;M3184&amp;" "&amp;N3184</f>
        <v>2887</v>
      </c>
      <c r="G3184" t="s">
        <f>TEXT(D3184,"mmm dd")</f>
        <v>1532</v>
      </c>
      <c r="I3184" t="s">
        <v>2874</v>
      </c>
      <c r="J3184" t="s">
        <v>2238</v>
      </c>
      <c r="L3184" t="s">
        <v>2745</v>
      </c>
      <c r="M3184" t="s">
        <v>2131</v>
      </c>
    </row>
    <row r="3185" spans="1:23">
      <c r="A3185">
        <v>24</v>
      </c>
      <c r="B3185">
        <v>2</v>
      </c>
      <c r="C3185">
        <v>2021</v>
      </c>
      <c r="D3185" s="3" t="str">
        <f>B3185&amp;"/"&amp;A3185&amp;"/"&amp;C3185</f>
        <v>2/24/2021</v>
      </c>
      <c r="E3185">
        <v>0.85416666666666663</v>
      </c>
      <c r="F3185" t="s">
        <f>I3185&amp;" "&amp;J3185&amp;" "&amp;K3185&amp;" "&amp;L3185&amp;" "&amp;M3185&amp;" "&amp;N3185</f>
        <v>2887</v>
      </c>
      <c r="G3185" t="s">
        <f>TEXT(D3185,"mmm dd")</f>
        <v>2498</v>
      </c>
      <c r="I3185" t="s">
        <v>2874</v>
      </c>
      <c r="J3185" t="s">
        <v>2238</v>
      </c>
      <c r="L3185" t="s">
        <v>2745</v>
      </c>
      <c r="M3185" t="s">
        <v>2131</v>
      </c>
    </row>
    <row r="3186" spans="1:23">
      <c r="A3186">
        <v>25</v>
      </c>
      <c r="B3186">
        <v>2</v>
      </c>
      <c r="C3186">
        <v>2021</v>
      </c>
      <c r="D3186" s="3" t="str">
        <f>B3186&amp;"/"&amp;A3186&amp;"/"&amp;C3186</f>
        <v>2/25/2021</v>
      </c>
      <c r="E3186">
        <v>0.79166666666666663</v>
      </c>
      <c r="F3186" t="s">
        <f>I3186&amp;" "&amp;J3186&amp;" "&amp;K3186&amp;" "&amp;L3186&amp;" "&amp;M3186&amp;" "&amp;N3186</f>
        <v>2861</v>
      </c>
      <c r="G3186" t="s">
        <f>TEXT(D3186,"mmm dd")</f>
        <v>1216</v>
      </c>
      <c r="I3186" t="s">
        <v>2862</v>
      </c>
      <c r="J3186" t="s">
        <v>2863</v>
      </c>
    </row>
    <row r="3187" spans="1:23">
      <c r="A3187">
        <v>27</v>
      </c>
      <c r="B3187">
        <v>2</v>
      </c>
      <c r="C3187">
        <v>2021</v>
      </c>
      <c r="D3187" s="3" t="str">
        <f>B3187&amp;"/"&amp;A3187&amp;"/"&amp;C3187</f>
        <v>2/27/2021</v>
      </c>
      <c r="E3187">
        <v>0.125</v>
      </c>
      <c r="F3187" t="s">
        <f>I3187&amp;" "&amp;J3187&amp;" "&amp;K3187&amp;" "&amp;L3187&amp;" "&amp;M3187&amp;" "&amp;N3187</f>
        <v>2690</v>
      </c>
      <c r="G3187" t="s">
        <f>TEXT(D3187,"mmm dd")</f>
        <v>1223</v>
      </c>
      <c r="I3187" t="s">
        <v>2223</v>
      </c>
      <c r="J3187" t="s">
        <v>2320</v>
      </c>
    </row>
    <row r="3188" spans="1:23">
      <c r="A3188">
        <v>28</v>
      </c>
      <c r="B3188">
        <v>2</v>
      </c>
      <c r="C3188">
        <v>2021</v>
      </c>
      <c r="D3188" s="3" t="str">
        <f>B3188&amp;"/"&amp;A3188&amp;"/"&amp;C3188</f>
        <v>2/28/2021</v>
      </c>
      <c r="E3188">
        <v>0.59375</v>
      </c>
      <c r="F3188" t="str">
        <f>I3188&amp;" "&amp;J3188&amp;" "&amp;K3188&amp;" "&amp;L3188&amp;" "&amp;M3188&amp;" "&amp;N3188</f>
        <v>National Cathedral    </v>
      </c>
      <c r="G3188" t="s">
        <f>TEXT(D3188,"mmm dd")</f>
        <v>1227</v>
      </c>
      <c r="I3188" t="s">
        <v>2670</v>
      </c>
      <c r="J3188" t="s">
        <v>1533</v>
      </c>
    </row>
    <row r="3189" spans="1:23">
      <c r="A3189">
        <v>2</v>
      </c>
      <c r="B3189">
        <v>3</v>
      </c>
      <c r="C3189">
        <v>2021</v>
      </c>
      <c r="D3189" s="3" t="s">
        <f>B3189&amp;"/"&amp;A3189&amp;"/"&amp;C3189</f>
        <v>2902</v>
      </c>
      <c r="E3189">
        <v>0.80208333333333337</v>
      </c>
      <c r="F3189" t="str">
        <f>I3189&amp;" "&amp;J3189&amp;" "&amp;K3189&amp;" "&amp;L3189&amp;" "&amp;M3189&amp;" "&amp;N3189</f>
        <v>In office Dr. Eichhorn  </v>
      </c>
      <c r="G3189" t="s">
        <f>TEXT(D3189,"mmm dd")</f>
        <v>1535</v>
      </c>
      <c r="I3189" t="inlineStr">
        <is>
          <t>In</t>
        </is>
      </c>
      <c r="J3189" t="s">
        <v>2148</v>
      </c>
      <c r="K3189" t="s">
        <v>847</v>
      </c>
      <c r="L3189" t="s">
        <v>2626</v>
      </c>
    </row>
    <row r="3190" spans="1:23">
      <c r="A3190">
        <v>2</v>
      </c>
      <c r="B3190">
        <v>3</v>
      </c>
      <c r="C3190">
        <v>2021</v>
      </c>
      <c r="D3190" s="3" t="s">
        <f>B3190&amp;"/"&amp;A3190&amp;"/"&amp;C3190</f>
        <v>2902</v>
      </c>
      <c r="E3190">
        <v>0.71527777777777779</v>
      </c>
      <c r="F3190" t="s">
        <f>I3190&amp;" "&amp;J3190&amp;" "&amp;K3190&amp;" "&amp;L3190&amp;" "&amp;M3190&amp;" "&amp;N3190</f>
        <v>2768</v>
      </c>
      <c r="G3190" t="s">
        <f>TEXT(D3190,"mmm dd")</f>
        <v>1535</v>
      </c>
      <c r="I3190" t="s">
        <v>1791</v>
      </c>
      <c r="J3190" t="s">
        <v>2513</v>
      </c>
      <c r="K3190" t="s">
        <v>2523</v>
      </c>
      <c r="L3190" t="s">
        <v>2769</v>
      </c>
      <c r="M3190">
        <v>7</v>
      </c>
      <c r="N3190" t="s">
        <v>2770</v>
      </c>
    </row>
    <row r="3191" spans="1:23">
      <c r="A3191">
        <v>3</v>
      </c>
      <c r="B3191">
        <v>3</v>
      </c>
      <c r="C3191">
        <v>2021</v>
      </c>
      <c r="D3191" s="3" t="s">
        <f>B3191&amp;"/"&amp;A3191&amp;"/"&amp;C3191</f>
        <v>2903</v>
      </c>
      <c r="E3191">
        <v>0.6875</v>
      </c>
      <c r="F3191" t="s">
        <f>I3191&amp;" "&amp;J3191&amp;" "&amp;K3191&amp;" "&amp;L3191&amp;" "&amp;M3191&amp;" "&amp;N3191</f>
        <v>2887</v>
      </c>
      <c r="G3191" t="s">
        <f>TEXT(D3191,"mmm dd")</f>
        <v>1234</v>
      </c>
      <c r="I3191" t="s">
        <v>2874</v>
      </c>
      <c r="J3191" t="s">
        <v>2238</v>
      </c>
      <c r="L3191" t="s">
        <v>2745</v>
      </c>
      <c r="M3191" t="s">
        <v>2131</v>
      </c>
    </row>
    <row r="3192" spans="1:23">
      <c r="A3192">
        <v>3</v>
      </c>
      <c r="B3192">
        <v>3</v>
      </c>
      <c r="C3192">
        <v>2021</v>
      </c>
      <c r="D3192" s="3" t="s">
        <f>B3192&amp;"/"&amp;A3192&amp;"/"&amp;C3192</f>
        <v>2903</v>
      </c>
      <c r="E3192" t="s">
        <v>42</v>
      </c>
      <c r="F3192" t="s">
        <f>I3192&amp;" "&amp;J3192&amp;" "&amp;K3192&amp;" "&amp;L3192&amp;" "&amp;M3192&amp;" "&amp;N3192</f>
        <v>2904</v>
      </c>
      <c r="G3192" t="s">
        <f>TEXT(D3192,"mmm dd")</f>
        <v>1234</v>
      </c>
      <c r="I3192" t="s">
        <v>119</v>
      </c>
      <c r="J3192" t="s">
        <v>2301</v>
      </c>
      <c r="K3192" t="s">
        <v>502</v>
      </c>
    </row>
    <row r="3193" spans="1:23">
      <c r="A3193">
        <v>4</v>
      </c>
      <c r="B3193">
        <v>3</v>
      </c>
      <c r="C3193">
        <v>2021</v>
      </c>
      <c r="D3193" s="3" t="s">
        <f>B3193&amp;"/"&amp;A3193&amp;"/"&amp;C3193</f>
        <v>2905</v>
      </c>
      <c r="E3193">
        <v>0.75</v>
      </c>
      <c r="F3193" t="s">
        <f>I3193&amp;" "&amp;J3193&amp;" "&amp;K3193&amp;" "&amp;L3193&amp;" "&amp;M3193&amp;" "&amp;N3193</f>
        <v>2690</v>
      </c>
      <c r="G3193" t="s">
        <f>TEXT(D3193,"mmm dd")</f>
        <v>1538</v>
      </c>
      <c r="I3193" t="s">
        <v>2223</v>
      </c>
      <c r="J3193" t="s">
        <v>2320</v>
      </c>
    </row>
    <row r="3194" spans="1:23">
      <c r="A3194">
        <v>4</v>
      </c>
      <c r="B3194">
        <v>3</v>
      </c>
      <c r="C3194">
        <v>2021</v>
      </c>
      <c r="D3194" s="3" t="s">
        <f>B3194&amp;"/"&amp;A3194&amp;"/"&amp;C3194</f>
        <v>2905</v>
      </c>
      <c r="E3194">
        <v>0.8125</v>
      </c>
      <c r="F3194" t="s">
        <f>I3194&amp;" "&amp;J3194&amp;" "&amp;K3194&amp;" "&amp;L3194&amp;" "&amp;M3194&amp;" "&amp;N3194</f>
        <v>2889</v>
      </c>
      <c r="G3194" t="s">
        <f>TEXT(D3194,"mmm dd")</f>
        <v>1538</v>
      </c>
      <c r="I3194" t="s">
        <v>2890</v>
      </c>
      <c r="J3194" t="s">
        <v>2891</v>
      </c>
    </row>
    <row r="3195" spans="1:23">
      <c r="A3195">
        <v>7</v>
      </c>
      <c r="B3195">
        <v>3</v>
      </c>
      <c r="C3195">
        <v>2021</v>
      </c>
      <c r="D3195" s="3" t="str">
        <f>B3195&amp;"/"&amp;A3195&amp;"/"&amp;C3195</f>
        <v>3/7/2021</v>
      </c>
      <c r="E3195">
        <v>0.75</v>
      </c>
      <c r="F3195" t="s">
        <f>I3195&amp;" "&amp;J3195&amp;" "&amp;K3195&amp;" "&amp;L3195&amp;" "&amp;M3195&amp;" "&amp;N3195</f>
        <v>2470</v>
      </c>
      <c r="G3195" t="s">
        <f>TEXT(D3195,"mmm dd")</f>
        <v>1239</v>
      </c>
      <c r="I3195" t="s">
        <v>2468</v>
      </c>
      <c r="J3195" t="s">
        <v>53</v>
      </c>
      <c r="K3195" t="s">
        <v>218</v>
      </c>
      <c r="L3195" t="s">
        <v>2471</v>
      </c>
    </row>
    <row r="3196" spans="1:23">
      <c r="A3196">
        <v>9</v>
      </c>
      <c r="B3196">
        <v>3</v>
      </c>
      <c r="C3196">
        <v>2021</v>
      </c>
      <c r="D3196" s="3" t="s">
        <f>B3196&amp;"/"&amp;A3196&amp;"/"&amp;C3196</f>
        <v>2906</v>
      </c>
      <c r="E3196">
        <v>0.77083333333333337</v>
      </c>
      <c r="F3196" t="s">
        <f>I3196&amp;" "&amp;J3196&amp;" "&amp;K3196&amp;" "&amp;L3196&amp;" "&amp;M3196&amp;" "&amp;N3196</f>
        <v>2895</v>
      </c>
      <c r="G3196" t="s">
        <f>TEXT(D3196,"mmm dd")</f>
        <v>1545</v>
      </c>
      <c r="I3196" t="s">
        <v>2869</v>
      </c>
      <c r="J3196" t="s">
        <v>439</v>
      </c>
      <c r="K3196" t="s">
        <v>1316</v>
      </c>
    </row>
    <row r="3197" spans="1:23">
      <c r="A3197">
        <v>9</v>
      </c>
      <c r="B3197">
        <v>3</v>
      </c>
      <c r="C3197">
        <v>2021</v>
      </c>
      <c r="D3197" s="3" t="s">
        <f>B3197&amp;"/"&amp;A3197&amp;"/"&amp;C3197</f>
        <v>2906</v>
      </c>
      <c r="E3197">
        <v>0.25</v>
      </c>
      <c r="F3197" t="s">
        <f>I3197&amp;" "&amp;J3197&amp;" "&amp;K3197&amp;" "&amp;L3197&amp;" "&amp;M3197&amp;" "&amp;N3197</f>
        <v>2690</v>
      </c>
      <c r="G3197" t="s">
        <f>TEXT(D3197,"mmm dd")</f>
        <v>1545</v>
      </c>
      <c r="I3197" t="s">
        <v>2223</v>
      </c>
      <c r="J3197" t="s">
        <v>2320</v>
      </c>
    </row>
    <row r="3198" spans="1:23">
      <c r="A3198">
        <v>10</v>
      </c>
      <c r="B3198">
        <v>3</v>
      </c>
      <c r="C3198">
        <v>2021</v>
      </c>
      <c r="D3198" s="3" t="str">
        <f>B3198&amp;"/"&amp;A3198&amp;"/"&amp;C3198</f>
        <v>3/10/2021</v>
      </c>
      <c r="E3198">
        <v>0.6875</v>
      </c>
      <c r="F3198" t="s">
        <f>I3198&amp;" "&amp;J3198&amp;" "&amp;K3198&amp;" "&amp;L3198&amp;" "&amp;M3198&amp;" "&amp;N3198</f>
        <v>2887</v>
      </c>
      <c r="G3198" t="s">
        <f>TEXT(D3198,"mmm dd")</f>
        <v>1241</v>
      </c>
      <c r="I3198" t="s">
        <v>2874</v>
      </c>
      <c r="J3198" t="s">
        <v>2238</v>
      </c>
      <c r="L3198" t="s">
        <v>2745</v>
      </c>
      <c r="M3198" t="s">
        <v>2131</v>
      </c>
    </row>
    <row r="3199" spans="1:23">
      <c r="A3199">
        <v>14</v>
      </c>
      <c r="B3199">
        <v>3</v>
      </c>
      <c r="C3199">
        <v>2021</v>
      </c>
      <c r="D3199" s="3" t="str">
        <f>B3199&amp;"/"&amp;A3199&amp;"/"&amp;C3199</f>
        <v>3/14/2021</v>
      </c>
      <c r="E3199">
        <v>0.16666666666666666</v>
      </c>
      <c r="F3199" t="s">
        <f>I3199&amp;" "&amp;J3199&amp;" "&amp;K3199&amp;" "&amp;L3199&amp;" "&amp;M3199&amp;" "&amp;N3199</f>
        <v>2690</v>
      </c>
      <c r="G3199" t="s">
        <f>TEXT(D3199,"mmm dd")</f>
        <v>1877</v>
      </c>
      <c r="I3199" t="s">
        <v>2223</v>
      </c>
      <c r="J3199" t="s">
        <v>2320</v>
      </c>
    </row>
    <row r="3200" spans="1:23">
      <c r="A3200">
        <v>15</v>
      </c>
      <c r="B3200">
        <v>3</v>
      </c>
      <c r="C3200">
        <v>2021</v>
      </c>
      <c r="D3200" s="3" t="s">
        <f>B3200&amp;"/"&amp;A3200&amp;"/"&amp;C3200</f>
        <v>2907</v>
      </c>
      <c r="E3200" t="s">
        <v>42</v>
      </c>
      <c r="F3200" t="str">
        <f>I3200&amp;" "&amp;J3200&amp;" "&amp;K3200&amp;" "&amp;L3200&amp;" "&amp;M3200&amp;" "&amp;N3200</f>
        <v>Check with CVS re hepatitis a</v>
      </c>
      <c r="G3200" t="s">
        <f>TEXT(D3200,"mmm dd")</f>
        <v>1878</v>
      </c>
      <c r="I3200" t="s">
        <v>2363</v>
      </c>
      <c r="J3200" t="s">
        <v>755</v>
      </c>
      <c r="K3200" t="s">
        <v>2813</v>
      </c>
      <c r="L3200" t="s">
        <v>594</v>
      </c>
      <c r="M3200" t="inlineStr">
        <is>
          <t>hepatitis</t>
        </is>
      </c>
      <c r="N3200" t="s">
        <v>686</v>
      </c>
    </row>
    <row r="3201" spans="1:23">
      <c r="A3201">
        <v>15</v>
      </c>
      <c r="B3201">
        <v>3</v>
      </c>
      <c r="C3201">
        <v>2021</v>
      </c>
      <c r="D3201" s="3" t="s">
        <f>B3201&amp;"/"&amp;A3201&amp;"/"&amp;C3201</f>
        <v>2907</v>
      </c>
      <c r="E3201">
        <v>0.6875</v>
      </c>
      <c r="F3201" t="s">
        <f>I3201&amp;" "&amp;J3201&amp;" "&amp;K3201&amp;" "&amp;L3201&amp;" "&amp;M3201&amp;" "&amp;N3201</f>
        <v>2867</v>
      </c>
      <c r="G3201" t="s">
        <f>TEXT(D3201,"mmm dd")</f>
        <v>1878</v>
      </c>
      <c r="I3201" t="s">
        <v>585</v>
      </c>
      <c r="J3201" t="s">
        <v>2868</v>
      </c>
      <c r="L3201" t="s">
        <v>2713</v>
      </c>
    </row>
    <row r="3202" spans="1:23">
      <c r="A3202">
        <v>18</v>
      </c>
      <c r="B3202">
        <v>3</v>
      </c>
      <c r="C3202">
        <v>2021</v>
      </c>
      <c r="D3202" s="3" t="s">
        <f>B3202&amp;"/"&amp;A3202&amp;"/"&amp;C3202</f>
        <v>2908</v>
      </c>
      <c r="E3202" t="s">
        <v>42</v>
      </c>
      <c r="F3202" t="str">
        <f>I3202&amp;" "&amp;J3202&amp;" "&amp;K3202&amp;" "&amp;L3202&amp;" "&amp;M3202&amp;" "&amp;N3202</f>
        <v>Spring Break day   </v>
      </c>
      <c r="G3202" t="s">
        <f>TEXT(D3202,"mmm dd")</f>
        <v>1251</v>
      </c>
      <c r="I3202" t="s">
        <v>119</v>
      </c>
      <c r="J3202" t="s">
        <v>2826</v>
      </c>
      <c r="K3202" t="s">
        <v>502</v>
      </c>
    </row>
    <row r="3203" spans="1:23">
      <c r="A3203">
        <v>18</v>
      </c>
      <c r="B3203">
        <v>3</v>
      </c>
      <c r="C3203">
        <v>2021</v>
      </c>
      <c r="D3203" s="3" t="s">
        <f>B3203&amp;"/"&amp;A3203&amp;"/"&amp;C3203</f>
        <v>2908</v>
      </c>
      <c r="E3203">
        <v>1.0416666666666667</v>
      </c>
      <c r="F3203" t="s">
        <f>I3203&amp;" "&amp;J3203&amp;" "&amp;K3203&amp;" "&amp;L3203&amp;" "&amp;M3203&amp;" "&amp;N3203</f>
        <v>2690</v>
      </c>
      <c r="G3203" t="s">
        <f>TEXT(D3203,"mmm dd")</f>
        <v>1251</v>
      </c>
      <c r="I3203" t="s">
        <v>2223</v>
      </c>
      <c r="J3203" t="s">
        <v>2320</v>
      </c>
    </row>
    <row r="3204" spans="1:23">
      <c r="A3204">
        <v>23</v>
      </c>
      <c r="B3204">
        <v>3</v>
      </c>
      <c r="C3204">
        <v>2021</v>
      </c>
      <c r="D3204" s="3" t="str">
        <f>B3204&amp;"/"&amp;A3204&amp;"/"&amp;C3204</f>
        <v>3/23/2021</v>
      </c>
      <c r="E3204">
        <v>0.875</v>
      </c>
      <c r="F3204" t="s">
        <f>I3204&amp;" "&amp;J3204&amp;" "&amp;K3204&amp;" "&amp;L3204&amp;" "&amp;M3204&amp;" "&amp;N3204</f>
        <v>2690</v>
      </c>
      <c r="G3204" t="s">
        <f>TEXT(D3204,"mmm dd")</f>
        <v>1888</v>
      </c>
      <c r="I3204" t="s">
        <v>2223</v>
      </c>
      <c r="J3204" t="s">
        <v>2320</v>
      </c>
    </row>
    <row r="3205" spans="1:23">
      <c r="A3205">
        <v>24</v>
      </c>
      <c r="B3205">
        <v>3</v>
      </c>
      <c r="C3205">
        <v>2021</v>
      </c>
      <c r="D3205" s="3" t="str">
        <f>B3205&amp;"/"&amp;A3205&amp;"/"&amp;C3205</f>
        <v>3/24/2021</v>
      </c>
      <c r="E3205">
        <v>0.64583333333333337</v>
      </c>
      <c r="F3205" t="s">
        <f>I3205&amp;" "&amp;J3205&amp;" "&amp;K3205&amp;" "&amp;L3205&amp;" "&amp;M3205&amp;" "&amp;N3205</f>
        <v>2887</v>
      </c>
      <c r="G3205" t="s">
        <f>TEXT(D3205,"mmm dd")</f>
        <v>1265</v>
      </c>
      <c r="I3205" t="s">
        <v>2874</v>
      </c>
      <c r="J3205" t="s">
        <v>2238</v>
      </c>
      <c r="L3205" t="s">
        <v>2745</v>
      </c>
      <c r="M3205" t="s">
        <v>2131</v>
      </c>
    </row>
    <row r="3206" spans="1:23">
      <c r="A3206">
        <v>28</v>
      </c>
      <c r="B3206">
        <v>3</v>
      </c>
      <c r="C3206">
        <v>2021</v>
      </c>
      <c r="D3206" s="3" t="s">
        <f>B3206&amp;"/"&amp;A3206&amp;"/"&amp;C3206</f>
        <v>2909</v>
      </c>
      <c r="E3206">
        <v>0.70833333333333337</v>
      </c>
      <c r="F3206" t="str">
        <f>I3206&amp;" "&amp;J3206&amp;" "&amp;K3206&amp;" "&amp;L3206&amp;" "&amp;M3206&amp;" "&amp;N3206</f>
        <v>Supply at St. Paul's\  Monroe</v>
      </c>
      <c r="G3206" t="s">
        <f>TEXT(D3206,"mmm dd")</f>
        <v>1562</v>
      </c>
      <c r="I3206" t="s">
        <v>2468</v>
      </c>
      <c r="J3206" t="s">
        <v>53</v>
      </c>
      <c r="K3206" t="s">
        <v>218</v>
      </c>
      <c r="L3206" t="s">
        <v>2621</v>
      </c>
      <c r="N3206" t="s">
        <v>2669</v>
      </c>
    </row>
    <row r="3207" spans="1:23">
      <c r="A3207">
        <v>28</v>
      </c>
      <c r="B3207">
        <v>3</v>
      </c>
      <c r="C3207">
        <v>2021</v>
      </c>
      <c r="D3207" s="3" t="s">
        <f>B3207&amp;"/"&amp;A3207&amp;"/"&amp;C3207</f>
        <v>2909</v>
      </c>
      <c r="E3207">
        <v>0.75</v>
      </c>
      <c r="F3207" t="s">
        <f>I3207&amp;" "&amp;J3207&amp;" "&amp;K3207&amp;" "&amp;L3207&amp;" "&amp;M3207&amp;" "&amp;N3207</f>
        <v>2690</v>
      </c>
      <c r="G3207" t="s">
        <f>TEXT(D3207,"mmm dd")</f>
        <v>1562</v>
      </c>
      <c r="I3207" t="s">
        <v>2223</v>
      </c>
      <c r="J3207" t="s">
        <v>2320</v>
      </c>
    </row>
    <row r="3208" spans="1:23">
      <c r="A3208">
        <v>29</v>
      </c>
      <c r="B3208">
        <v>3</v>
      </c>
      <c r="C3208">
        <v>2021</v>
      </c>
      <c r="D3208" s="3" t="str">
        <f>B3208&amp;"/"&amp;A3208&amp;"/"&amp;C3208</f>
        <v>3/29/2021</v>
      </c>
      <c r="E3208">
        <v>0.75</v>
      </c>
      <c r="F3208" t="str">
        <f>I3208&amp;" "&amp;J3208&amp;" "&amp;K3208&amp;" "&amp;L3208&amp;" "&amp;M3208&amp;" "&amp;N3208</f>
        <v>Meet with Janey this week </v>
      </c>
      <c r="G3208" t="s">
        <f>TEXT(D3208,"mmm dd")</f>
        <v>1897</v>
      </c>
      <c r="I3208" t="s">
        <v>300</v>
      </c>
      <c r="J3208" t="s">
        <v>755</v>
      </c>
      <c r="K3208" t="s">
        <v>2735</v>
      </c>
      <c r="L3208" t="s">
        <v>1893</v>
      </c>
      <c r="M3208" t="s">
        <v>2803</v>
      </c>
    </row>
    <row r="3209" spans="1:23">
      <c r="A3209">
        <v>31</v>
      </c>
      <c r="B3209">
        <v>3</v>
      </c>
      <c r="C3209">
        <v>2021</v>
      </c>
      <c r="D3209" s="3" t="str">
        <f>B3209&amp;"/"&amp;A3209&amp;"/"&amp;C3209</f>
        <v>3/31/2021</v>
      </c>
      <c r="E3209">
        <v>0.64583333333333337</v>
      </c>
      <c r="F3209" t="s">
        <f>I3209&amp;" "&amp;J3209&amp;" "&amp;K3209&amp;" "&amp;L3209&amp;" "&amp;M3209&amp;" "&amp;N3209</f>
        <v>2887</v>
      </c>
      <c r="G3209" t="s">
        <f>TEXT(D3209,"mmm dd")</f>
        <v>1267</v>
      </c>
      <c r="I3209" t="s">
        <v>2874</v>
      </c>
      <c r="J3209" t="s">
        <v>2238</v>
      </c>
      <c r="L3209" t="s">
        <v>2745</v>
      </c>
      <c r="M3209" t="s">
        <v>2131</v>
      </c>
    </row>
    <row r="3210" spans="1:23">
      <c r="A3210">
        <v>1</v>
      </c>
      <c r="B3210">
        <v>4</v>
      </c>
      <c r="C3210">
        <v>2021</v>
      </c>
      <c r="D3210" s="3" t="str">
        <f>B3210&amp;"/"&amp;A3210&amp;"/"&amp;C3210</f>
        <v>4/1/2021</v>
      </c>
      <c r="E3210">
        <v>0.75</v>
      </c>
      <c r="F3210" t="s">
        <f>I3210&amp;" "&amp;J3210&amp;" "&amp;K3210&amp;" "&amp;L3210&amp;" "&amp;M3210&amp;" "&amp;N3210</f>
        <v>2910</v>
      </c>
      <c r="G3210" t="s">
        <f>TEXT(D3210,"mmm dd")</f>
        <v>43</v>
      </c>
      <c r="I3210" t="s">
        <v>2890</v>
      </c>
      <c r="J3210" t="s">
        <v>2238</v>
      </c>
    </row>
    <row r="3211" spans="1:23">
      <c r="A3211">
        <v>2</v>
      </c>
      <c r="B3211">
        <v>4</v>
      </c>
      <c r="C3211">
        <v>2021</v>
      </c>
      <c r="D3211" s="3" t="str">
        <f>B3211&amp;"/"&amp;A3211&amp;"/"&amp;C3211</f>
        <v>4/2/2021</v>
      </c>
      <c r="E3211">
        <v>0.75</v>
      </c>
      <c r="F3211" t="s">
        <f>I3211&amp;" "&amp;J3211&amp;" "&amp;K3211&amp;" "&amp;L3211&amp;" "&amp;M3211&amp;" "&amp;N3211</f>
        <v>2690</v>
      </c>
      <c r="G3211" t="s">
        <f>TEXT(D3211,"mmm dd")</f>
        <v>65</v>
      </c>
      <c r="I3211" t="s">
        <v>2223</v>
      </c>
      <c r="J3211" t="s">
        <v>2320</v>
      </c>
      <c r="O3211" t="inlineStr">
        <is>
          <t>Risk</t>
        </is>
      </c>
      <c r="P3211" t="s">
        <v>2378</v>
      </c>
    </row>
    <row r="3212" spans="1:23">
      <c r="A3212">
        <v>4</v>
      </c>
      <c r="B3212">
        <v>4</v>
      </c>
      <c r="C3212">
        <v>2021</v>
      </c>
      <c r="D3212" s="3" t="str">
        <f>B3212&amp;"/"&amp;A3212&amp;"/"&amp;C3212</f>
        <v>4/4/2021</v>
      </c>
      <c r="E3212">
        <v>0.625</v>
      </c>
      <c r="F3212" t="str">
        <f>I3212&amp;" "&amp;J3212&amp;" "&amp;K3212&amp;" "&amp;L3212&amp;" "&amp;M3212&amp;" "&amp;N3212</f>
        <v>Supply St. Peter's\  St. Paul's</v>
      </c>
      <c r="G3212" t="s">
        <f>TEXT(D3212,"mmm dd")</f>
        <v>91</v>
      </c>
      <c r="I3212" t="s">
        <v>2468</v>
      </c>
      <c r="J3212" t="s">
        <v>218</v>
      </c>
      <c r="K3212" t="s">
        <v>2644</v>
      </c>
      <c r="M3212" t="s">
        <v>218</v>
      </c>
      <c r="N3212" t="s">
        <v>2471</v>
      </c>
    </row>
    <row r="3213" spans="1:23">
      <c r="A3213">
        <v>5</v>
      </c>
      <c r="B3213">
        <v>4</v>
      </c>
      <c r="C3213">
        <v>2021</v>
      </c>
      <c r="D3213" s="3" t="str">
        <f>B3213&amp;"/"&amp;A3213&amp;"/"&amp;C3213</f>
        <v>4/5/2021</v>
      </c>
      <c r="E3213">
        <v>0.875</v>
      </c>
      <c r="F3213" t="s">
        <f>I3213&amp;" "&amp;J3213&amp;" "&amp;K3213&amp;" "&amp;L3213&amp;" "&amp;M3213&amp;" "&amp;N3213</f>
        <v>2883</v>
      </c>
      <c r="G3213" t="s">
        <f>TEXT(D3213,"mmm dd")</f>
        <v>108</v>
      </c>
      <c r="I3213" t="s">
        <v>300</v>
      </c>
      <c r="J3213" t="s">
        <v>755</v>
      </c>
      <c r="K3213" t="s">
        <v>2884</v>
      </c>
    </row>
    <row r="3214" spans="1:23">
      <c r="A3214">
        <v>7</v>
      </c>
      <c r="B3214">
        <v>4</v>
      </c>
      <c r="C3214">
        <v>2021</v>
      </c>
      <c r="D3214" s="3" t="s">
        <f>B3214&amp;"/"&amp;A3214&amp;"/"&amp;C3214</f>
        <v>2911</v>
      </c>
      <c r="E3214">
        <v>0.66666666666666663</v>
      </c>
      <c r="F3214" t="s">
        <f>I3214&amp;" "&amp;J3214&amp;" "&amp;K3214&amp;" "&amp;L3214&amp;" "&amp;M3214&amp;" "&amp;N3214</f>
        <v>2887</v>
      </c>
      <c r="G3214" t="s">
        <f>TEXT(D3214,"mmm dd")</f>
        <v>125</v>
      </c>
      <c r="I3214" t="s">
        <v>2874</v>
      </c>
      <c r="J3214" t="s">
        <v>2238</v>
      </c>
      <c r="L3214" t="s">
        <v>2745</v>
      </c>
      <c r="M3214" t="s">
        <v>2131</v>
      </c>
    </row>
    <row r="3215" spans="1:23">
      <c r="A3215">
        <v>7</v>
      </c>
      <c r="B3215">
        <v>4</v>
      </c>
      <c r="C3215">
        <v>2021</v>
      </c>
      <c r="D3215" s="3" t="s">
        <f>B3215&amp;"/"&amp;A3215&amp;"/"&amp;C3215</f>
        <v>2911</v>
      </c>
      <c r="E3215">
        <v>0.16666666666666666</v>
      </c>
      <c r="F3215" t="s">
        <f>I3215&amp;" "&amp;J3215&amp;" "&amp;K3215&amp;" "&amp;L3215&amp;" "&amp;M3215&amp;" "&amp;N3215</f>
        <v>2690</v>
      </c>
      <c r="G3215" t="s">
        <f>TEXT(D3215,"mmm dd")</f>
        <v>125</v>
      </c>
      <c r="I3215" t="s">
        <v>2223</v>
      </c>
      <c r="J3215" t="s">
        <v>2320</v>
      </c>
    </row>
    <row r="3216" spans="1:23">
      <c r="A3216">
        <v>9</v>
      </c>
      <c r="B3216">
        <v>4</v>
      </c>
      <c r="C3216">
        <v>2021</v>
      </c>
      <c r="D3216" s="3" t="str">
        <f>B3216&amp;"/"&amp;A3216&amp;"/"&amp;C3216</f>
        <v>4/9/2021</v>
      </c>
      <c r="E3216" t="s">
        <v>42</v>
      </c>
      <c r="F3216" t="s">
        <f>I3216&amp;" "&amp;J3216&amp;" "&amp;K3216&amp;" "&amp;L3216&amp;" "&amp;M3216&amp;" "&amp;N3216</f>
        <v>2904</v>
      </c>
      <c r="G3216" t="s">
        <f>TEXT(D3216,"mmm dd")</f>
        <v>147</v>
      </c>
      <c r="I3216" t="s">
        <v>119</v>
      </c>
      <c r="J3216" t="s">
        <v>2301</v>
      </c>
      <c r="K3216" t="s">
        <v>502</v>
      </c>
    </row>
    <row r="3217" spans="1:23">
      <c r="A3217">
        <v>11</v>
      </c>
      <c r="B3217">
        <v>4</v>
      </c>
      <c r="C3217">
        <v>2021</v>
      </c>
      <c r="D3217" s="3" t="s">
        <f>B3217&amp;"/"&amp;A3217&amp;"/"&amp;C3217</f>
        <v>2912</v>
      </c>
      <c r="E3217">
        <v>0.625</v>
      </c>
      <c r="F3217" t="s">
        <f>I3217&amp;" "&amp;J3217&amp;" "&amp;K3217&amp;" "&amp;L3217&amp;" "&amp;M3217&amp;" "&amp;N3217</f>
        <v>2755</v>
      </c>
      <c r="G3217" t="s">
        <f>TEXT(D3217,"mmm dd")</f>
        <v>161</v>
      </c>
      <c r="I3217" t="s">
        <v>2468</v>
      </c>
      <c r="J3217" t="s">
        <v>964</v>
      </c>
      <c r="K3217" t="s">
        <v>86</v>
      </c>
      <c r="L3217" t="s">
        <v>2119</v>
      </c>
      <c r="M3217" t="s">
        <v>2756</v>
      </c>
    </row>
    <row r="3218" spans="1:23">
      <c r="A3218">
        <v>11</v>
      </c>
      <c r="B3218">
        <v>4</v>
      </c>
      <c r="C3218">
        <v>2021</v>
      </c>
      <c r="D3218" s="3" t="s">
        <f>B3218&amp;"/"&amp;A3218&amp;"/"&amp;C3218</f>
        <v>2912</v>
      </c>
      <c r="E3218">
        <v>1.0833333333333333</v>
      </c>
      <c r="F3218" t="s">
        <f>I3218&amp;" "&amp;J3218&amp;" "&amp;K3218&amp;" "&amp;L3218&amp;" "&amp;M3218&amp;" "&amp;N3218</f>
        <v>2690</v>
      </c>
      <c r="G3218" t="s">
        <f>TEXT(D3218,"mmm dd")</f>
        <v>161</v>
      </c>
      <c r="I3218" t="s">
        <v>2223</v>
      </c>
      <c r="J3218" t="s">
        <v>2320</v>
      </c>
    </row>
    <row r="3219" spans="1:23">
      <c r="A3219">
        <v>13</v>
      </c>
      <c r="B3219">
        <v>4</v>
      </c>
      <c r="C3219">
        <v>2021</v>
      </c>
      <c r="D3219" s="3" t="str">
        <f>B3219&amp;"/"&amp;A3219&amp;"/"&amp;C3219</f>
        <v>4/13/2021</v>
      </c>
      <c r="E3219">
        <v>0.66666666666666663</v>
      </c>
      <c r="F3219" t="s">
        <f>I3219&amp;" "&amp;J3219&amp;" "&amp;K3219&amp;" "&amp;L3219&amp;" "&amp;M3219&amp;" "&amp;N3219</f>
        <v>2913</v>
      </c>
      <c r="G3219" t="s">
        <f>TEXT(D3219,"mmm dd")</f>
        <v>174</v>
      </c>
      <c r="I3219" t="s">
        <v>2829</v>
      </c>
      <c r="J3219">
        <v>6</v>
      </c>
      <c r="K3219" t="s">
        <v>2914</v>
      </c>
      <c r="L3219" t="s">
        <v>2323</v>
      </c>
      <c r="M3219" t="s">
        <v>807</v>
      </c>
    </row>
    <row r="3220" spans="1:23">
      <c r="A3220">
        <v>17</v>
      </c>
      <c r="B3220">
        <v>4</v>
      </c>
      <c r="C3220">
        <v>2021</v>
      </c>
      <c r="D3220" s="3" t="str">
        <f>B3220&amp;"/"&amp;A3220&amp;"/"&amp;C3220</f>
        <v>4/17/2021</v>
      </c>
      <c r="E3220">
        <v>0.70833333333333337</v>
      </c>
      <c r="F3220" t="s">
        <f>I3220&amp;" "&amp;J3220&amp;" "&amp;K3220&amp;" "&amp;L3220&amp;" "&amp;M3220&amp;" "&amp;N3220</f>
        <v>2690</v>
      </c>
      <c r="G3220" t="s">
        <f>TEXT(D3220,"mmm dd")</f>
        <v>187</v>
      </c>
      <c r="I3220" t="s">
        <v>2223</v>
      </c>
      <c r="J3220" t="s">
        <v>2320</v>
      </c>
    </row>
    <row r="3221" spans="1:23">
      <c r="A3221">
        <v>19</v>
      </c>
      <c r="B3221">
        <v>4</v>
      </c>
      <c r="C3221">
        <v>2021</v>
      </c>
      <c r="D3221" s="3" t="s">
        <f>B3221&amp;"/"&amp;A3221&amp;"/"&amp;C3221</f>
        <v>2915</v>
      </c>
      <c r="E3221" t="s">
        <v>42</v>
      </c>
      <c r="F3221" t="s">
        <f>I3221&amp;" "&amp;J3221&amp;" "&amp;K3221&amp;" "&amp;L3221&amp;" "&amp;M3221&amp;" "&amp;N3221</f>
        <v>2904</v>
      </c>
      <c r="G3221" t="s">
        <f>TEXT(D3221,"mmm dd")</f>
        <v>196</v>
      </c>
      <c r="I3221" t="s">
        <v>119</v>
      </c>
      <c r="J3221" t="s">
        <v>2301</v>
      </c>
      <c r="K3221" t="s">
        <v>502</v>
      </c>
    </row>
    <row r="3222" spans="1:23">
      <c r="A3222">
        <v>19</v>
      </c>
      <c r="B3222">
        <v>4</v>
      </c>
      <c r="C3222">
        <v>2021</v>
      </c>
      <c r="D3222" s="3" t="s">
        <f>B3222&amp;"/"&amp;A3222&amp;"/"&amp;C3222</f>
        <v>2915</v>
      </c>
      <c r="E3222">
        <v>0.8125</v>
      </c>
      <c r="F3222" t="s">
        <f>I3222&amp;" "&amp;J3222&amp;" "&amp;K3222&amp;" "&amp;L3222&amp;" "&amp;M3222&amp;" "&amp;N3222</f>
        <v>2895</v>
      </c>
      <c r="G3222" t="s">
        <f>TEXT(D3222,"mmm dd")</f>
        <v>196</v>
      </c>
      <c r="I3222" t="s">
        <v>2869</v>
      </c>
      <c r="J3222" t="s">
        <v>439</v>
      </c>
      <c r="K3222" t="s">
        <v>1316</v>
      </c>
    </row>
    <row r="3223" spans="1:23">
      <c r="A3223">
        <v>20</v>
      </c>
      <c r="B3223">
        <v>4</v>
      </c>
      <c r="C3223">
        <v>2021</v>
      </c>
      <c r="D3223" s="3" t="s">
        <f>B3223&amp;"/"&amp;A3223&amp;"/"&amp;C3223</f>
        <v>2916</v>
      </c>
      <c r="E3223">
        <v>0.6875</v>
      </c>
      <c r="F3223" t="s">
        <f>I3223&amp;" "&amp;J3223&amp;" "&amp;K3223&amp;" "&amp;L3223&amp;" "&amp;M3223&amp;" "&amp;N3223</f>
        <v>2427</v>
      </c>
      <c r="G3223" t="s">
        <f>TEXT(D3223,"mmm dd")</f>
        <v>204</v>
      </c>
      <c r="I3223" t="s">
        <v>1409</v>
      </c>
    </row>
    <row r="3224" spans="1:23">
      <c r="A3224">
        <v>20</v>
      </c>
      <c r="B3224">
        <v>4</v>
      </c>
      <c r="C3224">
        <v>2021</v>
      </c>
      <c r="D3224" s="3" t="s">
        <f>B3224&amp;"/"&amp;A3224&amp;"/"&amp;C3224</f>
        <v>2916</v>
      </c>
      <c r="E3224">
        <v>0.91249999999999998</v>
      </c>
      <c r="F3224" t="str">
        <f>I3224&amp;" "&amp;J3224&amp;" "&amp;K3224&amp;" "&amp;L3224&amp;" "&amp;M3224&amp;" "&amp;N3224</f>
        <v>Flight to Charlotte (DL 1667) </v>
      </c>
      <c r="G3224" t="s">
        <f>TEXT(D3224,"mmm dd")</f>
        <v>204</v>
      </c>
      <c r="I3224" t="s">
        <v>2365</v>
      </c>
      <c r="J3224" t="s">
        <v>449</v>
      </c>
      <c r="K3224" t="s">
        <v>2372</v>
      </c>
      <c r="L3224" t="s">
        <v>2591</v>
      </c>
      <c r="M3224" t="inlineStr">
        <is>
          <t>1667)</t>
        </is>
      </c>
    </row>
    <row r="3225" spans="1:23">
      <c r="A3225">
        <v>20</v>
      </c>
      <c r="B3225">
        <v>4</v>
      </c>
      <c r="C3225">
        <v>2021</v>
      </c>
      <c r="D3225" s="3" t="s">
        <f>B3225&amp;"/"&amp;A3225&amp;"/"&amp;C3225</f>
        <v>2916</v>
      </c>
      <c r="E3225">
        <v>0.79097222222222219</v>
      </c>
      <c r="F3225" t="str">
        <f>I3225&amp;" "&amp;J3225&amp;" "&amp;K3225&amp;" "&amp;L3225&amp;" "&amp;M3225&amp;" "&amp;N3225</f>
        <v>Flight to Atlanta (DL 5125) </v>
      </c>
      <c r="G3225" t="s">
        <f>TEXT(D3225,"mmm dd")</f>
        <v>204</v>
      </c>
      <c r="I3225" t="s">
        <v>2365</v>
      </c>
      <c r="J3225" t="s">
        <v>449</v>
      </c>
      <c r="K3225" t="s">
        <v>2369</v>
      </c>
      <c r="L3225" t="s">
        <v>2591</v>
      </c>
      <c r="M3225" t="inlineStr">
        <is>
          <t>5125)</t>
        </is>
      </c>
    </row>
    <row r="3226" spans="1:23">
      <c r="A3226">
        <v>24</v>
      </c>
      <c r="B3226">
        <v>4</v>
      </c>
      <c r="C3226">
        <v>2021</v>
      </c>
      <c r="D3226" s="3" t="str">
        <f>B3226&amp;"/"&amp;A3226&amp;"/"&amp;C3226</f>
        <v>4/24/2021</v>
      </c>
      <c r="E3226">
        <v>0.75</v>
      </c>
      <c r="F3226" t="str">
        <f>I3226&amp;" "&amp;J3226&amp;" "&amp;K3226&amp;" "&amp;L3226&amp;" "&amp;M3226&amp;" "&amp;N3226</f>
        <v>Call Melinda    </v>
      </c>
      <c r="G3226" t="s">
        <f>TEXT(D3226,"mmm dd")</f>
        <v>224</v>
      </c>
      <c r="I3226" t="s">
        <v>1028</v>
      </c>
      <c r="J3226" t="s">
        <v>2917</v>
      </c>
    </row>
    <row r="3227" spans="1:23">
      <c r="A3227">
        <v>27</v>
      </c>
      <c r="B3227">
        <v>4</v>
      </c>
      <c r="C3227">
        <v>2021</v>
      </c>
      <c r="D3227" s="3" t="s">
        <f>B3227&amp;"/"&amp;A3227&amp;"/"&amp;C3227</f>
        <v>2918</v>
      </c>
      <c r="E3227">
        <v>0.875</v>
      </c>
      <c r="F3227" t="str">
        <f>I3227&amp;" "&amp;J3227&amp;" "&amp;K3227&amp;" "&amp;L3227&amp;" "&amp;M3227&amp;" "&amp;N3227</f>
        <v>Religious &amp; Spiritual Identities  </v>
      </c>
      <c r="G3227" t="s">
        <f>TEXT(D3227,"mmm dd")</f>
        <v>234</v>
      </c>
      <c r="I3227" t="inlineStr">
        <is>
          <t>Religious</t>
        </is>
      </c>
      <c r="J3227" t="s">
        <v>73</v>
      </c>
      <c r="K3227" t="s">
        <v>2063</v>
      </c>
      <c r="L3227" t="inlineStr">
        <is>
          <t>Identities</t>
        </is>
      </c>
    </row>
    <row r="3228" spans="1:23">
      <c r="A3228">
        <v>27</v>
      </c>
      <c r="B3228">
        <v>4</v>
      </c>
      <c r="C3228">
        <v>2021</v>
      </c>
      <c r="D3228" s="3" t="s">
        <f>B3228&amp;"/"&amp;A3228&amp;"/"&amp;C3228</f>
        <v>2918</v>
      </c>
      <c r="E3228">
        <v>0.6875</v>
      </c>
      <c r="F3228" t="str">
        <f>I3228&amp;" "&amp;J3228&amp;" "&amp;K3228&amp;" "&amp;L3228&amp;" "&amp;M3228&amp;" "&amp;N3228</f>
        <v>Retiree celebration (masks req'd)  </v>
      </c>
      <c r="G3228" t="s">
        <f>TEXT(D3228,"mmm dd")</f>
        <v>234</v>
      </c>
      <c r="I3228" t="inlineStr">
        <is>
          <t>Retiree</t>
        </is>
      </c>
      <c r="J3228" t="inlineStr">
        <is>
          <t>celebration</t>
        </is>
      </c>
      <c r="K3228" t="inlineStr">
        <is>
          <t>(masks</t>
        </is>
      </c>
      <c r="L3228" t="inlineStr">
        <is>
          <t>req'd)</t>
        </is>
      </c>
    </row>
    <row r="3229" spans="1:23">
      <c r="A3229">
        <v>28</v>
      </c>
      <c r="B3229">
        <v>4</v>
      </c>
      <c r="C3229">
        <v>2021</v>
      </c>
      <c r="D3229" s="3" t="str">
        <f>B3229&amp;"/"&amp;A3229&amp;"/"&amp;C3229</f>
        <v>4/28/2021</v>
      </c>
      <c r="E3229">
        <v>1.0416666666666667</v>
      </c>
      <c r="F3229" t="s">
        <f>I3229&amp;" "&amp;J3229&amp;" "&amp;K3229&amp;" "&amp;L3229&amp;" "&amp;M3229&amp;" "&amp;N3229</f>
        <v>2887</v>
      </c>
      <c r="G3229" t="s">
        <f>TEXT(D3229,"mmm dd")</f>
        <v>236</v>
      </c>
      <c r="I3229" t="s">
        <v>2874</v>
      </c>
      <c r="J3229" t="s">
        <v>2238</v>
      </c>
      <c r="L3229" t="s">
        <v>2745</v>
      </c>
      <c r="M3229" t="s">
        <v>2131</v>
      </c>
    </row>
    <row r="3230" spans="1:23">
      <c r="A3230">
        <v>29</v>
      </c>
      <c r="B3230">
        <v>4</v>
      </c>
      <c r="C3230">
        <v>2021</v>
      </c>
      <c r="D3230" s="3" t="str">
        <f>B3230&amp;"/"&amp;A3230&amp;"/"&amp;C3230</f>
        <v>4/29/2021</v>
      </c>
      <c r="E3230">
        <v>0.75</v>
      </c>
      <c r="F3230" t="s">
        <f>I3230&amp;" "&amp;J3230&amp;" "&amp;K3230&amp;" "&amp;L3230&amp;" "&amp;M3230&amp;" "&amp;N3230</f>
        <v>2910</v>
      </c>
      <c r="G3230" t="s">
        <f>TEXT(D3230,"mmm dd")</f>
        <v>239</v>
      </c>
      <c r="I3230" t="s">
        <v>2890</v>
      </c>
      <c r="J3230" t="s">
        <v>2238</v>
      </c>
    </row>
    <row r="3231" spans="1:23">
      <c r="A3231">
        <v>30</v>
      </c>
      <c r="B3231">
        <v>4</v>
      </c>
      <c r="C3231">
        <v>2021</v>
      </c>
      <c r="D3231" s="3" t="s">
        <f>B3231&amp;"/"&amp;A3231&amp;"/"&amp;C3231</f>
        <v>2919</v>
      </c>
      <c r="E3231">
        <v>0.89583333333333337</v>
      </c>
      <c r="F3231" t="str">
        <f>I3231&amp;" "&amp;J3231&amp;" "&amp;K3231&amp;" "&amp;L3231&amp;" "&amp;M3231&amp;" "&amp;N3231</f>
        <v>Funeral at St Paul's  </v>
      </c>
      <c r="G3231" t="s">
        <f>TEXT(D3231,"mmm dd")</f>
        <v>246</v>
      </c>
      <c r="I3231" t="s">
        <v>1135</v>
      </c>
      <c r="J3231" t="s">
        <v>53</v>
      </c>
      <c r="K3231" t="s">
        <v>1796</v>
      </c>
      <c r="L3231" t="s">
        <v>2471</v>
      </c>
    </row>
    <row r="3232" spans="1:23">
      <c r="A3232">
        <v>30</v>
      </c>
      <c r="B3232">
        <v>4</v>
      </c>
      <c r="C3232">
        <v>2021</v>
      </c>
      <c r="D3232" s="3" t="s">
        <f>B3232&amp;"/"&amp;A3232&amp;"/"&amp;C3232</f>
        <v>2919</v>
      </c>
      <c r="E3232">
        <v>0.82291666666666663</v>
      </c>
      <c r="F3232" t="s">
        <f>I3232&amp;" "&amp;J3232&amp;" "&amp;K3232&amp;" "&amp;L3232&amp;" "&amp;M3232&amp;" "&amp;N3232</f>
        <v>2920</v>
      </c>
      <c r="G3232" t="s">
        <f>TEXT(D3232,"mmm dd")</f>
        <v>246</v>
      </c>
      <c r="I3232" t="s">
        <v>2229</v>
      </c>
      <c r="J3232" t="s">
        <v>439</v>
      </c>
      <c r="K3232" t="s">
        <v>2669</v>
      </c>
    </row>
    <row r="3233" spans="1:23">
      <c r="A3233">
        <v>2</v>
      </c>
      <c r="B3233">
        <v>5</v>
      </c>
      <c r="C3233">
        <v>2021</v>
      </c>
      <c r="D3233" s="3" t="s">
        <f>B3233&amp;"/"&amp;A3233&amp;"/"&amp;C3233</f>
        <v>2921</v>
      </c>
      <c r="E3233">
        <v>0.70833333333333337</v>
      </c>
      <c r="F3233" t="str">
        <f>I3233&amp;" "&amp;J3233&amp;" "&amp;K3233&amp;" "&amp;L3233&amp;" "&amp;M3233&amp;" "&amp;N3233</f>
        <v>Supply at St Paul's  </v>
      </c>
      <c r="G3233" t="s">
        <f>TEXT(D3233,"mmm dd")</f>
        <v>256</v>
      </c>
      <c r="I3233" t="s">
        <v>2468</v>
      </c>
      <c r="J3233" t="s">
        <v>53</v>
      </c>
      <c r="K3233" t="s">
        <v>1796</v>
      </c>
      <c r="L3233" t="s">
        <v>2471</v>
      </c>
    </row>
    <row r="3234" spans="1:23">
      <c r="A3234">
        <v>2</v>
      </c>
      <c r="B3234">
        <v>5</v>
      </c>
      <c r="C3234">
        <v>2021</v>
      </c>
      <c r="D3234" s="3" t="s">
        <f>B3234&amp;"/"&amp;A3234&amp;"/"&amp;C3234</f>
        <v>2921</v>
      </c>
      <c r="E3234">
        <v>0.63541666666666663</v>
      </c>
      <c r="F3234" t="s">
        <f>I3234&amp;" "&amp;J3234&amp;" "&amp;K3234&amp;" "&amp;L3234&amp;" "&amp;M3234&amp;" "&amp;N3234</f>
        <v>2920</v>
      </c>
      <c r="G3234" t="s">
        <f>TEXT(D3234,"mmm dd")</f>
        <v>256</v>
      </c>
      <c r="I3234" t="s">
        <v>2229</v>
      </c>
      <c r="J3234" t="s">
        <v>439</v>
      </c>
      <c r="K3234" t="s">
        <v>2669</v>
      </c>
    </row>
    <row r="3235" spans="1:23">
      <c r="A3235">
        <v>4</v>
      </c>
      <c r="B3235">
        <v>5</v>
      </c>
      <c r="C3235">
        <v>2021</v>
      </c>
      <c r="D3235" s="3" t="str">
        <f>B3235&amp;"/"&amp;A3235&amp;"/"&amp;C3235</f>
        <v>5/4/2021</v>
      </c>
      <c r="E3235">
        <v>0.52083333333333337</v>
      </c>
      <c r="F3235" t="s">
        <f>I3235&amp;" "&amp;J3235&amp;" "&amp;K3235&amp;" "&amp;L3235&amp;" "&amp;M3235&amp;" "&amp;N3235</f>
        <v>2427</v>
      </c>
      <c r="G3235" t="s">
        <f>TEXT(D3235,"mmm dd")</f>
        <v>268</v>
      </c>
      <c r="I3235" t="s">
        <v>1409</v>
      </c>
    </row>
    <row r="3236" spans="1:23">
      <c r="A3236">
        <v>5</v>
      </c>
      <c r="B3236">
        <v>5</v>
      </c>
      <c r="C3236">
        <v>2021</v>
      </c>
      <c r="D3236" s="3" t="str">
        <f>B3236&amp;"/"&amp;A3236&amp;"/"&amp;C3236</f>
        <v>5/5/2021</v>
      </c>
      <c r="E3236">
        <v>0.64583333333333337</v>
      </c>
      <c r="F3236" t="s">
        <f>I3236&amp;" "&amp;J3236&amp;" "&amp;K3236&amp;" "&amp;L3236&amp;" "&amp;M3236&amp;" "&amp;N3236</f>
        <v>2887</v>
      </c>
      <c r="G3236" t="s">
        <f>TEXT(D3236,"mmm dd")</f>
        <v>2212</v>
      </c>
      <c r="I3236" t="s">
        <v>2874</v>
      </c>
      <c r="J3236" t="s">
        <v>2238</v>
      </c>
      <c r="L3236" t="s">
        <v>2745</v>
      </c>
      <c r="M3236" t="s">
        <v>2131</v>
      </c>
    </row>
    <row r="3237" spans="1:23">
      <c r="A3237">
        <v>6</v>
      </c>
      <c r="B3237">
        <v>5</v>
      </c>
      <c r="C3237">
        <v>2021</v>
      </c>
      <c r="D3237" s="3" t="str">
        <f>B3237&amp;"/"&amp;A3237&amp;"/"&amp;C3237</f>
        <v>5/6/2021</v>
      </c>
      <c r="E3237">
        <v>0.70833333333333337</v>
      </c>
      <c r="F3237" t="s">
        <f>I3237&amp;" "&amp;J3237&amp;" "&amp;K3237&amp;" "&amp;L3237&amp;" "&amp;M3237&amp;" "&amp;N3237</f>
        <v>2690</v>
      </c>
      <c r="G3237" t="s">
        <f>TEXT(D3237,"mmm dd")</f>
        <v>277</v>
      </c>
      <c r="I3237" t="s">
        <v>2223</v>
      </c>
      <c r="J3237" t="s">
        <v>2320</v>
      </c>
    </row>
    <row r="3238" spans="1:23">
      <c r="A3238">
        <v>11</v>
      </c>
      <c r="B3238">
        <v>5</v>
      </c>
      <c r="C3238">
        <v>2021</v>
      </c>
      <c r="D3238" s="3" t="str">
        <f>B3238&amp;"/"&amp;A3238&amp;"/"&amp;C3238</f>
        <v>5/11/2021</v>
      </c>
      <c r="E3238">
        <v>1</v>
      </c>
      <c r="F3238" t="s">
        <f>I3238&amp;" "&amp;J3238&amp;" "&amp;K3238&amp;" "&amp;L3238&amp;" "&amp;M3238&amp;" "&amp;N3238</f>
        <v>2690</v>
      </c>
      <c r="G3238" t="s">
        <f>TEXT(D3238,"mmm dd")</f>
        <v>308</v>
      </c>
      <c r="I3238" t="s">
        <v>2223</v>
      </c>
      <c r="J3238" t="s">
        <v>2320</v>
      </c>
    </row>
    <row r="3239" spans="1:23">
      <c r="A3239">
        <v>12</v>
      </c>
      <c r="B3239">
        <v>5</v>
      </c>
      <c r="C3239">
        <v>2021</v>
      </c>
      <c r="D3239" s="3" t="s">
        <f>B3239&amp;"/"&amp;A3239&amp;"/"&amp;C3239</f>
        <v>2922</v>
      </c>
      <c r="E3239">
        <v>0.875</v>
      </c>
      <c r="F3239" t="s">
        <f>I3239&amp;" "&amp;J3239&amp;" "&amp;K3239&amp;" "&amp;L3239&amp;" "&amp;M3239&amp;" "&amp;N3239</f>
        <v>2873</v>
      </c>
      <c r="G3239" t="s">
        <f>TEXT(D3239,"mmm dd")</f>
        <v>317</v>
      </c>
      <c r="I3239" t="s">
        <v>2874</v>
      </c>
      <c r="J3239" t="s">
        <v>2238</v>
      </c>
    </row>
    <row r="3240" spans="1:23">
      <c r="A3240">
        <v>12</v>
      </c>
      <c r="B3240">
        <v>5</v>
      </c>
      <c r="C3240">
        <v>2021</v>
      </c>
      <c r="D3240" s="3" t="s">
        <f>B3240&amp;"/"&amp;A3240&amp;"/"&amp;C3240</f>
        <v>2922</v>
      </c>
      <c r="E3240">
        <v>0.79166666666666663</v>
      </c>
      <c r="F3240" t="str">
        <f>I3240&amp;" "&amp;J3240&amp;" "&amp;K3240&amp;" "&amp;L3240&amp;" "&amp;M3240&amp;" "&amp;N3240</f>
        <v>Meet Greg    </v>
      </c>
      <c r="G3240" t="s">
        <f>TEXT(D3240,"mmm dd")</f>
        <v>317</v>
      </c>
      <c r="I3240" t="s">
        <v>300</v>
      </c>
      <c r="J3240" t="s">
        <v>1266</v>
      </c>
    </row>
    <row r="3241" spans="1:23">
      <c r="A3241">
        <v>13</v>
      </c>
      <c r="B3241">
        <v>5</v>
      </c>
      <c r="C3241">
        <v>2021</v>
      </c>
      <c r="D3241" s="3" t="str">
        <f>B3241&amp;"/"&amp;A3241&amp;"/"&amp;C3241</f>
        <v>5/13/2021</v>
      </c>
      <c r="E3241">
        <v>0.625</v>
      </c>
      <c r="F3241" t="s">
        <f>I3241&amp;" "&amp;J3241&amp;" "&amp;K3241&amp;" "&amp;L3241&amp;" "&amp;M3241&amp;" "&amp;N3241</f>
        <v>2802</v>
      </c>
      <c r="G3241" t="s">
        <f>TEXT(D3241,"mmm dd")</f>
        <v>321</v>
      </c>
      <c r="I3241" t="s">
        <v>1370</v>
      </c>
      <c r="J3241" t="s">
        <v>427</v>
      </c>
    </row>
    <row r="3242" spans="1:23">
      <c r="A3242">
        <v>16</v>
      </c>
      <c r="B3242">
        <v>5</v>
      </c>
      <c r="C3242">
        <v>2021</v>
      </c>
      <c r="D3242" s="3" t="s">
        <f>B3242&amp;"/"&amp;A3242&amp;"/"&amp;C3242</f>
        <v>2923</v>
      </c>
      <c r="E3242">
        <v>1</v>
      </c>
      <c r="F3242" t="s">
        <f>I3242&amp;" "&amp;J3242&amp;" "&amp;K3242&amp;" "&amp;L3242&amp;" "&amp;M3242&amp;" "&amp;N3242</f>
        <v>2690</v>
      </c>
      <c r="G3242" t="s">
        <f>TEXT(D3242,"mmm dd")</f>
        <v>328</v>
      </c>
      <c r="I3242" t="s">
        <v>2223</v>
      </c>
      <c r="J3242" t="s">
        <v>2320</v>
      </c>
    </row>
    <row r="3243" spans="1:23">
      <c r="A3243">
        <v>16</v>
      </c>
      <c r="B3243">
        <v>5</v>
      </c>
      <c r="C3243">
        <v>2021</v>
      </c>
      <c r="D3243" s="3" t="s">
        <f>B3243&amp;"/"&amp;A3243&amp;"/"&amp;C3243</f>
        <v>2923</v>
      </c>
      <c r="E3243">
        <v>0.70833333333333337</v>
      </c>
      <c r="F3243" t="s">
        <f>I3243&amp;" "&amp;J3243&amp;" "&amp;K3243&amp;" "&amp;L3243&amp;" "&amp;M3243&amp;" "&amp;N3243</f>
        <v>1840</v>
      </c>
      <c r="G3243" t="s">
        <f>TEXT(D3243,"mmm dd")</f>
        <v>328</v>
      </c>
      <c r="I3243" t="s">
        <v>1273</v>
      </c>
    </row>
    <row r="3244" spans="1:23">
      <c r="A3244">
        <v>19</v>
      </c>
      <c r="B3244">
        <v>5</v>
      </c>
      <c r="C3244">
        <v>2021</v>
      </c>
      <c r="D3244" s="3" t="str">
        <f>B3244&amp;"/"&amp;A3244&amp;"/"&amp;C3244</f>
        <v>5/19/2021</v>
      </c>
      <c r="E3244" t="s">
        <v>42</v>
      </c>
      <c r="F3244" t="s">
        <f>I3244&amp;" "&amp;J3244&amp;" "&amp;K3244&amp;" "&amp;L3244&amp;" "&amp;M3244&amp;" "&amp;N3244</f>
        <v>2397</v>
      </c>
      <c r="G3244" t="s">
        <f>TEXT(D3244,"mmm dd")</f>
        <v>344</v>
      </c>
      <c r="I3244" t="s">
        <v>2398</v>
      </c>
      <c r="J3244" t="s">
        <v>53</v>
      </c>
      <c r="K3244" t="s">
        <v>2399</v>
      </c>
      <c r="L3244" t="s">
        <v>2400</v>
      </c>
      <c r="M3244" t="s">
        <v>86</v>
      </c>
      <c r="N3244" t="s">
        <v>1856</v>
      </c>
    </row>
    <row r="3245" spans="1:23">
      <c r="A3245">
        <v>26</v>
      </c>
      <c r="B3245">
        <v>5</v>
      </c>
      <c r="C3245">
        <v>2021</v>
      </c>
      <c r="D3245" s="3" t="str">
        <f>B3245&amp;"/"&amp;A3245&amp;"/"&amp;C3245</f>
        <v>5/26/2021</v>
      </c>
      <c r="E3245">
        <v>0.75</v>
      </c>
      <c r="F3245" t="s">
        <f>I3245&amp;" "&amp;J3245&amp;" "&amp;K3245&amp;" "&amp;L3245&amp;" "&amp;M3245&amp;" "&amp;N3245</f>
        <v>2690</v>
      </c>
      <c r="G3245" t="s">
        <f>TEXT(D3245,"mmm dd")</f>
        <v>386</v>
      </c>
      <c r="I3245" t="s">
        <v>2223</v>
      </c>
      <c r="J3245" t="s">
        <v>2320</v>
      </c>
    </row>
    <row r="3246" spans="1:23">
      <c r="A3246">
        <v>29</v>
      </c>
      <c r="B3246">
        <v>5</v>
      </c>
      <c r="C3246">
        <v>2021</v>
      </c>
      <c r="D3246" s="3" t="str">
        <f>B3246&amp;"/"&amp;A3246&amp;"/"&amp;C3246</f>
        <v>5/29/2021</v>
      </c>
      <c r="E3246">
        <v>0.76736111111111116</v>
      </c>
      <c r="F3246" t="str">
        <f>I3246&amp;" "&amp;J3246&amp;" "&amp;K3246&amp;" "&amp;L3246&amp;" "&amp;M3246&amp;" "&amp;N3246</f>
        <v>Call Janet Brakedield   </v>
      </c>
      <c r="G3246" t="s">
        <f>TEXT(D3246,"mmm dd")</f>
        <v>397</v>
      </c>
      <c r="I3246" t="s">
        <v>1028</v>
      </c>
      <c r="J3246" t="s">
        <v>2745</v>
      </c>
      <c r="K3246" t="inlineStr">
        <is>
          <t>Brakedield</t>
        </is>
      </c>
    </row>
    <row r="3247" spans="1:23">
      <c r="A3247">
        <v>30</v>
      </c>
      <c r="B3247">
        <v>5</v>
      </c>
      <c r="C3247">
        <v>2021</v>
      </c>
      <c r="D3247" s="3" t="str">
        <f>B3247&amp;"/"&amp;A3247&amp;"/"&amp;C3247</f>
        <v>5/30/2021</v>
      </c>
      <c r="E3247">
        <v>0.70833333333333337</v>
      </c>
      <c r="F3247" t="s">
        <f>I3247&amp;" "&amp;J3247&amp;" "&amp;K3247&amp;" "&amp;L3247&amp;" "&amp;M3247&amp;" "&amp;N3247</f>
        <v>2924</v>
      </c>
      <c r="G3247" t="s">
        <f>TEXT(D3247,"mmm dd")</f>
        <v>402</v>
      </c>
      <c r="I3247" t="s">
        <v>218</v>
      </c>
      <c r="J3247" t="s">
        <v>2621</v>
      </c>
      <c r="L3247" t="s">
        <v>2669</v>
      </c>
      <c r="M3247" t="s">
        <v>2554</v>
      </c>
      <c r="O3247" t="s">
        <v>1805</v>
      </c>
    </row>
    <row r="3248" spans="1:23">
      <c r="A3248">
        <v>2</v>
      </c>
      <c r="B3248">
        <v>6</v>
      </c>
      <c r="C3248">
        <v>2021</v>
      </c>
      <c r="D3248" s="3" t="s">
        <f>B3248&amp;"/"&amp;A3248&amp;"/"&amp;C3248</f>
        <v>2925</v>
      </c>
      <c r="E3248">
        <v>0.73958333333333337</v>
      </c>
      <c r="F3248" t="s">
        <f>I3248&amp;" "&amp;J3248&amp;" "&amp;K3248&amp;" "&amp;L3248&amp;" "&amp;M3248&amp;" "&amp;N3248</f>
        <v>2880</v>
      </c>
      <c r="G3248" t="s">
        <f>TEXT(D3248,"mmm dd")</f>
        <v>430</v>
      </c>
      <c r="I3248" t="s">
        <v>1791</v>
      </c>
      <c r="J3248" t="s">
        <v>2537</v>
      </c>
      <c r="K3248" t="s">
        <v>1973</v>
      </c>
      <c r="L3248" t="s">
        <v>439</v>
      </c>
      <c r="M3248" t="s">
        <v>1316</v>
      </c>
    </row>
    <row r="3249" spans="1:23">
      <c r="A3249">
        <v>2</v>
      </c>
      <c r="B3249">
        <v>6</v>
      </c>
      <c r="C3249">
        <v>2021</v>
      </c>
      <c r="D3249" s="3" t="s">
        <f>B3249&amp;"/"&amp;A3249&amp;"/"&amp;C3249</f>
        <v>2925</v>
      </c>
      <c r="E3249">
        <v>0.20833333333333334</v>
      </c>
      <c r="F3249" t="s">
        <f>I3249&amp;" "&amp;J3249&amp;" "&amp;K3249&amp;" "&amp;L3249&amp;" "&amp;M3249&amp;" "&amp;N3249</f>
        <v>2690</v>
      </c>
      <c r="G3249" t="s">
        <f>TEXT(D3249,"mmm dd")</f>
        <v>430</v>
      </c>
      <c r="I3249" t="s">
        <v>2223</v>
      </c>
      <c r="J3249" t="s">
        <v>2320</v>
      </c>
    </row>
    <row r="3250" spans="1:23">
      <c r="A3250">
        <v>2</v>
      </c>
      <c r="B3250">
        <v>6</v>
      </c>
      <c r="C3250">
        <v>2021</v>
      </c>
      <c r="D3250" s="3" t="s">
        <f>B3250&amp;"/"&amp;A3250&amp;"/"&amp;C3250</f>
        <v>2925</v>
      </c>
      <c r="E3250">
        <v>0.66666666666666663</v>
      </c>
      <c r="F3250" t="str">
        <f>I3250&amp;" "&amp;J3250&amp;" "&amp;K3250&amp;" "&amp;L3250&amp;" "&amp;M3250&amp;" "&amp;N3250</f>
        <v>Call Catherine Massey   </v>
      </c>
      <c r="G3250" t="s">
        <f>TEXT(D3250,"mmm dd")</f>
        <v>430</v>
      </c>
      <c r="I3250" t="s">
        <v>1028</v>
      </c>
      <c r="J3250" t="s">
        <v>240</v>
      </c>
      <c r="K3250" t="inlineStr">
        <is>
          <t>Massey</t>
        </is>
      </c>
    </row>
    <row r="3251" spans="1:23">
      <c r="A3251">
        <v>3</v>
      </c>
      <c r="B3251">
        <v>6</v>
      </c>
      <c r="C3251">
        <v>2021</v>
      </c>
      <c r="D3251" s="3" t="str">
        <f>B3251&amp;"/"&amp;A3251&amp;"/"&amp;C3251</f>
        <v>6/3/2021</v>
      </c>
      <c r="E3251">
        <v>0.77083333333333337</v>
      </c>
      <c r="F3251" t="s">
        <f>I3251&amp;" "&amp;J3251&amp;" "&amp;K3251&amp;" "&amp;L3251&amp;" "&amp;M3251&amp;" "&amp;N3251</f>
        <v>2910</v>
      </c>
      <c r="G3251" t="s">
        <f>TEXT(D3251,"mmm dd")</f>
        <v>434</v>
      </c>
      <c r="I3251" t="s">
        <v>2890</v>
      </c>
      <c r="J3251" t="s">
        <v>2238</v>
      </c>
    </row>
    <row r="3252" spans="1:23">
      <c r="A3252">
        <v>6</v>
      </c>
      <c r="B3252">
        <v>6</v>
      </c>
      <c r="C3252">
        <v>2021</v>
      </c>
      <c r="D3252" s="3" t="str">
        <f>B3252&amp;"/"&amp;A3252&amp;"/"&amp;C3252</f>
        <v>6/6/2021</v>
      </c>
      <c r="E3252">
        <v>0.72916666666666663</v>
      </c>
      <c r="F3252" t="s">
        <f>I3252&amp;" "&amp;J3252&amp;" "&amp;K3252&amp;" "&amp;L3252&amp;" "&amp;M3252&amp;" "&amp;N3252</f>
        <v>2926</v>
      </c>
      <c r="G3252" t="s">
        <f>TEXT(D3252,"mmm dd")</f>
        <v>462</v>
      </c>
      <c r="I3252" t="s">
        <v>2468</v>
      </c>
      <c r="J3252" t="s">
        <v>53</v>
      </c>
      <c r="K3252" t="s">
        <v>2927</v>
      </c>
    </row>
    <row r="3253" spans="1:23">
      <c r="A3253">
        <v>7</v>
      </c>
      <c r="B3253">
        <v>6</v>
      </c>
      <c r="C3253">
        <v>2021</v>
      </c>
      <c r="D3253" s="3" t="s">
        <f>B3253&amp;"/"&amp;A3253&amp;"/"&amp;C3253</f>
        <v>2928</v>
      </c>
      <c r="E3253">
        <v>0.85416666666666663</v>
      </c>
      <c r="F3253" t="str">
        <f>I3253&amp;" "&amp;J3253&amp;" "&amp;K3253&amp;" "&amp;L3253&amp;" "&amp;M3253&amp;" "&amp;N3253</f>
        <v>Geary for crown   </v>
      </c>
      <c r="G3253" t="s">
        <f>TEXT(D3253,"mmm dd")</f>
        <v>464</v>
      </c>
      <c r="I3253" t="s">
        <v>2537</v>
      </c>
      <c r="J3253" t="s">
        <v>439</v>
      </c>
      <c r="K3253" t="s">
        <v>2262</v>
      </c>
    </row>
    <row r="3254" spans="1:23">
      <c r="A3254">
        <v>7</v>
      </c>
      <c r="B3254">
        <v>6</v>
      </c>
      <c r="C3254">
        <v>2021</v>
      </c>
      <c r="D3254" s="3" t="s">
        <f>B3254&amp;"/"&amp;A3254&amp;"/"&amp;C3254</f>
        <v>2928</v>
      </c>
      <c r="E3254">
        <v>0.77083333333333337</v>
      </c>
      <c r="F3254" t="s">
        <f>I3254&amp;" "&amp;J3254&amp;" "&amp;K3254&amp;" "&amp;L3254&amp;" "&amp;M3254&amp;" "&amp;N3254</f>
        <v>2895</v>
      </c>
      <c r="G3254" t="s">
        <f>TEXT(D3254,"mmm dd")</f>
        <v>464</v>
      </c>
      <c r="I3254" t="s">
        <v>2869</v>
      </c>
      <c r="J3254" t="s">
        <v>439</v>
      </c>
      <c r="K3254" t="s">
        <v>1316</v>
      </c>
    </row>
    <row r="3255" spans="1:23">
      <c r="A3255">
        <v>8</v>
      </c>
      <c r="B3255">
        <v>6</v>
      </c>
      <c r="C3255">
        <v>2021</v>
      </c>
      <c r="D3255" s="3" t="s">
        <f>B3255&amp;"/"&amp;A3255&amp;"/"&amp;C3255</f>
        <v>2929</v>
      </c>
      <c r="E3255">
        <v>0.64583333333333337</v>
      </c>
      <c r="F3255" t="s">
        <f>I3255&amp;" "&amp;J3255&amp;" "&amp;K3255&amp;" "&amp;L3255&amp;" "&amp;M3255&amp;" "&amp;N3255</f>
        <v>2873</v>
      </c>
      <c r="G3255" t="s">
        <f>TEXT(D3255,"mmm dd")</f>
        <v>1325</v>
      </c>
      <c r="I3255" t="s">
        <v>2874</v>
      </c>
      <c r="J3255" t="s">
        <v>2238</v>
      </c>
    </row>
    <row r="3256" spans="1:23">
      <c r="A3256">
        <v>8</v>
      </c>
      <c r="B3256">
        <v>6</v>
      </c>
      <c r="C3256">
        <v>2021</v>
      </c>
      <c r="D3256" s="3" t="s">
        <f>B3256&amp;"/"&amp;A3256&amp;"/"&amp;C3256</f>
        <v>2929</v>
      </c>
      <c r="E3256">
        <v>0.75</v>
      </c>
      <c r="F3256" t="s">
        <f>I3256&amp;" "&amp;J3256&amp;" "&amp;K3256&amp;" "&amp;L3256&amp;" "&amp;M3256&amp;" "&amp;N3256</f>
        <v>2930</v>
      </c>
      <c r="G3256" t="s">
        <f>TEXT(D3256,"mmm dd")</f>
        <v>1325</v>
      </c>
      <c r="I3256" t="s">
        <v>2537</v>
      </c>
    </row>
    <row r="3257" spans="1:23">
      <c r="A3257">
        <v>11</v>
      </c>
      <c r="B3257">
        <v>6</v>
      </c>
      <c r="C3257">
        <v>2021</v>
      </c>
      <c r="D3257" s="3" t="str">
        <f>B3257&amp;"/"&amp;A3257&amp;"/"&amp;C3257</f>
        <v>6/11/2021</v>
      </c>
      <c r="E3257">
        <v>0.875</v>
      </c>
      <c r="F3257" t="s">
        <f>I3257&amp;" "&amp;J3257&amp;" "&amp;K3257&amp;" "&amp;L3257&amp;" "&amp;M3257&amp;" "&amp;N3257</f>
        <v>2690</v>
      </c>
      <c r="G3257" t="s">
        <f>TEXT(D3257,"mmm dd")</f>
        <v>487</v>
      </c>
      <c r="I3257" t="s">
        <v>2223</v>
      </c>
      <c r="J3257" t="s">
        <v>2320</v>
      </c>
    </row>
    <row r="3258" spans="1:23">
      <c r="A3258">
        <v>13</v>
      </c>
      <c r="B3258">
        <v>6</v>
      </c>
      <c r="C3258">
        <v>2021</v>
      </c>
      <c r="D3258" s="3" t="str">
        <f>B3258&amp;"/"&amp;A3258&amp;"/"&amp;C3258</f>
        <v>6/13/2021</v>
      </c>
      <c r="E3258">
        <v>0.625</v>
      </c>
      <c r="F3258" t="s">
        <f>I3258&amp;" "&amp;J3258&amp;" "&amp;K3258&amp;" "&amp;L3258&amp;" "&amp;M3258&amp;" "&amp;N3258</f>
        <v>2755</v>
      </c>
      <c r="G3258" t="s">
        <f>TEXT(D3258,"mmm dd")</f>
        <v>511</v>
      </c>
      <c r="I3258" t="s">
        <v>2468</v>
      </c>
      <c r="J3258" t="s">
        <v>964</v>
      </c>
      <c r="K3258" t="s">
        <v>86</v>
      </c>
      <c r="L3258" t="s">
        <v>2119</v>
      </c>
      <c r="M3258" t="s">
        <v>2756</v>
      </c>
    </row>
    <row r="3259" spans="1:23">
      <c r="A3259">
        <v>14</v>
      </c>
      <c r="B3259">
        <v>6</v>
      </c>
      <c r="C3259">
        <v>2021</v>
      </c>
      <c r="D3259" s="3" t="str">
        <f>B3259&amp;"/"&amp;A3259&amp;"/"&amp;C3259</f>
        <v>6/14/2021</v>
      </c>
      <c r="E3259">
        <v>0.75</v>
      </c>
      <c r="F3259" t="str">
        <f>I3259&amp;" "&amp;J3259&amp;" "&amp;K3259&amp;" "&amp;L3259&amp;" "&amp;M3259&amp;" "&amp;N3259</f>
        <v>Check to Jeannie   </v>
      </c>
      <c r="G3259" t="s">
        <f>TEXT(D3259,"mmm dd")</f>
        <v>524</v>
      </c>
      <c r="I3259" t="s">
        <v>2363</v>
      </c>
      <c r="J3259" t="s">
        <v>449</v>
      </c>
      <c r="K3259" t="inlineStr">
        <is>
          <t>Jeannie</t>
        </is>
      </c>
    </row>
    <row r="3260" spans="1:23">
      <c r="A3260">
        <v>15</v>
      </c>
      <c r="B3260">
        <v>6</v>
      </c>
      <c r="C3260">
        <v>2021</v>
      </c>
      <c r="D3260" s="3" t="str">
        <f>B3260&amp;"/"&amp;A3260&amp;"/"&amp;C3260</f>
        <v>6/15/2021</v>
      </c>
      <c r="E3260">
        <v>0.64583333333333337</v>
      </c>
      <c r="F3260" t="s">
        <f>I3260&amp;" "&amp;J3260&amp;" "&amp;K3260&amp;" "&amp;L3260&amp;" "&amp;M3260&amp;" "&amp;N3260</f>
        <v>2887</v>
      </c>
      <c r="G3260" t="s">
        <f>TEXT(D3260,"mmm dd")</f>
        <v>533</v>
      </c>
      <c r="I3260" t="s">
        <v>2874</v>
      </c>
      <c r="J3260" t="s">
        <v>2238</v>
      </c>
      <c r="L3260" t="s">
        <v>2745</v>
      </c>
      <c r="M3260" t="s">
        <v>2131</v>
      </c>
    </row>
    <row r="3261" spans="1:23">
      <c r="A3261">
        <v>16</v>
      </c>
      <c r="B3261">
        <v>6</v>
      </c>
      <c r="C3261">
        <v>2021</v>
      </c>
      <c r="D3261" s="3" t="s">
        <f>B3261&amp;"/"&amp;A3261&amp;"/"&amp;C3261</f>
        <v>2931</v>
      </c>
      <c r="E3261">
        <v>0.70833333333333337</v>
      </c>
      <c r="F3261" t="s">
        <f>I3261&amp;" "&amp;J3261&amp;" "&amp;K3261&amp;" "&amp;L3261&amp;" "&amp;M3261&amp;" "&amp;N3261</f>
        <v>2661</v>
      </c>
      <c r="G3261" t="s">
        <f>TEXT(D3261,"mmm dd")</f>
        <v>543</v>
      </c>
      <c r="I3261" t="s">
        <v>2527</v>
      </c>
      <c r="J3261" t="s">
        <v>2641</v>
      </c>
      <c r="K3261" t="s">
        <v>2642</v>
      </c>
    </row>
    <row r="3262" spans="1:23">
      <c r="A3262">
        <v>16</v>
      </c>
      <c r="B3262">
        <v>6</v>
      </c>
      <c r="C3262">
        <v>2021</v>
      </c>
      <c r="D3262" s="3" t="s">
        <f>B3262&amp;"/"&amp;A3262&amp;"/"&amp;C3262</f>
        <v>2931</v>
      </c>
      <c r="E3262">
        <v>0.6875</v>
      </c>
      <c r="F3262" t="str">
        <f>I3262&amp;" "&amp;J3262&amp;" "&amp;K3262&amp;" "&amp;L3262&amp;" "&amp;M3262&amp;" "&amp;N3262</f>
        <v>Conversation with Bp. Rodman  </v>
      </c>
      <c r="G3262" t="s">
        <f>TEXT(D3262,"mmm dd")</f>
        <v>543</v>
      </c>
      <c r="I3262" t="s">
        <v>2932</v>
      </c>
      <c r="J3262" t="s">
        <v>755</v>
      </c>
      <c r="K3262" t="s">
        <v>2515</v>
      </c>
      <c r="L3262" t="inlineStr">
        <is>
          <t>Rodman</t>
        </is>
      </c>
    </row>
    <row r="3263" spans="1:23">
      <c r="A3263">
        <v>16</v>
      </c>
      <c r="B3263">
        <v>6</v>
      </c>
      <c r="C3263">
        <v>2021</v>
      </c>
      <c r="D3263" s="3" t="s">
        <f>B3263&amp;"/"&amp;A3263&amp;"/"&amp;C3263</f>
        <v>2931</v>
      </c>
      <c r="E3263">
        <v>1.0416666666666667</v>
      </c>
      <c r="F3263" t="s">
        <f>I3263&amp;" "&amp;J3263&amp;" "&amp;K3263&amp;" "&amp;L3263&amp;" "&amp;M3263&amp;" "&amp;N3263</f>
        <v>2690</v>
      </c>
      <c r="G3263" t="s">
        <f>TEXT(D3263,"mmm dd")</f>
        <v>543</v>
      </c>
      <c r="I3263" t="s">
        <v>2223</v>
      </c>
      <c r="J3263" t="s">
        <v>2320</v>
      </c>
    </row>
    <row r="3264" spans="1:23">
      <c r="A3264">
        <v>19</v>
      </c>
      <c r="B3264">
        <v>6</v>
      </c>
      <c r="C3264">
        <v>2021</v>
      </c>
      <c r="D3264" s="3" t="str">
        <f>B3264&amp;"/"&amp;A3264&amp;"/"&amp;C3264</f>
        <v>6/19/2021</v>
      </c>
      <c r="E3264">
        <v>0.875</v>
      </c>
      <c r="F3264" t="str">
        <f>I3264&amp;" "&amp;J3264&amp;" "&amp;K3264&amp;" "&amp;L3264&amp;" "&amp;M3264&amp;" "&amp;N3264</f>
        <v>Fr. Jim’s memorial service  </v>
      </c>
      <c r="G3264" t="s">
        <f>TEXT(D3264,"mmm dd")</f>
        <v>564</v>
      </c>
      <c r="I3264" t="s">
        <v>2300</v>
      </c>
      <c r="J3264" t="inlineStr">
        <is>
          <t>Jim’s</t>
        </is>
      </c>
      <c r="K3264" t="inlineStr">
        <is>
          <t>memorial</t>
        </is>
      </c>
      <c r="L3264" t="s">
        <v>427</v>
      </c>
    </row>
    <row r="3265" spans="1:23">
      <c r="A3265">
        <v>20</v>
      </c>
      <c r="B3265">
        <v>6</v>
      </c>
      <c r="C3265">
        <v>2021</v>
      </c>
      <c r="D3265" s="3" t="str">
        <f>B3265&amp;"/"&amp;A3265&amp;"/"&amp;C3265</f>
        <v>6/20/2021</v>
      </c>
      <c r="E3265">
        <v>0.625</v>
      </c>
      <c r="F3265" t="s">
        <f>I3265&amp;" "&amp;J3265&amp;" "&amp;K3265&amp;" "&amp;L3265&amp;" "&amp;M3265&amp;" "&amp;N3265</f>
        <v>2755</v>
      </c>
      <c r="G3265" t="s">
        <f>TEXT(D3265,"mmm dd")</f>
        <v>566</v>
      </c>
      <c r="I3265" t="s">
        <v>2468</v>
      </c>
      <c r="J3265" t="s">
        <v>964</v>
      </c>
      <c r="K3265" t="s">
        <v>86</v>
      </c>
      <c r="L3265" t="s">
        <v>2119</v>
      </c>
      <c r="M3265" t="s">
        <v>2756</v>
      </c>
    </row>
    <row r="3266" spans="1:23">
      <c r="A3266">
        <v>21</v>
      </c>
      <c r="B3266">
        <v>6</v>
      </c>
      <c r="C3266">
        <v>2021</v>
      </c>
      <c r="D3266" s="3" t="str">
        <f>B3266&amp;"/"&amp;A3266&amp;"/"&amp;C3266</f>
        <v>6/21/2021</v>
      </c>
      <c r="E3266">
        <v>1.0416666666666667</v>
      </c>
      <c r="F3266" t="s">
        <f>I3266&amp;" "&amp;J3266&amp;" "&amp;K3266&amp;" "&amp;L3266&amp;" "&amp;M3266&amp;" "&amp;N3266</f>
        <v>2690</v>
      </c>
      <c r="G3266" t="s">
        <f>TEXT(D3266,"mmm dd")</f>
        <v>568</v>
      </c>
      <c r="I3266" t="s">
        <v>2223</v>
      </c>
      <c r="J3266" t="s">
        <v>2320</v>
      </c>
    </row>
    <row r="3267" spans="1:23">
      <c r="A3267">
        <v>26</v>
      </c>
      <c r="B3267">
        <v>6</v>
      </c>
      <c r="C3267">
        <v>2021</v>
      </c>
      <c r="D3267" s="3" t="str">
        <f>B3267&amp;"/"&amp;A3267&amp;"/"&amp;C3267</f>
        <v>6/26/2021</v>
      </c>
      <c r="E3267">
        <v>1.0416666666666667</v>
      </c>
      <c r="F3267" t="s">
        <f>I3267&amp;" "&amp;J3267&amp;" "&amp;K3267&amp;" "&amp;L3267&amp;" "&amp;M3267&amp;" "&amp;N3267</f>
        <v>2690</v>
      </c>
      <c r="G3267" t="s">
        <f>TEXT(D3267,"mmm dd")</f>
        <v>1335</v>
      </c>
      <c r="I3267" t="s">
        <v>2223</v>
      </c>
      <c r="J3267" t="s">
        <v>2320</v>
      </c>
    </row>
    <row r="3268" spans="1:23">
      <c r="A3268">
        <v>27</v>
      </c>
      <c r="B3268">
        <v>6</v>
      </c>
      <c r="C3268">
        <v>2021</v>
      </c>
      <c r="D3268" s="3" t="s">
        <f>B3268&amp;"/"&amp;A3268&amp;"/"&amp;C3268</f>
        <v>2933</v>
      </c>
      <c r="E3268">
        <v>0.83333333333333337</v>
      </c>
      <c r="F3268" t="str">
        <f>I3268&amp;" "&amp;J3268&amp;" "&amp;K3268&amp;" "&amp;L3268&amp;" "&amp;M3268&amp;" "&amp;N3268</f>
        <v>Convocation via Zoom   </v>
      </c>
      <c r="G3268" t="s">
        <f>TEXT(D3268,"mmm dd")</f>
        <v>1336</v>
      </c>
      <c r="I3268" t="s">
        <v>876</v>
      </c>
      <c r="J3268" t="s">
        <v>2711</v>
      </c>
      <c r="K3268" t="s">
        <v>2712</v>
      </c>
    </row>
    <row r="3269" spans="1:23">
      <c r="A3269">
        <v>27</v>
      </c>
      <c r="B3269">
        <v>6</v>
      </c>
      <c r="C3269">
        <v>2021</v>
      </c>
      <c r="D3269" s="3" t="s">
        <f>B3269&amp;"/"&amp;A3269&amp;"/"&amp;C3269</f>
        <v>2933</v>
      </c>
      <c r="E3269">
        <v>0.70833333333333337</v>
      </c>
      <c r="F3269" t="s">
        <f>I3269&amp;" "&amp;J3269&amp;" "&amp;K3269&amp;" "&amp;L3269&amp;" "&amp;M3269&amp;" "&amp;N3269</f>
        <v>2924</v>
      </c>
      <c r="G3269" t="s">
        <f>TEXT(D3269,"mmm dd")</f>
        <v>1336</v>
      </c>
      <c r="I3269" t="s">
        <v>218</v>
      </c>
      <c r="J3269" t="s">
        <v>2621</v>
      </c>
      <c r="L3269" t="s">
        <v>2669</v>
      </c>
      <c r="M3269" t="s">
        <v>2554</v>
      </c>
    </row>
    <row r="3270" spans="1:23">
      <c r="A3270">
        <v>30</v>
      </c>
      <c r="B3270">
        <v>6</v>
      </c>
      <c r="C3270">
        <v>2021</v>
      </c>
      <c r="D3270" s="3" t="str">
        <f>B3270&amp;"/"&amp;A3270&amp;"/"&amp;C3270</f>
        <v>6/30/2021</v>
      </c>
      <c r="E3270">
        <v>0.89583333333333337</v>
      </c>
      <c r="F3270" t="str">
        <f>I3270&amp;" "&amp;J3270&amp;" "&amp;K3270&amp;" "&amp;L3270&amp;" "&amp;M3270&amp;" "&amp;N3270</f>
        <v>Westminster chapel (for Janie)  </v>
      </c>
      <c r="G3270" t="s">
        <f>TEXT(D3270,"mmm dd")</f>
        <v>12</v>
      </c>
      <c r="I3270" t="inlineStr">
        <is>
          <t>Westminster</t>
        </is>
      </c>
      <c r="J3270" t="s">
        <v>55</v>
      </c>
      <c r="K3270" t="inlineStr">
        <is>
          <t>(for</t>
        </is>
      </c>
      <c r="L3270" t="inlineStr">
        <is>
          <t>Janie)</t>
        </is>
      </c>
    </row>
    <row r="3271" spans="1:23">
      <c r="A3271">
        <v>2</v>
      </c>
      <c r="B3271">
        <v>7</v>
      </c>
      <c r="C3271">
        <v>2021</v>
      </c>
      <c r="D3271" s="3" t="s">
        <f>B3271&amp;"/"&amp;A3271&amp;"/"&amp;C3271</f>
        <v>2934</v>
      </c>
      <c r="E3271">
        <v>0.64583333333333337</v>
      </c>
      <c r="F3271" t="s">
        <f>I3271&amp;" "&amp;J3271&amp;" "&amp;K3271&amp;" "&amp;L3271&amp;" "&amp;M3271&amp;" "&amp;N3271</f>
        <v>2887</v>
      </c>
      <c r="G3271" t="s">
        <f>TEXT(D3271,"mmm dd")</f>
        <v>15</v>
      </c>
      <c r="I3271" t="s">
        <v>2874</v>
      </c>
      <c r="J3271" t="s">
        <v>2238</v>
      </c>
      <c r="L3271" t="s">
        <v>2745</v>
      </c>
      <c r="M3271" t="s">
        <v>2131</v>
      </c>
    </row>
    <row r="3272" spans="1:23">
      <c r="A3272">
        <v>2</v>
      </c>
      <c r="B3272">
        <v>7</v>
      </c>
      <c r="C3272">
        <v>2021</v>
      </c>
      <c r="D3272" s="3" t="s">
        <f>B3272&amp;"/"&amp;A3272&amp;"/"&amp;C3272</f>
        <v>2934</v>
      </c>
      <c r="E3272">
        <v>1.0416666666666667</v>
      </c>
      <c r="F3272" t="s">
        <f>I3272&amp;" "&amp;J3272&amp;" "&amp;K3272&amp;" "&amp;L3272&amp;" "&amp;M3272&amp;" "&amp;N3272</f>
        <v>2690</v>
      </c>
      <c r="G3272" t="s">
        <f>TEXT(D3272,"mmm dd")</f>
        <v>15</v>
      </c>
      <c r="I3272" t="s">
        <v>2223</v>
      </c>
      <c r="J3272" t="s">
        <v>2320</v>
      </c>
    </row>
    <row r="3273" spans="1:23">
      <c r="A3273">
        <v>4</v>
      </c>
      <c r="B3273">
        <v>7</v>
      </c>
      <c r="C3273">
        <v>2021</v>
      </c>
      <c r="D3273" s="3" t="str">
        <f>B3273&amp;"/"&amp;A3273&amp;"/"&amp;C3273</f>
        <v>7/4/2021</v>
      </c>
      <c r="E3273">
        <v>0.72916666666666663</v>
      </c>
      <c r="F3273" t="s">
        <f>I3273&amp;" "&amp;J3273&amp;" "&amp;K3273&amp;" "&amp;L3273&amp;" "&amp;M3273&amp;" "&amp;N3273</f>
        <v>2926</v>
      </c>
      <c r="G3273" t="s">
        <f>TEXT(D3273,"mmm dd")</f>
        <v>18</v>
      </c>
      <c r="I3273" t="s">
        <v>2468</v>
      </c>
      <c r="J3273" t="s">
        <v>53</v>
      </c>
      <c r="K3273" t="s">
        <v>2927</v>
      </c>
    </row>
    <row r="3274" spans="1:23">
      <c r="A3274">
        <v>8</v>
      </c>
      <c r="B3274">
        <v>7</v>
      </c>
      <c r="C3274">
        <v>2021</v>
      </c>
      <c r="D3274" s="3" t="s">
        <f>B3274&amp;"/"&amp;A3274&amp;"/"&amp;C3274</f>
        <v>2935</v>
      </c>
      <c r="E3274">
        <v>0.125</v>
      </c>
      <c r="F3274" t="s">
        <f>I3274&amp;" "&amp;J3274&amp;" "&amp;K3274&amp;" "&amp;L3274&amp;" "&amp;M3274&amp;" "&amp;N3274</f>
        <v>2690</v>
      </c>
      <c r="G3274" t="s">
        <f>TEXT(D3274,"mmm dd")</f>
        <v>623</v>
      </c>
      <c r="I3274" t="s">
        <v>2223</v>
      </c>
      <c r="J3274" t="s">
        <v>2320</v>
      </c>
    </row>
    <row r="3275" spans="1:23">
      <c r="A3275">
        <v>8</v>
      </c>
      <c r="B3275">
        <v>7</v>
      </c>
      <c r="C3275">
        <v>2021</v>
      </c>
      <c r="D3275" s="3" t="s">
        <f>B3275&amp;"/"&amp;A3275&amp;"/"&amp;C3275</f>
        <v>2935</v>
      </c>
      <c r="E3275">
        <v>0.8125</v>
      </c>
      <c r="F3275" t="s">
        <f>I3275&amp;" "&amp;J3275&amp;" "&amp;K3275&amp;" "&amp;L3275&amp;" "&amp;M3275&amp;" "&amp;N3275</f>
        <v>2910</v>
      </c>
      <c r="G3275" t="s">
        <f>TEXT(D3275,"mmm dd")</f>
        <v>623</v>
      </c>
      <c r="I3275" t="s">
        <v>2890</v>
      </c>
      <c r="J3275" t="s">
        <v>2238</v>
      </c>
    </row>
    <row r="3276" spans="1:23">
      <c r="A3276">
        <v>9</v>
      </c>
      <c r="B3276">
        <v>7</v>
      </c>
      <c r="C3276">
        <v>2021</v>
      </c>
      <c r="D3276" s="3" t="str">
        <f>B3276&amp;"/"&amp;A3276&amp;"/"&amp;C3276</f>
        <v>7/9/2021</v>
      </c>
      <c r="E3276">
        <v>0.64583333333333337</v>
      </c>
      <c r="F3276" t="s">
        <f>I3276&amp;" "&amp;J3276&amp;" "&amp;K3276&amp;" "&amp;L3276&amp;" "&amp;M3276&amp;" "&amp;N3276</f>
        <v>2887</v>
      </c>
      <c r="G3276" t="s">
        <f>TEXT(D3276,"mmm dd")</f>
        <v>625</v>
      </c>
      <c r="I3276" t="s">
        <v>2874</v>
      </c>
      <c r="J3276" t="s">
        <v>2238</v>
      </c>
      <c r="L3276" t="s">
        <v>2745</v>
      </c>
      <c r="M3276" t="s">
        <v>2131</v>
      </c>
    </row>
    <row r="3277" spans="1:23">
      <c r="A3277">
        <v>10</v>
      </c>
      <c r="B3277">
        <v>7</v>
      </c>
      <c r="C3277">
        <v>2021</v>
      </c>
      <c r="D3277" s="3" t="str">
        <f>B3277&amp;"/"&amp;A3277&amp;"/"&amp;C3277</f>
        <v>7/10/2021</v>
      </c>
      <c r="E3277">
        <v>0.89583333333333337</v>
      </c>
      <c r="F3277" t="s">
        <f>I3277&amp;" "&amp;J3277&amp;" "&amp;K3277&amp;" "&amp;L3277&amp;" "&amp;M3277&amp;" "&amp;N3277</f>
        <v>2857</v>
      </c>
      <c r="G3277" t="s">
        <f>TEXT(D3277,"mmm dd")</f>
        <v>1712</v>
      </c>
      <c r="I3277" t="s">
        <v>2858</v>
      </c>
      <c r="J3277" t="s">
        <v>2112</v>
      </c>
    </row>
    <row r="3278" spans="1:23">
      <c r="A3278">
        <v>11</v>
      </c>
      <c r="B3278">
        <v>7</v>
      </c>
      <c r="C3278">
        <v>2021</v>
      </c>
      <c r="D3278" s="3" t="str">
        <f>B3278&amp;"/"&amp;A3278&amp;"/"&amp;C3278</f>
        <v>7/11/2021</v>
      </c>
      <c r="E3278">
        <v>0.625</v>
      </c>
      <c r="F3278" t="s">
        <f>I3278&amp;" "&amp;J3278&amp;" "&amp;K3278&amp;" "&amp;L3278&amp;" "&amp;M3278&amp;" "&amp;N3278</f>
        <v>2755</v>
      </c>
      <c r="G3278" t="s">
        <f>TEXT(D3278,"mmm dd")</f>
        <v>628</v>
      </c>
      <c r="I3278" t="s">
        <v>2468</v>
      </c>
      <c r="J3278" t="s">
        <v>964</v>
      </c>
      <c r="K3278" t="s">
        <v>86</v>
      </c>
      <c r="L3278" t="s">
        <v>2119</v>
      </c>
      <c r="M3278" t="s">
        <v>2756</v>
      </c>
    </row>
    <row r="3279" spans="1:23">
      <c r="A3279">
        <v>13</v>
      </c>
      <c r="B3279">
        <v>7</v>
      </c>
      <c r="C3279">
        <v>2021</v>
      </c>
      <c r="D3279" s="3" t="str">
        <f>B3279&amp;"/"&amp;A3279&amp;"/"&amp;C3279</f>
        <v>7/13/2021</v>
      </c>
      <c r="E3279">
        <v>0.125</v>
      </c>
      <c r="F3279" t="s">
        <f>I3279&amp;" "&amp;J3279&amp;" "&amp;K3279&amp;" "&amp;L3279&amp;" "&amp;M3279&amp;" "&amp;N3279</f>
        <v>2690</v>
      </c>
      <c r="G3279" t="s">
        <f>TEXT(D3279,"mmm dd")</f>
        <v>1989</v>
      </c>
      <c r="I3279" t="s">
        <v>2223</v>
      </c>
      <c r="J3279" t="s">
        <v>2320</v>
      </c>
    </row>
    <row r="3280" spans="1:23">
      <c r="A3280">
        <v>15</v>
      </c>
      <c r="B3280">
        <v>7</v>
      </c>
      <c r="C3280">
        <v>2021</v>
      </c>
      <c r="D3280" s="3" t="s">
        <f>B3280&amp;"/"&amp;A3280&amp;"/"&amp;C3280</f>
        <v>2936</v>
      </c>
      <c r="E3280">
        <v>0.91666666666666663</v>
      </c>
      <c r="F3280" t="s">
        <f>I3280&amp;" "&amp;J3280&amp;" "&amp;K3280&amp;" "&amp;L3280&amp;" "&amp;M3280&amp;" "&amp;N3280</f>
        <v>2895</v>
      </c>
      <c r="G3280" t="s">
        <f>TEXT(D3280,"mmm dd")</f>
        <v>640</v>
      </c>
      <c r="I3280" t="s">
        <v>2869</v>
      </c>
      <c r="J3280" t="s">
        <v>439</v>
      </c>
      <c r="K3280" t="s">
        <v>1316</v>
      </c>
    </row>
    <row r="3281" spans="1:23">
      <c r="A3281">
        <v>15</v>
      </c>
      <c r="B3281">
        <v>7</v>
      </c>
      <c r="C3281">
        <v>2021</v>
      </c>
      <c r="D3281" s="3" t="s">
        <f>B3281&amp;"/"&amp;A3281&amp;"/"&amp;C3281</f>
        <v>2936</v>
      </c>
      <c r="E3281">
        <v>0.70833333333333337</v>
      </c>
      <c r="F3281" t="str">
        <f>I3281&amp;" "&amp;J3281&amp;" "&amp;K3281&amp;" "&amp;L3281&amp;" "&amp;M3281&amp;" "&amp;N3281</f>
        <v>Interim meeting with NC  </v>
      </c>
      <c r="G3281" t="s">
        <f>TEXT(D3281,"mmm dd")</f>
        <v>640</v>
      </c>
      <c r="I3281" t="s">
        <v>2937</v>
      </c>
      <c r="J3281" t="s">
        <v>842</v>
      </c>
      <c r="K3281" t="s">
        <v>755</v>
      </c>
      <c r="L3281" t="s">
        <v>2048</v>
      </c>
    </row>
    <row r="3282" spans="1:23">
      <c r="A3282">
        <v>16</v>
      </c>
      <c r="B3282">
        <v>7</v>
      </c>
      <c r="C3282">
        <v>2021</v>
      </c>
      <c r="D3282" s="3" t="str">
        <f>B3282&amp;"/"&amp;A3282&amp;"/"&amp;C3282</f>
        <v>7/16/2021</v>
      </c>
      <c r="E3282">
        <v>0.64583333333333337</v>
      </c>
      <c r="F3282" t="s">
        <f>I3282&amp;" "&amp;J3282&amp;" "&amp;K3282&amp;" "&amp;L3282&amp;" "&amp;M3282&amp;" "&amp;N3282</f>
        <v>2887</v>
      </c>
      <c r="G3282" t="s">
        <f>TEXT(D3282,"mmm dd")</f>
        <v>646</v>
      </c>
      <c r="I3282" t="s">
        <v>2874</v>
      </c>
      <c r="J3282" t="s">
        <v>2238</v>
      </c>
      <c r="L3282" t="s">
        <v>2745</v>
      </c>
      <c r="M3282" t="s">
        <v>2131</v>
      </c>
    </row>
    <row r="3283" spans="1:23">
      <c r="A3283">
        <v>17</v>
      </c>
      <c r="B3283">
        <v>7</v>
      </c>
      <c r="C3283">
        <v>2021</v>
      </c>
      <c r="D3283" s="3" t="str">
        <f>B3283&amp;"/"&amp;A3283&amp;"/"&amp;C3283</f>
        <v>7/17/2021</v>
      </c>
      <c r="E3283">
        <v>1</v>
      </c>
      <c r="F3283" t="s">
        <f>I3283&amp;" "&amp;J3283&amp;" "&amp;K3283&amp;" "&amp;L3283&amp;" "&amp;M3283&amp;" "&amp;N3283</f>
        <v>2690</v>
      </c>
      <c r="G3283" t="s">
        <f>TEXT(D3283,"mmm dd")</f>
        <v>653</v>
      </c>
      <c r="I3283" t="s">
        <v>2223</v>
      </c>
      <c r="J3283" t="s">
        <v>2320</v>
      </c>
    </row>
    <row r="3284" spans="1:23">
      <c r="A3284">
        <v>18</v>
      </c>
      <c r="B3284">
        <v>7</v>
      </c>
      <c r="C3284">
        <v>2021</v>
      </c>
      <c r="D3284" s="3" t="str">
        <f>B3284&amp;"/"&amp;A3284&amp;"/"&amp;C3284</f>
        <v>7/18/2021</v>
      </c>
      <c r="E3284">
        <v>0.625</v>
      </c>
      <c r="F3284" t="s">
        <f>I3284&amp;" "&amp;J3284&amp;" "&amp;K3284&amp;" "&amp;L3284&amp;" "&amp;M3284&amp;" "&amp;N3284</f>
        <v>2755</v>
      </c>
      <c r="G3284" t="s">
        <f>TEXT(D3284,"mmm dd")</f>
        <v>658</v>
      </c>
      <c r="I3284" t="s">
        <v>2468</v>
      </c>
      <c r="J3284" t="s">
        <v>964</v>
      </c>
      <c r="K3284" t="s">
        <v>86</v>
      </c>
      <c r="L3284" t="s">
        <v>2119</v>
      </c>
      <c r="M3284" t="s">
        <v>2756</v>
      </c>
    </row>
    <row r="3285" spans="1:23">
      <c r="A3285">
        <v>19</v>
      </c>
      <c r="B3285">
        <v>7</v>
      </c>
      <c r="C3285">
        <v>2021</v>
      </c>
      <c r="D3285" s="3" t="str">
        <f>B3285&amp;"/"&amp;A3285&amp;"/"&amp;C3285</f>
        <v>7/19/2021</v>
      </c>
      <c r="E3285">
        <v>1.0416666666666667</v>
      </c>
      <c r="F3285" t="str">
        <f>I3285&amp;" "&amp;J3285&amp;" "&amp;K3285&amp;" "&amp;L3285&amp;" "&amp;M3285&amp;" "&amp;N3285</f>
        <v>St. Paul’s vestry   </v>
      </c>
      <c r="G3285" t="s">
        <f>TEXT(D3285,"mmm dd")</f>
        <v>28</v>
      </c>
      <c r="I3285" t="s">
        <v>218</v>
      </c>
      <c r="J3285" t="s">
        <v>2668</v>
      </c>
      <c r="K3285" t="s">
        <v>1899</v>
      </c>
    </row>
    <row r="3286" spans="1:23">
      <c r="A3286">
        <v>22</v>
      </c>
      <c r="B3286">
        <v>7</v>
      </c>
      <c r="C3286">
        <v>2021</v>
      </c>
      <c r="D3286" s="3" t="str">
        <f>B3286&amp;"/"&amp;A3286&amp;"/"&amp;C3286</f>
        <v>7/22/2021</v>
      </c>
      <c r="E3286">
        <v>0.70833333333333337</v>
      </c>
      <c r="F3286" t="s">
        <f>I3286&amp;" "&amp;J3286&amp;" "&amp;K3286&amp;" "&amp;L3286&amp;" "&amp;M3286&amp;" "&amp;N3286</f>
        <v>2690</v>
      </c>
      <c r="G3286" t="s">
        <f>TEXT(D3286,"mmm dd")</f>
        <v>678</v>
      </c>
      <c r="I3286" t="s">
        <v>2223</v>
      </c>
      <c r="J3286" t="s">
        <v>2320</v>
      </c>
    </row>
    <row r="3287" spans="1:23">
      <c r="A3287">
        <v>23</v>
      </c>
      <c r="B3287">
        <v>7</v>
      </c>
      <c r="C3287">
        <v>2021</v>
      </c>
      <c r="D3287" s="3" t="str">
        <f>B3287&amp;"/"&amp;A3287&amp;"/"&amp;C3287</f>
        <v>7/23/2021</v>
      </c>
      <c r="E3287">
        <v>0.64583333333333337</v>
      </c>
      <c r="F3287" t="s">
        <f>I3287&amp;" "&amp;J3287&amp;" "&amp;K3287&amp;" "&amp;L3287&amp;" "&amp;M3287&amp;" "&amp;N3287</f>
        <v>2887</v>
      </c>
      <c r="G3287" t="s">
        <f>TEXT(D3287,"mmm dd")</f>
        <v>681</v>
      </c>
      <c r="I3287" t="s">
        <v>2874</v>
      </c>
      <c r="J3287" t="s">
        <v>2238</v>
      </c>
      <c r="L3287" t="s">
        <v>2745</v>
      </c>
      <c r="M3287" t="s">
        <v>2131</v>
      </c>
    </row>
    <row r="3288" spans="1:23">
      <c r="A3288">
        <v>24</v>
      </c>
      <c r="B3288">
        <v>7</v>
      </c>
      <c r="C3288">
        <v>2021</v>
      </c>
      <c r="D3288" s="3" t="s">
        <f>B3288&amp;"/"&amp;A3288&amp;"/"&amp;C3288</f>
        <v>2938</v>
      </c>
      <c r="E3288">
        <v>0.64583333333333337</v>
      </c>
      <c r="F3288" t="s">
        <f>I3288&amp;" "&amp;J3288&amp;" "&amp;K3288&amp;" "&amp;L3288&amp;" "&amp;M3288&amp;" "&amp;N3288</f>
        <v>2009</v>
      </c>
      <c r="G3288" t="s">
        <f>TEXT(D3288,"mmm dd")</f>
        <v>684</v>
      </c>
      <c r="I3288" t="s">
        <v>1650</v>
      </c>
    </row>
    <row r="3289" spans="1:23">
      <c r="A3289">
        <v>24</v>
      </c>
      <c r="B3289">
        <v>7</v>
      </c>
      <c r="C3289">
        <v>2021</v>
      </c>
      <c r="D3289" s="3" t="s">
        <f>B3289&amp;"/"&amp;A3289&amp;"/"&amp;C3289</f>
        <v>2938</v>
      </c>
      <c r="E3289">
        <v>0.70833333333333337</v>
      </c>
      <c r="F3289" t="str">
        <f>I3289&amp;" "&amp;J3289&amp;" "&amp;K3289&amp;" "&amp;L3289&amp;" "&amp;M3289&amp;" "&amp;N3289</f>
        <v>Library     </v>
      </c>
      <c r="G3289" t="s">
        <f>TEXT(D3289,"mmm dd")</f>
        <v>684</v>
      </c>
      <c r="I3289" t="inlineStr">
        <is>
          <t>Library</t>
        </is>
      </c>
    </row>
    <row r="3290" spans="1:23">
      <c r="A3290">
        <v>24</v>
      </c>
      <c r="B3290">
        <v>7</v>
      </c>
      <c r="C3290">
        <v>2021</v>
      </c>
      <c r="D3290" s="3" t="s">
        <f>B3290&amp;"/"&amp;A3290&amp;"/"&amp;C3290</f>
        <v>2938</v>
      </c>
      <c r="E3290">
        <v>0.97222222222222221</v>
      </c>
      <c r="F3290" t="str">
        <f>I3290&amp;" "&amp;J3290&amp;" "&amp;K3290&amp;" "&amp;L3290&amp;" "&amp;M3290&amp;" "&amp;N3290</f>
        <v>Movie     </v>
      </c>
      <c r="G3290" t="s">
        <f>TEXT(D3290,"mmm dd")</f>
        <v>684</v>
      </c>
      <c r="I3290" t="s">
        <v>1306</v>
      </c>
    </row>
    <row r="3291" spans="1:23">
      <c r="A3291">
        <v>25</v>
      </c>
      <c r="B3291">
        <v>7</v>
      </c>
      <c r="C3291">
        <v>2021</v>
      </c>
      <c r="D3291" s="3" t="s">
        <f>B3291&amp;"/"&amp;A3291&amp;"/"&amp;C3291</f>
        <v>2939</v>
      </c>
      <c r="E3291">
        <v>0.75</v>
      </c>
      <c r="F3291" t="str">
        <f>I3291&amp;" "&amp;J3291&amp;" "&amp;K3291&amp;" "&amp;L3291&amp;" "&amp;M3291&amp;" "&amp;N3291</f>
        <v>Lunch with Jo   </v>
      </c>
      <c r="G3291" t="s">
        <f>TEXT(D3291,"mmm dd")</f>
        <v>25</v>
      </c>
      <c r="I3291" t="s">
        <v>813</v>
      </c>
      <c r="J3291" t="s">
        <v>755</v>
      </c>
      <c r="K3291" t="inlineStr">
        <is>
          <t>Jo</t>
        </is>
      </c>
    </row>
    <row r="3292" spans="1:23">
      <c r="A3292">
        <v>25</v>
      </c>
      <c r="B3292">
        <v>7</v>
      </c>
      <c r="C3292">
        <v>2021</v>
      </c>
      <c r="D3292" s="3" t="s">
        <f>B3292&amp;"/"&amp;A3292&amp;"/"&amp;C3292</f>
        <v>2939</v>
      </c>
      <c r="E3292">
        <v>0.70833333333333337</v>
      </c>
      <c r="F3292" t="s">
        <f>I3292&amp;" "&amp;J3292&amp;" "&amp;K3292&amp;" "&amp;L3292&amp;" "&amp;M3292&amp;" "&amp;N3292</f>
        <v>2924</v>
      </c>
      <c r="G3292" t="s">
        <f>TEXT(D3292,"mmm dd")</f>
        <v>25</v>
      </c>
      <c r="I3292" t="s">
        <v>218</v>
      </c>
      <c r="J3292" t="s">
        <v>2621</v>
      </c>
      <c r="L3292" t="s">
        <v>2669</v>
      </c>
      <c r="M3292" t="s">
        <v>2554</v>
      </c>
    </row>
    <row r="3293" spans="1:23">
      <c r="A3293">
        <v>27</v>
      </c>
      <c r="B3293">
        <v>7</v>
      </c>
      <c r="C3293">
        <v>2021</v>
      </c>
      <c r="D3293" s="3" t="s">
        <f>B3293&amp;"/"&amp;A3293&amp;"/"&amp;C3293</f>
        <v>2940</v>
      </c>
      <c r="E3293">
        <v>0.64583333333333337</v>
      </c>
      <c r="F3293" t="str">
        <f>I3293&amp;" "&amp;J3293&amp;" "&amp;K3293&amp;" "&amp;L3293&amp;" "&amp;M3293&amp;" "&amp;N3293</f>
        <v>Leadership call    </v>
      </c>
      <c r="G3293" t="s">
        <f>TEXT(D3293,"mmm dd")</f>
        <v>699</v>
      </c>
      <c r="I3293" t="s">
        <v>1379</v>
      </c>
      <c r="J3293" t="s">
        <v>418</v>
      </c>
    </row>
    <row r="3294" spans="1:23">
      <c r="A3294">
        <v>27</v>
      </c>
      <c r="B3294">
        <v>7</v>
      </c>
      <c r="C3294">
        <v>2021</v>
      </c>
      <c r="D3294" s="3" t="s">
        <f>B3294&amp;"/"&amp;A3294&amp;"/"&amp;C3294</f>
        <v>2940</v>
      </c>
      <c r="E3294">
        <v>0.20833333333333334</v>
      </c>
      <c r="F3294" t="s">
        <f>I3294&amp;" "&amp;J3294&amp;" "&amp;K3294&amp;" "&amp;L3294&amp;" "&amp;M3294&amp;" "&amp;N3294</f>
        <v>2690</v>
      </c>
      <c r="G3294" t="s">
        <f>TEXT(D3294,"mmm dd")</f>
        <v>699</v>
      </c>
      <c r="I3294" t="s">
        <v>2223</v>
      </c>
      <c r="J3294" t="s">
        <v>2320</v>
      </c>
    </row>
    <row r="3295" spans="1:23">
      <c r="A3295">
        <v>30</v>
      </c>
      <c r="B3295">
        <v>7</v>
      </c>
      <c r="C3295">
        <v>2021</v>
      </c>
      <c r="D3295" s="3" t="str">
        <f>B3295&amp;"/"&amp;A3295&amp;"/"&amp;C3295</f>
        <v>7/30/2021</v>
      </c>
      <c r="E3295">
        <v>0.64583333333333337</v>
      </c>
      <c r="F3295" t="s">
        <f>I3295&amp;" "&amp;J3295&amp;" "&amp;K3295&amp;" "&amp;L3295&amp;" "&amp;M3295&amp;" "&amp;N3295</f>
        <v>2887</v>
      </c>
      <c r="G3295" t="s">
        <f>TEXT(D3295,"mmm dd")</f>
        <v>709</v>
      </c>
      <c r="I3295" t="s">
        <v>2874</v>
      </c>
      <c r="J3295" t="s">
        <v>2238</v>
      </c>
      <c r="L3295" t="s">
        <v>2745</v>
      </c>
      <c r="M3295" t="s">
        <v>2131</v>
      </c>
    </row>
    <row r="3296" spans="1:23">
      <c r="A3296">
        <v>31</v>
      </c>
      <c r="B3296">
        <v>7</v>
      </c>
      <c r="C3296">
        <v>2021</v>
      </c>
      <c r="D3296" s="3" t="str">
        <f>B3296&amp;"/"&amp;A3296&amp;"/"&amp;C3296</f>
        <v>7/31/2021</v>
      </c>
      <c r="E3296">
        <v>1</v>
      </c>
      <c r="F3296" t="s">
        <f>I3296&amp;" "&amp;J3296&amp;" "&amp;K3296&amp;" "&amp;L3296&amp;" "&amp;M3296&amp;" "&amp;N3296</f>
        <v>2690</v>
      </c>
      <c r="G3296" t="s">
        <f>TEXT(D3296,"mmm dd")</f>
        <v>714</v>
      </c>
      <c r="I3296" t="s">
        <v>2223</v>
      </c>
      <c r="J3296" t="s">
        <v>2320</v>
      </c>
    </row>
    <row r="3297" spans="1:23">
      <c r="A3297">
        <v>1</v>
      </c>
      <c r="B3297">
        <v>8</v>
      </c>
      <c r="C3297">
        <v>2021</v>
      </c>
      <c r="D3297" s="3" t="str">
        <f>B3297&amp;"/"&amp;A3297&amp;"/"&amp;C3297</f>
        <v>8/1/2021</v>
      </c>
      <c r="E3297">
        <v>0.72916666666666663</v>
      </c>
      <c r="F3297" t="s">
        <f>I3297&amp;" "&amp;J3297&amp;" "&amp;K3297&amp;" "&amp;L3297&amp;" "&amp;M3297&amp;" "&amp;N3297</f>
        <v>2926</v>
      </c>
      <c r="G3297" t="s">
        <f>TEXT(D3297,"mmm dd")</f>
        <v>1357</v>
      </c>
      <c r="I3297" t="s">
        <v>2468</v>
      </c>
      <c r="J3297" t="s">
        <v>53</v>
      </c>
      <c r="K3297" t="s">
        <v>2927</v>
      </c>
    </row>
    <row r="3298" spans="1:23">
      <c r="A3298">
        <v>2</v>
      </c>
      <c r="B3298">
        <v>8</v>
      </c>
      <c r="C3298">
        <v>2021</v>
      </c>
      <c r="D3298" s="3" t="str">
        <f>B3298&amp;"/"&amp;A3298&amp;"/"&amp;C3298</f>
        <v>8/2/2021</v>
      </c>
      <c r="E3298">
        <v>0.83333333333333337</v>
      </c>
      <c r="F3298" t="str">
        <f>I3298&amp;" "&amp;J3298&amp;" "&amp;K3298&amp;" "&amp;L3298&amp;" "&amp;M3298&amp;" "&amp;N3298</f>
        <v>Meet Nicci at church  </v>
      </c>
      <c r="G3298" t="s">
        <f>TEXT(D3298,"mmm dd")</f>
        <v>724</v>
      </c>
      <c r="I3298" t="s">
        <v>300</v>
      </c>
      <c r="J3298" t="s">
        <v>2941</v>
      </c>
      <c r="K3298" t="s">
        <v>53</v>
      </c>
      <c r="L3298" t="s">
        <v>1912</v>
      </c>
    </row>
    <row r="3299" spans="1:23">
      <c r="A3299">
        <v>5</v>
      </c>
      <c r="B3299">
        <v>8</v>
      </c>
      <c r="C3299">
        <v>2021</v>
      </c>
      <c r="D3299" s="3" t="s">
        <f>B3299&amp;"/"&amp;A3299&amp;"/"&amp;C3299</f>
        <v>2942</v>
      </c>
      <c r="E3299">
        <v>0.77083333333333337</v>
      </c>
      <c r="F3299" t="s">
        <f>I3299&amp;" "&amp;J3299&amp;" "&amp;K3299&amp;" "&amp;L3299&amp;" "&amp;M3299&amp;" "&amp;N3299</f>
        <v>2889</v>
      </c>
      <c r="G3299" t="s">
        <f>TEXT(D3299,"mmm dd")</f>
        <v>1361</v>
      </c>
      <c r="I3299" t="s">
        <v>2890</v>
      </c>
      <c r="J3299" t="s">
        <v>2891</v>
      </c>
    </row>
    <row r="3300" spans="1:23">
      <c r="A3300">
        <v>5</v>
      </c>
      <c r="B3300">
        <v>8</v>
      </c>
      <c r="C3300">
        <v>2021</v>
      </c>
      <c r="D3300" s="3" t="s">
        <f>B3300&amp;"/"&amp;A3300&amp;"/"&amp;C3300</f>
        <v>2942</v>
      </c>
      <c r="E3300">
        <v>0.83333333333333337</v>
      </c>
      <c r="F3300" t="str">
        <f>I3300&amp;" "&amp;J3300&amp;" "&amp;K3300&amp;" "&amp;L3300&amp;" "&amp;M3300&amp;" "&amp;N3300</f>
        <v>Meet at Audubon   </v>
      </c>
      <c r="G3300" t="s">
        <f>TEXT(D3300,"mmm dd")</f>
        <v>1361</v>
      </c>
      <c r="I3300" t="s">
        <v>300</v>
      </c>
      <c r="J3300" t="s">
        <v>53</v>
      </c>
      <c r="K3300" t="inlineStr">
        <is>
          <t>Audubon</t>
        </is>
      </c>
    </row>
    <row r="3301" spans="1:23">
      <c r="A3301">
        <v>5</v>
      </c>
      <c r="B3301">
        <v>8</v>
      </c>
      <c r="C3301">
        <v>2021</v>
      </c>
      <c r="D3301" s="3" t="s">
        <f>B3301&amp;"/"&amp;A3301&amp;"/"&amp;C3301</f>
        <v>2942</v>
      </c>
      <c r="E3301">
        <v>0.97916666666666663</v>
      </c>
      <c r="F3301" t="s">
        <f>I3301&amp;" "&amp;J3301&amp;" "&amp;K3301&amp;" "&amp;L3301&amp;" "&amp;M3301&amp;" "&amp;N3301</f>
        <v>2920</v>
      </c>
      <c r="G3301" t="s">
        <f>TEXT(D3301,"mmm dd")</f>
        <v>1361</v>
      </c>
      <c r="I3301" t="s">
        <v>2229</v>
      </c>
      <c r="J3301" t="s">
        <v>439</v>
      </c>
      <c r="K3301" t="s">
        <v>2669</v>
      </c>
    </row>
    <row r="3302" spans="1:23">
      <c r="A3302">
        <v>5</v>
      </c>
      <c r="B3302">
        <v>8</v>
      </c>
      <c r="C3302">
        <v>2021</v>
      </c>
      <c r="D3302" s="3" t="s">
        <f>B3302&amp;"/"&amp;A3302&amp;"/"&amp;C3302</f>
        <v>2942</v>
      </c>
      <c r="E3302">
        <v>0.91666666666666663</v>
      </c>
      <c r="F3302" t="s">
        <f>I3302&amp;" "&amp;J3302&amp;" "&amp;K3302&amp;" "&amp;L3302&amp;" "&amp;M3302&amp;" "&amp;N3302</f>
        <v>2690</v>
      </c>
      <c r="G3302" t="s">
        <f>TEXT(D3302,"mmm dd")</f>
        <v>1361</v>
      </c>
      <c r="I3302" t="s">
        <v>2223</v>
      </c>
      <c r="J3302" t="s">
        <v>2320</v>
      </c>
    </row>
    <row r="3303" spans="1:23">
      <c r="A3303">
        <v>6</v>
      </c>
      <c r="B3303">
        <v>8</v>
      </c>
      <c r="C3303">
        <v>2021</v>
      </c>
      <c r="D3303" s="3" t="str">
        <f>B3303&amp;"/"&amp;A3303&amp;"/"&amp;C3303</f>
        <v>8/6/2021</v>
      </c>
      <c r="E3303">
        <v>0.6875</v>
      </c>
      <c r="F3303" t="str">
        <f>I3303&amp;" "&amp;J3303&amp;" "&amp;K3303&amp;" "&amp;L3303&amp;" "&amp;M3303&amp;" "&amp;N3303</f>
        <v>Inspection     </v>
      </c>
      <c r="G3303" t="s">
        <f>TEXT(D3303,"mmm dd")</f>
        <v>1362</v>
      </c>
      <c r="I3303" t="s">
        <v>2943</v>
      </c>
    </row>
    <row r="3304" spans="1:23">
      <c r="A3304">
        <v>8</v>
      </c>
      <c r="B3304">
        <v>8</v>
      </c>
      <c r="C3304">
        <v>2021</v>
      </c>
      <c r="D3304" s="3" t="str">
        <f>B3304&amp;"/"&amp;A3304&amp;"/"&amp;C3304</f>
        <v>8/8/2021</v>
      </c>
      <c r="E3304">
        <v>0.70833333333333337</v>
      </c>
      <c r="F3304" t="s">
        <f>I3304&amp;" "&amp;J3304&amp;" "&amp;K3304&amp;" "&amp;L3304&amp;" "&amp;M3304&amp;" "&amp;N3304</f>
        <v>2924</v>
      </c>
      <c r="G3304" t="s">
        <f>TEXT(D3304,"mmm dd")</f>
        <v>1366</v>
      </c>
      <c r="I3304" t="s">
        <v>218</v>
      </c>
      <c r="J3304" t="s">
        <v>2621</v>
      </c>
      <c r="L3304" t="s">
        <v>2669</v>
      </c>
      <c r="M3304" t="s">
        <v>2554</v>
      </c>
    </row>
    <row r="3305" spans="1:23">
      <c r="A3305">
        <v>10</v>
      </c>
      <c r="B3305">
        <v>8</v>
      </c>
      <c r="C3305">
        <v>2021</v>
      </c>
      <c r="D3305" s="3" t="str">
        <f>B3305&amp;"/"&amp;A3305&amp;"/"&amp;C3305</f>
        <v>8/10/2021</v>
      </c>
      <c r="E3305">
        <v>0.91666666666666663</v>
      </c>
      <c r="F3305" t="s">
        <f>I3305&amp;" "&amp;J3305&amp;" "&amp;K3305&amp;" "&amp;L3305&amp;" "&amp;M3305&amp;" "&amp;N3305</f>
        <v>2690</v>
      </c>
      <c r="G3305" t="s">
        <f>TEXT(D3305,"mmm dd")</f>
        <v>734</v>
      </c>
      <c r="I3305" t="s">
        <v>2223</v>
      </c>
      <c r="J3305" t="s">
        <v>2320</v>
      </c>
    </row>
    <row r="3306" spans="1:23">
      <c r="A3306">
        <v>15</v>
      </c>
      <c r="B3306">
        <v>8</v>
      </c>
      <c r="C3306">
        <v>2021</v>
      </c>
      <c r="D3306" s="3" t="str">
        <f>B3306&amp;"/"&amp;A3306&amp;"/"&amp;C3306</f>
        <v>8/15/2021</v>
      </c>
      <c r="E3306">
        <v>1</v>
      </c>
      <c r="F3306" t="s">
        <f>I3306&amp;" "&amp;J3306&amp;" "&amp;K3306&amp;" "&amp;L3306&amp;" "&amp;M3306&amp;" "&amp;N3306</f>
        <v>2690</v>
      </c>
      <c r="G3306" t="s">
        <f>TEXT(D3306,"mmm dd")</f>
        <v>776</v>
      </c>
      <c r="I3306" t="s">
        <v>2223</v>
      </c>
      <c r="J3306" t="s">
        <v>2320</v>
      </c>
    </row>
    <row r="3307" spans="1:23">
      <c r="A3307">
        <v>17</v>
      </c>
      <c r="B3307">
        <v>8</v>
      </c>
      <c r="C3307">
        <v>2021</v>
      </c>
      <c r="D3307" s="3" t="str">
        <f>B3307&amp;"/"&amp;A3307&amp;"/"&amp;C3307</f>
        <v>8/17/2021</v>
      </c>
      <c r="E3307">
        <v>1.0416666666666667</v>
      </c>
      <c r="F3307" t="str">
        <f>I3307&amp;" "&amp;J3307&amp;" "&amp;K3307&amp;" "&amp;L3307&amp;" "&amp;M3307&amp;" "&amp;N3307</f>
        <v>Vestry at St. Paul's  </v>
      </c>
      <c r="G3307" t="s">
        <f>TEXT(D3307,"mmm dd")</f>
        <v>793</v>
      </c>
      <c r="I3307" t="s">
        <v>194</v>
      </c>
      <c r="J3307" t="s">
        <v>53</v>
      </c>
      <c r="K3307" t="s">
        <v>218</v>
      </c>
      <c r="L3307" t="s">
        <v>2471</v>
      </c>
    </row>
    <row r="3308" spans="1:23">
      <c r="A3308">
        <v>18</v>
      </c>
      <c r="B3308">
        <v>8</v>
      </c>
      <c r="C3308">
        <v>2021</v>
      </c>
      <c r="D3308" s="3" t="s">
        <f>B3308&amp;"/"&amp;A3308&amp;"/"&amp;C3308</f>
        <v>2944</v>
      </c>
      <c r="E3308">
        <v>0.91666666666666663</v>
      </c>
      <c r="F3308" t="str">
        <f>I3308&amp;" "&amp;J3308&amp;" "&amp;K3308&amp;" "&amp;L3308&amp;" "&amp;M3308&amp;" "&amp;N3308</f>
        <v>Kathleen Prevost    </v>
      </c>
      <c r="G3308" t="s">
        <f>TEXT(D3308,"mmm dd")</f>
        <v>2041</v>
      </c>
      <c r="I3308" t="inlineStr">
        <is>
          <t>Kathleen</t>
        </is>
      </c>
      <c r="J3308" t="inlineStr">
        <is>
          <t>Prevost</t>
        </is>
      </c>
    </row>
    <row r="3309" spans="1:23">
      <c r="A3309">
        <v>18</v>
      </c>
      <c r="B3309">
        <v>8</v>
      </c>
      <c r="C3309">
        <v>2021</v>
      </c>
      <c r="D3309" s="3" t="s">
        <f>B3309&amp;"/"&amp;A3309&amp;"/"&amp;C3309</f>
        <v>2944</v>
      </c>
      <c r="E3309">
        <v>1.1041666666666667</v>
      </c>
      <c r="F3309" t="s">
        <f>I3309&amp;" "&amp;J3309&amp;" "&amp;K3309&amp;" "&amp;L3309&amp;" "&amp;M3309&amp;" "&amp;N3309</f>
        <v>2945</v>
      </c>
      <c r="G3309" t="s">
        <f>TEXT(D3309,"mmm dd")</f>
        <v>2041</v>
      </c>
      <c r="I3309" t="s">
        <v>2785</v>
      </c>
      <c r="J3309" t="s">
        <v>53</v>
      </c>
      <c r="K3309" t="s">
        <v>2946</v>
      </c>
      <c r="L3309" t="s">
        <v>1836</v>
      </c>
      <c r="M3309" t="s">
        <v>2947</v>
      </c>
    </row>
    <row r="3310" spans="1:23">
      <c r="A3310">
        <v>20</v>
      </c>
      <c r="B3310">
        <v>8</v>
      </c>
      <c r="C3310">
        <v>2021</v>
      </c>
      <c r="D3310" s="3" t="str">
        <f>B3310&amp;"/"&amp;A3310&amp;"/"&amp;C3310</f>
        <v>8/20/2021</v>
      </c>
      <c r="E3310">
        <v>0.66666666666666663</v>
      </c>
      <c r="F3310" t="s">
        <f>I3310&amp;" "&amp;J3310&amp;" "&amp;K3310&amp;" "&amp;L3310&amp;" "&amp;M3310&amp;" "&amp;N3310</f>
        <v>2690</v>
      </c>
      <c r="G3310" t="s">
        <f>TEXT(D3310,"mmm dd")</f>
        <v>812</v>
      </c>
      <c r="I3310" t="s">
        <v>2223</v>
      </c>
      <c r="J3310" t="s">
        <v>2320</v>
      </c>
    </row>
    <row r="3311" spans="1:23">
      <c r="A3311">
        <v>22</v>
      </c>
      <c r="B3311">
        <v>8</v>
      </c>
      <c r="C3311">
        <v>2021</v>
      </c>
      <c r="D3311" s="3" t="str">
        <f>B3311&amp;"/"&amp;A3311&amp;"/"&amp;C3311</f>
        <v>8/22/2021</v>
      </c>
      <c r="E3311">
        <v>0.72916666666666663</v>
      </c>
      <c r="F3311" t="s">
        <f>I3311&amp;" "&amp;J3311&amp;" "&amp;K3311&amp;" "&amp;L3311&amp;" "&amp;M3311&amp;" "&amp;N3311</f>
        <v>2926</v>
      </c>
      <c r="G3311" t="s">
        <f>TEXT(D3311,"mmm dd")</f>
        <v>824</v>
      </c>
      <c r="I3311" t="s">
        <v>2468</v>
      </c>
      <c r="J3311" t="s">
        <v>53</v>
      </c>
      <c r="K3311" t="s">
        <v>2927</v>
      </c>
    </row>
    <row r="3312" spans="1:23">
      <c r="A3312">
        <v>23</v>
      </c>
      <c r="B3312">
        <v>8</v>
      </c>
      <c r="C3312">
        <v>2021</v>
      </c>
      <c r="D3312" s="3" t="str">
        <f>B3312&amp;"/"&amp;A3312&amp;"/"&amp;C3312</f>
        <v>8/23/2021</v>
      </c>
      <c r="E3312">
        <v>0.64583333333333337</v>
      </c>
      <c r="F3312" t="str">
        <f>I3312&amp;" "&amp;J3312&amp;" "&amp;K3312&amp;" "&amp;L3312&amp;" "&amp;M3312&amp;" "&amp;N3312</f>
        <v>Bartlett lawn    </v>
      </c>
      <c r="G3312" t="s">
        <f>TEXT(D3312,"mmm dd")</f>
        <v>828</v>
      </c>
      <c r="I3312" t="inlineStr">
        <is>
          <t>Bartlett</t>
        </is>
      </c>
      <c r="J3312" t="inlineStr">
        <is>
          <t>lawn</t>
        </is>
      </c>
    </row>
    <row r="3313" spans="1:23">
      <c r="A3313">
        <v>25</v>
      </c>
      <c r="B3313">
        <v>8</v>
      </c>
      <c r="C3313">
        <v>2021</v>
      </c>
      <c r="D3313" s="3" t="str">
        <f>B3313&amp;"/"&amp;A3313&amp;"/"&amp;C3313</f>
        <v>8/25/2021</v>
      </c>
      <c r="E3313">
        <v>0.66666666666666663</v>
      </c>
      <c r="F3313" t="s">
        <f>I3313&amp;" "&amp;J3313&amp;" "&amp;K3313&amp;" "&amp;L3313&amp;" "&amp;M3313&amp;" "&amp;N3313</f>
        <v>2690</v>
      </c>
      <c r="G3313" t="s">
        <f>TEXT(D3313,"mmm dd")</f>
        <v>2046</v>
      </c>
      <c r="I3313" t="s">
        <v>2223</v>
      </c>
      <c r="J3313" t="s">
        <v>2320</v>
      </c>
    </row>
    <row r="3314" spans="1:23">
      <c r="A3314">
        <v>26</v>
      </c>
      <c r="B3314">
        <v>8</v>
      </c>
      <c r="C3314">
        <v>2021</v>
      </c>
      <c r="D3314" s="3" t="str">
        <f>B3314&amp;"/"&amp;A3314&amp;"/"&amp;C3314</f>
        <v>8/26/2021</v>
      </c>
      <c r="E3314">
        <v>0.70833333333333337</v>
      </c>
      <c r="F3314" t="str">
        <f>I3314&amp;" "&amp;J3314&amp;" "&amp;K3314&amp;" "&amp;L3314&amp;" "&amp;M3314&amp;" "&amp;N3314</f>
        <v>Interim meeting    </v>
      </c>
      <c r="G3314" t="s">
        <f>TEXT(D3314,"mmm dd")</f>
        <v>837</v>
      </c>
      <c r="I3314" t="s">
        <v>2937</v>
      </c>
      <c r="J3314" t="s">
        <v>842</v>
      </c>
    </row>
    <row r="3315" spans="1:23">
      <c r="A3315">
        <v>29</v>
      </c>
      <c r="B3315">
        <v>8</v>
      </c>
      <c r="C3315">
        <v>2021</v>
      </c>
      <c r="D3315" s="3" t="str">
        <f>B3315&amp;"/"&amp;A3315&amp;"/"&amp;C3315</f>
        <v>8/29/2021</v>
      </c>
      <c r="E3315">
        <v>0.70833333333333337</v>
      </c>
      <c r="F3315" t="s">
        <f>I3315&amp;" "&amp;J3315&amp;" "&amp;K3315&amp;" "&amp;L3315&amp;" "&amp;M3315&amp;" "&amp;N3315</f>
        <v>2924</v>
      </c>
      <c r="G3315" t="s">
        <f>TEXT(D3315,"mmm dd")</f>
        <v>841</v>
      </c>
      <c r="I3315" t="s">
        <v>218</v>
      </c>
      <c r="J3315" t="s">
        <v>2621</v>
      </c>
      <c r="L3315" t="s">
        <v>2669</v>
      </c>
      <c r="M3315" t="s">
        <v>2554</v>
      </c>
    </row>
    <row r="3316" spans="1:23">
      <c r="A3316">
        <v>30</v>
      </c>
      <c r="B3316">
        <v>8</v>
      </c>
      <c r="C3316">
        <v>2021</v>
      </c>
      <c r="D3316" s="3" t="str">
        <f>B3316&amp;"/"&amp;A3316&amp;"/"&amp;C3316</f>
        <v>8/30/2021</v>
      </c>
      <c r="E3316">
        <v>0.66666666666666663</v>
      </c>
      <c r="F3316" t="s">
        <f>I3316&amp;" "&amp;J3316&amp;" "&amp;K3316&amp;" "&amp;L3316&amp;" "&amp;M3316&amp;" "&amp;N3316</f>
        <v>2690</v>
      </c>
      <c r="G3316" t="s">
        <f>TEXT(D3316,"mmm dd")</f>
        <v>846</v>
      </c>
      <c r="I3316" t="s">
        <v>2223</v>
      </c>
      <c r="J3316" t="s">
        <v>2320</v>
      </c>
    </row>
    <row r="3317" spans="1:23">
      <c r="A3317">
        <v>31</v>
      </c>
      <c r="B3317">
        <v>8</v>
      </c>
      <c r="C3317">
        <v>2021</v>
      </c>
      <c r="D3317" s="3" t="str">
        <f>B3317&amp;"/"&amp;A3317&amp;"/"&amp;C3317</f>
        <v>8/31/2021</v>
      </c>
      <c r="E3317">
        <v>0.47916666666666669</v>
      </c>
      <c r="F3317" t="s">
        <f>I3317&amp;" "&amp;J3317&amp;" "&amp;K3317&amp;" "&amp;L3317&amp;" "&amp;M3317&amp;" "&amp;N3317</f>
        <v>2948</v>
      </c>
      <c r="G3317" t="s">
        <f>TEXT(D3317,"mmm dd")</f>
        <v>2061</v>
      </c>
      <c r="I3317" t="s">
        <v>1316</v>
      </c>
      <c r="L3317" t="s">
        <v>2949</v>
      </c>
      <c r="M3317" t="s">
        <v>1636</v>
      </c>
      <c r="N3317" t="s">
        <v>842</v>
      </c>
    </row>
    <row r="3318" spans="1:23">
      <c r="A3318">
        <v>1</v>
      </c>
      <c r="B3318">
        <v>9</v>
      </c>
      <c r="C3318">
        <v>2021</v>
      </c>
      <c r="D3318" s="3" t="s">
        <f>B3318&amp;"/"&amp;A3318&amp;"/"&amp;C3318</f>
        <v>2950</v>
      </c>
      <c r="E3318">
        <v>0.73958333333333337</v>
      </c>
      <c r="F3318" t="s">
        <f>I3318&amp;" "&amp;J3318&amp;" "&amp;K3318&amp;" "&amp;L3318&amp;" "&amp;M3318&amp;" "&amp;N3318</f>
        <v>2951</v>
      </c>
      <c r="G3318" t="s">
        <f>TEXT(D3318,"mmm dd")</f>
        <v>2065</v>
      </c>
      <c r="I3318" t="s">
        <v>2716</v>
      </c>
    </row>
    <row r="3319" spans="1:23">
      <c r="A3319">
        <v>1</v>
      </c>
      <c r="B3319">
        <v>9</v>
      </c>
      <c r="C3319">
        <v>2021</v>
      </c>
      <c r="D3319" s="3" t="s">
        <f>B3319&amp;"/"&amp;A3319&amp;"/"&amp;C3319</f>
        <v>2950</v>
      </c>
      <c r="E3319">
        <v>0.95833333333333337</v>
      </c>
      <c r="F3319" t="str">
        <f>I3319&amp;" "&amp;J3319&amp;" "&amp;K3319&amp;" "&amp;L3319&amp;" "&amp;M3319&amp;" "&amp;N3319</f>
        <v>Scott Jansen phone call  </v>
      </c>
      <c r="G3319" t="s">
        <f>TEXT(D3319,"mmm dd")</f>
        <v>2065</v>
      </c>
      <c r="I3319" t="s">
        <v>917</v>
      </c>
      <c r="J3319" t="s">
        <v>2636</v>
      </c>
      <c r="K3319" t="s">
        <v>417</v>
      </c>
      <c r="L3319" t="s">
        <v>418</v>
      </c>
    </row>
    <row r="3320" spans="1:23">
      <c r="A3320">
        <v>1</v>
      </c>
      <c r="B3320">
        <v>9</v>
      </c>
      <c r="C3320">
        <v>2021</v>
      </c>
      <c r="D3320" s="3" t="s">
        <f>B3320&amp;"/"&amp;A3320&amp;"/"&amp;C3320</f>
        <v>2950</v>
      </c>
      <c r="E3320">
        <v>0.89583333333333337</v>
      </c>
      <c r="F3320" t="str">
        <f>I3320&amp;" "&amp;J3320&amp;" "&amp;K3320&amp;" "&amp;L3320&amp;" "&amp;M3320&amp;" "&amp;N3320</f>
        <v>Meet with Nicci   </v>
      </c>
      <c r="G3320" t="s">
        <f>TEXT(D3320,"mmm dd")</f>
        <v>2065</v>
      </c>
      <c r="I3320" t="s">
        <v>300</v>
      </c>
      <c r="J3320" t="s">
        <v>755</v>
      </c>
      <c r="K3320" t="s">
        <v>2941</v>
      </c>
    </row>
    <row r="3321" spans="1:23">
      <c r="A3321">
        <v>2</v>
      </c>
      <c r="B3321">
        <v>9</v>
      </c>
      <c r="C3321">
        <v>2021</v>
      </c>
      <c r="D3321" s="3" t="s">
        <f>B3321&amp;"/"&amp;A3321&amp;"/"&amp;C3321</f>
        <v>2952</v>
      </c>
      <c r="E3321">
        <v>0.67013888888888884</v>
      </c>
      <c r="F3321" t="str">
        <f>I3321&amp;" "&amp;J3321&amp;" "&amp;K3321&amp;" "&amp;L3321&amp;" "&amp;M3321&amp;" "&amp;N3321</f>
        <v>Eichorn appointment (cardiologist)   </v>
      </c>
      <c r="G3321" t="s">
        <f>TEXT(D3321,"mmm dd")</f>
        <v>1376</v>
      </c>
      <c r="I3321" t="s">
        <v>2953</v>
      </c>
      <c r="J3321" t="s">
        <v>648</v>
      </c>
      <c r="K3321" t="s">
        <v>2954</v>
      </c>
    </row>
    <row r="3322" spans="1:23">
      <c r="A3322">
        <v>2</v>
      </c>
      <c r="B3322">
        <v>9</v>
      </c>
      <c r="C3322">
        <v>2021</v>
      </c>
      <c r="D3322" s="3" t="s">
        <f>B3322&amp;"/"&amp;A3322&amp;"/"&amp;C3322</f>
        <v>2952</v>
      </c>
      <c r="E3322">
        <v>0.6479166666666667</v>
      </c>
      <c r="F3322" t="str">
        <f>I3322&amp;" "&amp;J3322&amp;" "&amp;K3322&amp;" "&amp;L3322&amp;" "&amp;M3322&amp;" "&amp;N3322</f>
        <v>NYTimes.com Pass expiration   </v>
      </c>
      <c r="G3322" t="s">
        <f>TEXT(D3322,"mmm dd")</f>
        <v>1376</v>
      </c>
      <c r="I3322" s="8" t="inlineStr">
        <is>
          <t>NYTimes.com</t>
        </is>
      </c>
      <c r="J3322" t="inlineStr">
        <is>
          <t>Pass</t>
        </is>
      </c>
      <c r="K3322" t="inlineStr">
        <is>
          <t>expiration</t>
        </is>
      </c>
    </row>
    <row r="3323" spans="1:23">
      <c r="A3323">
        <v>4</v>
      </c>
      <c r="B3323">
        <v>9</v>
      </c>
      <c r="C3323">
        <v>2021</v>
      </c>
      <c r="D3323" s="3" t="str">
        <f>B3323&amp;"/"&amp;A3323&amp;"/"&amp;C3323</f>
        <v>9/4/2021</v>
      </c>
      <c r="E3323">
        <v>0.66666666666666663</v>
      </c>
      <c r="F3323" t="s">
        <f>I3323&amp;" "&amp;J3323&amp;" "&amp;K3323&amp;" "&amp;L3323&amp;" "&amp;M3323&amp;" "&amp;N3323</f>
        <v>2690</v>
      </c>
      <c r="G3323" t="s">
        <f>TEXT(D3323,"mmm dd")</f>
        <v>1766</v>
      </c>
      <c r="I3323" t="s">
        <v>2223</v>
      </c>
      <c r="J3323" t="s">
        <v>2320</v>
      </c>
    </row>
    <row r="3324" spans="1:23">
      <c r="A3324">
        <v>5</v>
      </c>
      <c r="B3324">
        <v>9</v>
      </c>
      <c r="C3324">
        <v>2021</v>
      </c>
      <c r="D3324" s="3" t="str">
        <f>B3324&amp;"/"&amp;A3324&amp;"/"&amp;C3324</f>
        <v>9/5/2021</v>
      </c>
      <c r="E3324">
        <v>0.60416666666666663</v>
      </c>
      <c r="F3324" t="s">
        <f>I3324&amp;" "&amp;J3324&amp;" "&amp;K3324&amp;" "&amp;L3324&amp;" "&amp;M3324&amp;" "&amp;N3324</f>
        <v>1840</v>
      </c>
      <c r="G3324" t="s">
        <f>TEXT(D3324,"mmm dd")</f>
        <v>1378</v>
      </c>
      <c r="I3324" t="s">
        <v>1273</v>
      </c>
    </row>
    <row r="3325" spans="1:23">
      <c r="A3325">
        <v>8</v>
      </c>
      <c r="B3325">
        <v>9</v>
      </c>
      <c r="C3325">
        <v>2021</v>
      </c>
      <c r="D3325" s="3" t="s">
        <f>B3325&amp;"/"&amp;A3325&amp;"/"&amp;C3325</f>
        <v>2955</v>
      </c>
      <c r="E3325">
        <v>0.875</v>
      </c>
      <c r="F3325" t="str">
        <f>I3325&amp;" "&amp;J3325&amp;" "&amp;K3325&amp;" "&amp;L3325&amp;" "&amp;M3325&amp;" "&amp;N3325</f>
        <v>CPG seminar    </v>
      </c>
      <c r="G3325" t="s">
        <f>TEXT(D3325,"mmm dd")</f>
        <v>2077</v>
      </c>
      <c r="I3325" t="s">
        <v>2608</v>
      </c>
      <c r="J3325" t="s">
        <v>2096</v>
      </c>
    </row>
    <row r="3326" spans="1:23">
      <c r="A3326">
        <v>8</v>
      </c>
      <c r="B3326">
        <v>9</v>
      </c>
      <c r="C3326">
        <v>2021</v>
      </c>
      <c r="D3326" s="3" t="s">
        <f>B3326&amp;"/"&amp;A3326&amp;"/"&amp;C3326</f>
        <v>2955</v>
      </c>
      <c r="E3326">
        <v>0.875</v>
      </c>
      <c r="F3326" t="str">
        <f>I3326&amp;" "&amp;J3326&amp;" "&amp;K3326&amp;" "&amp;L3326&amp;" "&amp;M3326&amp;" "&amp;N3326</f>
        <v>Webinar I   Presentation begins</v>
      </c>
      <c r="G3326" t="s">
        <f>TEXT(D3326,"mmm dd")</f>
        <v>2077</v>
      </c>
      <c r="I3326" t="s">
        <v>2956</v>
      </c>
      <c r="J3326" t="s">
        <v>1175</v>
      </c>
      <c r="M3326" t="s">
        <v>2246</v>
      </c>
      <c r="N3326" t="s">
        <v>1600</v>
      </c>
    </row>
    <row r="3327" spans="1:23">
      <c r="A3327">
        <v>8</v>
      </c>
      <c r="B3327">
        <v>9</v>
      </c>
      <c r="C3327">
        <v>2021</v>
      </c>
      <c r="D3327" s="3" t="s">
        <f>B3327&amp;"/"&amp;A3327&amp;"/"&amp;C3327</f>
        <v>2955</v>
      </c>
      <c r="E3327">
        <v>0.66666666666666663</v>
      </c>
      <c r="F3327" t="s">
        <f>I3327&amp;" "&amp;J3327&amp;" "&amp;K3327&amp;" "&amp;L3327&amp;" "&amp;M3327&amp;" "&amp;N3327</f>
        <v>2768</v>
      </c>
      <c r="G3327" t="s">
        <f>TEXT(D3327,"mmm dd")</f>
        <v>2077</v>
      </c>
      <c r="I3327" t="s">
        <v>1791</v>
      </c>
      <c r="J3327" t="s">
        <v>2513</v>
      </c>
      <c r="K3327" t="s">
        <v>2523</v>
      </c>
      <c r="L3327" t="s">
        <v>2769</v>
      </c>
      <c r="M3327">
        <v>7</v>
      </c>
      <c r="N3327" t="s">
        <v>2770</v>
      </c>
    </row>
    <row r="3328" spans="1:23">
      <c r="A3328">
        <v>9</v>
      </c>
      <c r="B3328">
        <v>9</v>
      </c>
      <c r="C3328">
        <v>2021</v>
      </c>
      <c r="D3328" s="3" t="str">
        <f>B3328&amp;"/"&amp;A3328&amp;"/"&amp;C3328</f>
        <v>9/9/2021</v>
      </c>
      <c r="E3328">
        <v>1.0416666666666667</v>
      </c>
      <c r="F3328" t="s">
        <f>I3328&amp;" "&amp;J3328&amp;" "&amp;K3328&amp;" "&amp;L3328&amp;" "&amp;M3328&amp;" "&amp;N3328</f>
        <v>2690</v>
      </c>
      <c r="G3328" t="s">
        <f>TEXT(D3328,"mmm dd")</f>
        <v>2341</v>
      </c>
      <c r="I3328" t="s">
        <v>2223</v>
      </c>
      <c r="J3328" t="s">
        <v>2320</v>
      </c>
    </row>
    <row r="3329" spans="1:23">
      <c r="A3329">
        <v>11</v>
      </c>
      <c r="B3329">
        <v>9</v>
      </c>
      <c r="C3329">
        <v>2021</v>
      </c>
      <c r="D3329" s="3" t="str">
        <f>B3329&amp;"/"&amp;A3329&amp;"/"&amp;C3329</f>
        <v>9/11/2021</v>
      </c>
      <c r="E3329">
        <v>0.6875</v>
      </c>
      <c r="F3329" t="str">
        <f>I3329&amp;" "&amp;J3329&amp;" "&amp;K3329&amp;" "&amp;L3329&amp;" "&amp;M3329&amp;" "&amp;N3329</f>
        <v>Post office    </v>
      </c>
      <c r="G3329" t="s">
        <f>TEXT(D3329,"mmm dd")</f>
        <v>1383</v>
      </c>
      <c r="I3329" t="s">
        <v>2499</v>
      </c>
      <c r="J3329" t="s">
        <v>2148</v>
      </c>
    </row>
    <row r="3330" spans="1:23">
      <c r="A3330">
        <v>12</v>
      </c>
      <c r="B3330">
        <v>9</v>
      </c>
      <c r="C3330">
        <v>2021</v>
      </c>
      <c r="D3330" s="3" t="str">
        <f>B3330&amp;"/"&amp;A3330&amp;"/"&amp;C3330</f>
        <v>9/12/2021</v>
      </c>
      <c r="E3330">
        <v>0.60416666666666663</v>
      </c>
      <c r="F3330" t="s">
        <f>I3330&amp;" "&amp;J3330&amp;" "&amp;K3330&amp;" "&amp;L3330&amp;" "&amp;M3330&amp;" "&amp;N3330</f>
        <v>1840</v>
      </c>
      <c r="G3330" t="s">
        <f>TEXT(D3330,"mmm dd")</f>
        <v>1386</v>
      </c>
      <c r="I3330" t="s">
        <v>1273</v>
      </c>
    </row>
    <row r="3331" spans="1:23">
      <c r="A3331">
        <v>14</v>
      </c>
      <c r="B3331">
        <v>9</v>
      </c>
      <c r="C3331">
        <v>2021</v>
      </c>
      <c r="D3331" s="3" t="str">
        <f>B3331&amp;"/"&amp;A3331&amp;"/"&amp;C3331</f>
        <v>9/14/2021</v>
      </c>
      <c r="E3331">
        <v>0.83333333333333337</v>
      </c>
      <c r="F3331" t="s">
        <f>I3331&amp;" "&amp;J3331&amp;" "&amp;K3331&amp;" "&amp;L3331&amp;" "&amp;M3331&amp;" "&amp;N3331</f>
        <v>2690</v>
      </c>
      <c r="G3331" t="s">
        <f>TEXT(D3331,"mmm dd")</f>
        <v>1390</v>
      </c>
      <c r="I3331" t="s">
        <v>2223</v>
      </c>
      <c r="J3331" t="s">
        <v>2320</v>
      </c>
    </row>
    <row r="3332" spans="1:23">
      <c r="A3332">
        <v>19</v>
      </c>
      <c r="B3332">
        <v>9</v>
      </c>
      <c r="C3332">
        <v>2021</v>
      </c>
      <c r="D3332" s="3" t="s">
        <f>B3332&amp;"/"&amp;A3332&amp;"/"&amp;C3332</f>
        <v>2957</v>
      </c>
      <c r="E3332">
        <v>0.83333333333333337</v>
      </c>
      <c r="F3332" t="s">
        <f>I3332&amp;" "&amp;J3332&amp;" "&amp;K3332&amp;" "&amp;L3332&amp;" "&amp;M3332&amp;" "&amp;N3332</f>
        <v>2690</v>
      </c>
      <c r="G3332" t="s">
        <f>TEXT(D3332,"mmm dd")</f>
        <v>879</v>
      </c>
      <c r="I3332" t="s">
        <v>2223</v>
      </c>
      <c r="J3332" t="s">
        <v>2320</v>
      </c>
    </row>
    <row r="3333" spans="1:23">
      <c r="A3333">
        <v>19</v>
      </c>
      <c r="B3333">
        <v>9</v>
      </c>
      <c r="C3333">
        <v>2021</v>
      </c>
      <c r="D3333" s="3" t="s">
        <f>B3333&amp;"/"&amp;A3333&amp;"/"&amp;C3333</f>
        <v>2957</v>
      </c>
      <c r="E3333">
        <v>0.45833333333333331</v>
      </c>
      <c r="F3333" t="s">
        <f>I3333&amp;" "&amp;J3333&amp;" "&amp;K3333&amp;" "&amp;L3333&amp;" "&amp;M3333&amp;" "&amp;N3333</f>
        <v>1840</v>
      </c>
      <c r="G3333" t="s">
        <f>TEXT(D3333,"mmm dd")</f>
        <v>879</v>
      </c>
      <c r="I3333" t="s">
        <v>1273</v>
      </c>
    </row>
    <row r="3334" spans="1:23">
      <c r="A3334">
        <v>20</v>
      </c>
      <c r="B3334">
        <v>9</v>
      </c>
      <c r="C3334">
        <v>2021</v>
      </c>
      <c r="D3334" s="3" t="s">
        <f>B3334&amp;"/"&amp;A3334&amp;"/"&amp;C3334</f>
        <v>2958</v>
      </c>
      <c r="E3334">
        <v>0.8125</v>
      </c>
      <c r="F3334" t="s">
        <f>I3334&amp;" "&amp;J3334&amp;" "&amp;K3334&amp;" "&amp;L3334&amp;" "&amp;M3334&amp;" "&amp;N3334</f>
        <v>2895</v>
      </c>
      <c r="G3334" t="s">
        <f>TEXT(D3334,"mmm dd")</f>
        <v>884</v>
      </c>
      <c r="I3334" t="s">
        <v>2869</v>
      </c>
      <c r="J3334" t="s">
        <v>439</v>
      </c>
      <c r="K3334" t="s">
        <v>1316</v>
      </c>
    </row>
    <row r="3335" spans="1:23">
      <c r="A3335">
        <v>20</v>
      </c>
      <c r="B3335">
        <v>9</v>
      </c>
      <c r="C3335">
        <v>2021</v>
      </c>
      <c r="D3335" s="3" t="s">
        <f>B3335&amp;"/"&amp;A3335&amp;"/"&amp;C3335</f>
        <v>2958</v>
      </c>
      <c r="E3335">
        <v>0.875</v>
      </c>
      <c r="F3335" t="str">
        <f>I3335&amp;" "&amp;J3335&amp;" "&amp;K3335&amp;" "&amp;L3335&amp;" "&amp;M3335&amp;" "&amp;N3335</f>
        <v>St. Paul's vestry?   </v>
      </c>
      <c r="G3335" t="s">
        <f>TEXT(D3335,"mmm dd")</f>
        <v>884</v>
      </c>
      <c r="I3335" t="s">
        <v>218</v>
      </c>
      <c r="J3335" t="s">
        <v>2471</v>
      </c>
      <c r="K3335" t="inlineStr">
        <is>
          <t>vestry?</t>
        </is>
      </c>
    </row>
    <row r="3336" spans="1:23">
      <c r="A3336">
        <v>22</v>
      </c>
      <c r="B3336">
        <v>9</v>
      </c>
      <c r="C3336">
        <v>2021</v>
      </c>
      <c r="D3336" s="3" t="str">
        <f>B3336&amp;"/"&amp;A3336&amp;"/"&amp;C3336</f>
        <v>9/22/2021</v>
      </c>
      <c r="E3336">
        <v>0.79166666666666663</v>
      </c>
      <c r="F3336" t="str">
        <f>I3336&amp;" "&amp;J3336&amp;" "&amp;K3336&amp;" "&amp;L3336&amp;" "&amp;M3336&amp;" "&amp;N3336</f>
        <v>Linda Serepca (Dale)   </v>
      </c>
      <c r="G3336" t="s">
        <f>TEXT(D3336,"mmm dd")</f>
        <v>2088</v>
      </c>
      <c r="I3336" t="s">
        <v>2890</v>
      </c>
      <c r="J3336" t="s">
        <v>2891</v>
      </c>
      <c r="K3336" t="s">
        <v>2753</v>
      </c>
    </row>
    <row r="3337" spans="1:23">
      <c r="A3337">
        <v>23</v>
      </c>
      <c r="B3337">
        <v>9</v>
      </c>
      <c r="C3337">
        <v>2021</v>
      </c>
      <c r="D3337" s="3" t="str">
        <f>B3337&amp;"/"&amp;A3337&amp;"/"&amp;C3337</f>
        <v>9/23/2021</v>
      </c>
      <c r="E3337">
        <v>0.70833333333333337</v>
      </c>
      <c r="F3337" t="s">
        <f>I3337&amp;" "&amp;J3337&amp;" "&amp;K3337&amp;" "&amp;L3337&amp;" "&amp;M3337&amp;" "&amp;N3337</f>
        <v>2959</v>
      </c>
      <c r="G3337" t="s">
        <f>TEXT(D3337,"mmm dd")</f>
        <v>892</v>
      </c>
      <c r="I3337" t="s">
        <v>2937</v>
      </c>
      <c r="J3337" t="s">
        <v>898</v>
      </c>
    </row>
    <row r="3338" spans="1:23">
      <c r="A3338">
        <v>24</v>
      </c>
      <c r="B3338">
        <v>9</v>
      </c>
      <c r="C3338">
        <v>2021</v>
      </c>
      <c r="D3338" s="3" t="str">
        <f>B3338&amp;"/"&amp;A3338&amp;"/"&amp;C3338</f>
        <v>9/24/2021</v>
      </c>
      <c r="E3338">
        <v>0.875</v>
      </c>
      <c r="F3338" t="s">
        <f>I3338&amp;" "&amp;J3338&amp;" "&amp;K3338&amp;" "&amp;L3338&amp;" "&amp;M3338&amp;" "&amp;N3338</f>
        <v>2690</v>
      </c>
      <c r="G3338" t="s">
        <f>TEXT(D3338,"mmm dd")</f>
        <v>2090</v>
      </c>
      <c r="I3338" t="s">
        <v>2223</v>
      </c>
      <c r="J3338" t="s">
        <v>2320</v>
      </c>
    </row>
    <row r="3339" spans="1:23">
      <c r="A3339">
        <v>28</v>
      </c>
      <c r="B3339">
        <v>9</v>
      </c>
      <c r="C3339">
        <v>2021</v>
      </c>
      <c r="D3339" s="3" t="str">
        <f>B3339&amp;"/"&amp;A3339&amp;"/"&amp;C3339</f>
        <v>9/28/2021</v>
      </c>
      <c r="E3339">
        <v>1.0416666666666667</v>
      </c>
      <c r="F3339" t="s">
        <f>I3339&amp;" "&amp;J3339&amp;" "&amp;K3339&amp;" "&amp;L3339&amp;" "&amp;M3339&amp;" "&amp;N3339</f>
        <v>2887</v>
      </c>
      <c r="G3339" t="s">
        <f>TEXT(D3339,"mmm dd")</f>
        <v>912</v>
      </c>
      <c r="I3339" t="s">
        <v>2874</v>
      </c>
      <c r="J3339" t="s">
        <v>2238</v>
      </c>
      <c r="L3339" t="s">
        <v>2745</v>
      </c>
      <c r="M3339" t="s">
        <v>2131</v>
      </c>
    </row>
    <row r="3340" spans="1:23">
      <c r="A3340">
        <v>29</v>
      </c>
      <c r="B3340">
        <v>9</v>
      </c>
      <c r="C3340">
        <v>2021</v>
      </c>
      <c r="D3340" s="3" t="s">
        <f>B3340&amp;"/"&amp;A3340&amp;"/"&amp;C3340</f>
        <v>2960</v>
      </c>
      <c r="E3340">
        <v>0.79166666666666663</v>
      </c>
      <c r="F3340" t="str">
        <f>I3340&amp;" "&amp;J3340&amp;" "&amp;K3340&amp;" "&amp;L3340&amp;" "&amp;M3340&amp;" "&amp;N3340</f>
        <v>Steve to draw pictures  </v>
      </c>
      <c r="G3340" t="s">
        <f>TEXT(D3340,"mmm dd")</f>
        <v>1771</v>
      </c>
      <c r="I3340" t="s">
        <v>2961</v>
      </c>
      <c r="J3340" t="s">
        <v>449</v>
      </c>
      <c r="K3340" t="inlineStr">
        <is>
          <t>draw</t>
        </is>
      </c>
      <c r="L3340" t="s">
        <v>2043</v>
      </c>
    </row>
    <row r="3341" spans="1:23">
      <c r="A3341">
        <v>29</v>
      </c>
      <c r="B3341">
        <v>9</v>
      </c>
      <c r="C3341">
        <v>2021</v>
      </c>
      <c r="D3341" s="3" t="s">
        <f>B3341&amp;"/"&amp;A3341&amp;"/"&amp;C3341</f>
        <v>2960</v>
      </c>
      <c r="E3341">
        <v>1</v>
      </c>
      <c r="F3341" t="s">
        <f>I3341&amp;" "&amp;J3341&amp;" "&amp;K3341&amp;" "&amp;L3341&amp;" "&amp;M3341&amp;" "&amp;N3341</f>
        <v>2690</v>
      </c>
      <c r="G3341" t="s">
        <f>TEXT(D3341,"mmm dd")</f>
        <v>1771</v>
      </c>
      <c r="I3341" t="s">
        <v>2223</v>
      </c>
      <c r="J3341" t="s">
        <v>2320</v>
      </c>
    </row>
    <row r="3342" spans="1:23">
      <c r="A3342">
        <v>3</v>
      </c>
      <c r="B3342">
        <v>10</v>
      </c>
      <c r="C3342">
        <v>2021</v>
      </c>
      <c r="D3342" s="3" t="str">
        <f>B3342&amp;"/"&amp;A3342&amp;"/"&amp;C3342</f>
        <v>10/3/2021</v>
      </c>
      <c r="E3342">
        <v>0.91666666666666663</v>
      </c>
      <c r="F3342" t="str">
        <f>I3342&amp;" "&amp;J3342&amp;" "&amp;K3342&amp;" "&amp;L3342&amp;" "&amp;M3342&amp;" "&amp;N3342</f>
        <v>Blessing of animals   </v>
      </c>
      <c r="G3342" t="s">
        <f>TEXT(D3342,"mmm dd")</f>
        <v>920</v>
      </c>
      <c r="I3342" t="s">
        <v>1795</v>
      </c>
      <c r="J3342" t="s">
        <v>86</v>
      </c>
      <c r="K3342" t="inlineStr">
        <is>
          <t>animals</t>
        </is>
      </c>
    </row>
    <row r="3343" spans="1:23">
      <c r="A3343">
        <v>4</v>
      </c>
      <c r="B3343">
        <v>10</v>
      </c>
      <c r="C3343">
        <v>2021</v>
      </c>
      <c r="D3343" s="3" t="s">
        <f>B3343&amp;"/"&amp;A3343&amp;"/"&amp;C3343</f>
        <v>2962</v>
      </c>
      <c r="E3343">
        <v>0.875</v>
      </c>
      <c r="F3343" t="s">
        <f>I3343&amp;" "&amp;J3343&amp;" "&amp;K3343&amp;" "&amp;L3343&amp;" "&amp;M3343&amp;" "&amp;N3343</f>
        <v>2963</v>
      </c>
      <c r="G3343" t="s">
        <f>TEXT(D3343,"mmm dd")</f>
        <v>2111</v>
      </c>
      <c r="I3343" t="s">
        <v>2964</v>
      </c>
      <c r="J3343" t="s">
        <v>842</v>
      </c>
      <c r="K3343" t="s">
        <v>755</v>
      </c>
      <c r="L3343" t="s">
        <v>2965</v>
      </c>
      <c r="M3343" t="s">
        <v>2966</v>
      </c>
    </row>
    <row r="3344" spans="1:23">
      <c r="A3344">
        <v>4</v>
      </c>
      <c r="B3344">
        <v>10</v>
      </c>
      <c r="C3344">
        <v>2021</v>
      </c>
      <c r="D3344" s="3" t="s">
        <f>B3344&amp;"/"&amp;A3344&amp;"/"&amp;C3344</f>
        <v>2962</v>
      </c>
      <c r="E3344">
        <v>1</v>
      </c>
      <c r="F3344" t="s">
        <f>I3344&amp;" "&amp;J3344&amp;" "&amp;K3344&amp;" "&amp;L3344&amp;" "&amp;M3344&amp;" "&amp;N3344</f>
        <v>2690</v>
      </c>
      <c r="G3344" t="s">
        <f>TEXT(D3344,"mmm dd")</f>
        <v>2111</v>
      </c>
      <c r="I3344" t="s">
        <v>2223</v>
      </c>
      <c r="J3344" t="s">
        <v>2320</v>
      </c>
    </row>
    <row r="3345" spans="1:23">
      <c r="A3345">
        <v>5</v>
      </c>
      <c r="B3345">
        <v>10</v>
      </c>
      <c r="C3345">
        <v>2021</v>
      </c>
      <c r="D3345" s="3" t="str">
        <f>B3345&amp;"/"&amp;A3345&amp;"/"&amp;C3345</f>
        <v>10/5/2021</v>
      </c>
      <c r="E3345">
        <v>1.0416666666666667</v>
      </c>
      <c r="F3345" t="str">
        <f>I3345&amp;" "&amp;J3345&amp;" "&amp;K3345&amp;" "&amp;L3345&amp;" "&amp;M3345&amp;" "&amp;N3345</f>
        <v>Quick vestry meeting   </v>
      </c>
      <c r="G3345" t="s">
        <f>TEXT(D3345,"mmm dd")</f>
        <v>1612</v>
      </c>
      <c r="I3345" t="inlineStr">
        <is>
          <t>Quick</t>
        </is>
      </c>
      <c r="J3345" t="s">
        <v>1899</v>
      </c>
      <c r="K3345" t="s">
        <v>842</v>
      </c>
    </row>
    <row r="3346" spans="1:23">
      <c r="A3346">
        <v>7</v>
      </c>
      <c r="B3346">
        <v>10</v>
      </c>
      <c r="C3346">
        <v>2021</v>
      </c>
      <c r="D3346" s="3" t="str">
        <f>B3346&amp;"/"&amp;A3346&amp;"/"&amp;C3346</f>
        <v>10/7/2021</v>
      </c>
      <c r="E3346">
        <v>0.875</v>
      </c>
      <c r="F3346" t="s">
        <f>I3346&amp;" "&amp;J3346&amp;" "&amp;K3346&amp;" "&amp;L3346&amp;" "&amp;M3346&amp;" "&amp;N3346</f>
        <v>2967</v>
      </c>
      <c r="G3346" t="s">
        <f>TEXT(D3346,"mmm dd")</f>
        <v>1399</v>
      </c>
      <c r="I3346" t="s">
        <v>300</v>
      </c>
      <c r="J3346" t="s">
        <v>1279</v>
      </c>
    </row>
    <row r="3347" spans="1:23">
      <c r="A3347">
        <v>8</v>
      </c>
      <c r="B3347">
        <v>10</v>
      </c>
      <c r="C3347">
        <v>2021</v>
      </c>
      <c r="D3347" s="3" t="str">
        <f>B3347&amp;"/"&amp;A3347&amp;"/"&amp;C3347</f>
        <v>10/8/2021</v>
      </c>
      <c r="E3347">
        <v>0.75</v>
      </c>
      <c r="F3347" t="s">
        <f>I3347&amp;" "&amp;J3347&amp;" "&amp;K3347&amp;" "&amp;L3347&amp;" "&amp;M3347&amp;" "&amp;N3347</f>
        <v>2967</v>
      </c>
      <c r="G3347" t="s">
        <f>TEXT(D3347,"mmm dd")</f>
        <v>1617</v>
      </c>
      <c r="I3347" t="s">
        <v>300</v>
      </c>
      <c r="J3347" t="s">
        <v>1279</v>
      </c>
    </row>
    <row r="3348" spans="1:23">
      <c r="A3348">
        <v>9</v>
      </c>
      <c r="B3348">
        <v>10</v>
      </c>
      <c r="C3348">
        <v>2021</v>
      </c>
      <c r="D3348" s="3" t="str">
        <f>B3348&amp;"/"&amp;A3348&amp;"/"&amp;C3348</f>
        <v>10/9/2021</v>
      </c>
      <c r="E3348">
        <v>1</v>
      </c>
      <c r="F3348" t="s">
        <f>I3348&amp;" "&amp;J3348&amp;" "&amp;K3348&amp;" "&amp;L3348&amp;" "&amp;M3348&amp;" "&amp;N3348</f>
        <v>2690</v>
      </c>
      <c r="G3348" t="s">
        <f>TEXT(D3348,"mmm dd")</f>
        <v>924</v>
      </c>
      <c r="I3348" t="s">
        <v>2223</v>
      </c>
      <c r="J3348" t="s">
        <v>2320</v>
      </c>
    </row>
    <row r="3349" spans="1:23">
      <c r="A3349">
        <v>10</v>
      </c>
      <c r="B3349">
        <v>10</v>
      </c>
      <c r="C3349">
        <v>2021</v>
      </c>
      <c r="D3349" s="3" t="s">
        <f>B3349&amp;"/"&amp;A3349&amp;"/"&amp;C3349</f>
        <v>2968</v>
      </c>
      <c r="E3349">
        <v>0.66666666666666663</v>
      </c>
      <c r="F3349" t="str">
        <f>I3349&amp;" "&amp;J3349&amp;" "&amp;K3349&amp;" "&amp;L3349&amp;" "&amp;M3349&amp;" "&amp;N3349</f>
        <v>One service    </v>
      </c>
      <c r="G3349" t="s">
        <f>TEXT(D3349,"mmm dd")</f>
        <v>1401</v>
      </c>
      <c r="I3349" t="inlineStr">
        <is>
          <t>One</t>
        </is>
      </c>
      <c r="J3349" t="s">
        <v>427</v>
      </c>
    </row>
    <row r="3350" spans="1:23">
      <c r="A3350">
        <v>10</v>
      </c>
      <c r="B3350">
        <v>10</v>
      </c>
      <c r="C3350">
        <v>2021</v>
      </c>
      <c r="D3350" s="3" t="s">
        <f>B3350&amp;"/"&amp;A3350&amp;"/"&amp;C3350</f>
        <v>2968</v>
      </c>
      <c r="E3350">
        <v>0.70833333333333337</v>
      </c>
      <c r="F3350" t="s">
        <f>I3350&amp;" "&amp;J3350&amp;" "&amp;K3350&amp;" "&amp;L3350&amp;" "&amp;M3350&amp;" "&amp;N3350</f>
        <v>1586</v>
      </c>
      <c r="G3350" t="s">
        <f>TEXT(D3350,"mmm dd")</f>
        <v>1401</v>
      </c>
      <c r="I3350" t="s">
        <v>1587</v>
      </c>
      <c r="J3350" t="s">
        <v>898</v>
      </c>
    </row>
    <row r="3351" spans="1:23">
      <c r="A3351">
        <v>13</v>
      </c>
      <c r="B3351">
        <v>10</v>
      </c>
      <c r="C3351">
        <v>2021</v>
      </c>
      <c r="D3351" s="3" t="s">
        <f>B3351&amp;"/"&amp;A3351&amp;"/"&amp;C3351</f>
        <v>2969</v>
      </c>
      <c r="E3351">
        <v>0.63541666666666663</v>
      </c>
      <c r="F3351" t="str">
        <f>I3351&amp;" "&amp;J3351&amp;" "&amp;K3351&amp;" "&amp;L3351&amp;" "&amp;M3351&amp;" "&amp;N3351</f>
        <v>Cat scan    </v>
      </c>
      <c r="G3351" t="s">
        <f>TEXT(D3351,"mmm dd")</f>
        <v>1775</v>
      </c>
      <c r="I3351" t="inlineStr">
        <is>
          <t>Cat</t>
        </is>
      </c>
      <c r="J3351" t="inlineStr">
        <is>
          <t>scan</t>
        </is>
      </c>
    </row>
    <row r="3352" spans="1:23">
      <c r="A3352">
        <v>13</v>
      </c>
      <c r="B3352">
        <v>10</v>
      </c>
      <c r="C3352">
        <v>2021</v>
      </c>
      <c r="D3352" s="3" t="s">
        <f>B3352&amp;"/"&amp;A3352&amp;"/"&amp;C3352</f>
        <v>2969</v>
      </c>
      <c r="E3352">
        <v>0.89583333333333337</v>
      </c>
      <c r="F3352" t="str">
        <f>I3352&amp;" "&amp;J3352&amp;" "&amp;K3352&amp;" "&amp;L3352&amp;" "&amp;M3352&amp;" "&amp;N3352</f>
        <v>Charlotte Jenkins' Zoom Meeting  </v>
      </c>
      <c r="G3352" t="s">
        <f>TEXT(D3352,"mmm dd")</f>
        <v>1775</v>
      </c>
      <c r="I3352" t="s">
        <v>2372</v>
      </c>
      <c r="J3352" t="inlineStr">
        <is>
          <t>Jenkins'</t>
        </is>
      </c>
      <c r="K3352" t="s">
        <v>2712</v>
      </c>
      <c r="L3352" t="s">
        <v>898</v>
      </c>
    </row>
    <row r="3353" spans="1:23">
      <c r="A3353">
        <v>14</v>
      </c>
      <c r="B3353">
        <v>10</v>
      </c>
      <c r="C3353">
        <v>2021</v>
      </c>
      <c r="D3353" s="3" t="str">
        <f>B3353&amp;"/"&amp;A3353&amp;"/"&amp;C3353</f>
        <v>10/14/2021</v>
      </c>
      <c r="E3353">
        <v>1</v>
      </c>
      <c r="F3353" t="s">
        <f>I3353&amp;" "&amp;J3353&amp;" "&amp;K3353&amp;" "&amp;L3353&amp;" "&amp;M3353&amp;" "&amp;N3353</f>
        <v>2690</v>
      </c>
      <c r="G3353" t="s">
        <f>TEXT(D3353,"mmm dd")</f>
        <v>938</v>
      </c>
      <c r="I3353" t="s">
        <v>2223</v>
      </c>
      <c r="J3353" t="s">
        <v>2320</v>
      </c>
    </row>
    <row r="3354" spans="1:23">
      <c r="A3354">
        <v>16</v>
      </c>
      <c r="B3354">
        <v>10</v>
      </c>
      <c r="C3354">
        <v>2021</v>
      </c>
      <c r="D3354" s="3" t="s">
        <f>B3354&amp;"/"&amp;A3354&amp;"/"&amp;C3354</f>
        <v>2970</v>
      </c>
      <c r="E3354">
        <v>0.875</v>
      </c>
      <c r="F3354" t="str">
        <f>I3354&amp;" "&amp;J3354&amp;" "&amp;K3354&amp;" "&amp;L3354&amp;" "&amp;M3354&amp;" "&amp;N3354</f>
        <v>Call Tina    </v>
      </c>
      <c r="G3354" t="s">
        <f>TEXT(D3354,"mmm dd")</f>
        <v>1404</v>
      </c>
      <c r="I3354" t="s">
        <v>1028</v>
      </c>
      <c r="J3354" t="s">
        <v>2971</v>
      </c>
    </row>
    <row r="3355" spans="1:23">
      <c r="A3355">
        <v>16</v>
      </c>
      <c r="B3355">
        <v>10</v>
      </c>
      <c r="C3355">
        <v>2021</v>
      </c>
      <c r="D3355" s="3" t="s">
        <f>B3355&amp;"/"&amp;A3355&amp;"/"&amp;C3355</f>
        <v>2970</v>
      </c>
      <c r="E3355">
        <v>0.75</v>
      </c>
      <c r="F3355" t="str">
        <f>I3355&amp;" "&amp;J3355&amp;" "&amp;K3355&amp;" "&amp;L3355&amp;" "&amp;M3355&amp;" "&amp;N3355</f>
        <v>Handbells     </v>
      </c>
      <c r="G3355" t="s">
        <f>TEXT(D3355,"mmm dd")</f>
        <v>1404</v>
      </c>
      <c r="I3355" t="inlineStr">
        <is>
          <t>Handbells</t>
        </is>
      </c>
    </row>
    <row r="3356" spans="1:23">
      <c r="A3356">
        <v>18</v>
      </c>
      <c r="B3356">
        <v>10</v>
      </c>
      <c r="C3356">
        <v>2021</v>
      </c>
      <c r="D3356" s="3" t="s">
        <f>B3356&amp;"/"&amp;A3356&amp;"/"&amp;C3356</f>
        <v>2972</v>
      </c>
      <c r="E3356">
        <v>0.625</v>
      </c>
      <c r="F3356" t="str">
        <f>I3356&amp;" "&amp;J3356&amp;" "&amp;K3356&amp;" "&amp;L3356&amp;" "&amp;M3356&amp;" "&amp;N3356</f>
        <v>Eichorn consultation    </v>
      </c>
      <c r="G3356" t="s">
        <f>TEXT(D3356,"mmm dd")</f>
        <v>1407</v>
      </c>
      <c r="I3356" t="s">
        <v>2953</v>
      </c>
      <c r="J3356" t="inlineStr">
        <is>
          <t>consultation</t>
        </is>
      </c>
    </row>
    <row r="3357" spans="1:23">
      <c r="A3357">
        <v>18</v>
      </c>
      <c r="B3357">
        <v>10</v>
      </c>
      <c r="C3357">
        <v>2021</v>
      </c>
      <c r="D3357" s="3" t="s">
        <f>B3357&amp;"/"&amp;A3357&amp;"/"&amp;C3357</f>
        <v>2972</v>
      </c>
      <c r="E3357">
        <v>0.875</v>
      </c>
      <c r="F3357" t="s">
        <f>I3357&amp;" "&amp;J3357&amp;" "&amp;K3357&amp;" "&amp;L3357&amp;" "&amp;M3357&amp;" "&amp;N3357</f>
        <v>2973</v>
      </c>
      <c r="G3357" t="s">
        <f>TEXT(D3357,"mmm dd")</f>
        <v>1407</v>
      </c>
      <c r="I3357" t="s">
        <v>218</v>
      </c>
      <c r="J3357" t="s">
        <v>2471</v>
      </c>
      <c r="K3357" t="s">
        <v>1899</v>
      </c>
    </row>
    <row r="3358" spans="1:23">
      <c r="A3358">
        <v>19</v>
      </c>
      <c r="B3358">
        <v>10</v>
      </c>
      <c r="C3358">
        <v>2021</v>
      </c>
      <c r="D3358" s="3" t="str">
        <f>B3358&amp;"/"&amp;A3358&amp;"/"&amp;C3358</f>
        <v>10/19/2021</v>
      </c>
      <c r="E3358">
        <v>0.20833333333333334</v>
      </c>
      <c r="F3358" t="s">
        <f>I3358&amp;" "&amp;J3358&amp;" "&amp;K3358&amp;" "&amp;L3358&amp;" "&amp;M3358&amp;" "&amp;N3358</f>
        <v>2690</v>
      </c>
      <c r="G3358" t="s">
        <f>TEXT(D3358,"mmm dd")</f>
        <v>1626</v>
      </c>
      <c r="I3358" t="s">
        <v>2223</v>
      </c>
      <c r="J3358" t="s">
        <v>2320</v>
      </c>
    </row>
    <row r="3359" spans="1:23">
      <c r="A3359">
        <v>20</v>
      </c>
      <c r="B3359">
        <v>10</v>
      </c>
      <c r="C3359">
        <v>2021</v>
      </c>
      <c r="D3359" s="3" t="str">
        <f>B3359&amp;"/"&amp;A3359&amp;"/"&amp;C3359</f>
        <v>10/20/2021</v>
      </c>
      <c r="E3359">
        <v>0.75</v>
      </c>
      <c r="F3359" t="s">
        <f>I3359&amp;" "&amp;J3359&amp;" "&amp;K3359&amp;" "&amp;L3359&amp;" "&amp;M3359&amp;" "&amp;N3359</f>
        <v>2889</v>
      </c>
      <c r="G3359" t="s">
        <f>TEXT(D3359,"mmm dd")</f>
        <v>1408</v>
      </c>
      <c r="I3359" t="s">
        <v>2890</v>
      </c>
      <c r="J3359" t="s">
        <v>2891</v>
      </c>
    </row>
    <row r="3360" spans="1:23">
      <c r="A3360">
        <v>21</v>
      </c>
      <c r="B3360">
        <v>10</v>
      </c>
      <c r="C3360">
        <v>2021</v>
      </c>
      <c r="D3360" s="3" t="str">
        <f>B3360&amp;"/"&amp;A3360&amp;"/"&amp;C3360</f>
        <v>10/21/2021</v>
      </c>
      <c r="E3360">
        <v>0.54166666666666663</v>
      </c>
      <c r="F3360" t="s">
        <f>I3360&amp;" "&amp;J3360&amp;" "&amp;K3360&amp;" "&amp;L3360&amp;" "&amp;M3360&amp;" "&amp;N3360</f>
        <v>2959</v>
      </c>
      <c r="G3360" t="s">
        <f>TEXT(D3360,"mmm dd")</f>
        <v>1629</v>
      </c>
      <c r="I3360" t="s">
        <v>2937</v>
      </c>
      <c r="J3360" t="s">
        <v>898</v>
      </c>
    </row>
    <row r="3361" spans="1:23">
      <c r="A3361">
        <v>22</v>
      </c>
      <c r="B3361">
        <v>10</v>
      </c>
      <c r="C3361">
        <v>2021</v>
      </c>
      <c r="D3361" s="3" t="str">
        <f>B3361&amp;"/"&amp;A3361&amp;"/"&amp;C3361</f>
        <v>10/22/2021</v>
      </c>
      <c r="E3361">
        <v>0.9375</v>
      </c>
      <c r="F3361" t="str">
        <f>I3361&amp;" "&amp;J3361&amp;" "&amp;K3361&amp;" "&amp;L3361&amp;" "&amp;M3361&amp;" "&amp;N3361</f>
        <v>Education Day Hawaii (Reconciliation)  </v>
      </c>
      <c r="G3361" t="s">
        <f>TEXT(D3361,"mmm dd")</f>
        <v>1410</v>
      </c>
      <c r="I3361" t="s">
        <v>2305</v>
      </c>
      <c r="J3361" t="s">
        <v>10</v>
      </c>
      <c r="K3361" t="s">
        <v>1274</v>
      </c>
      <c r="L3361" t="inlineStr">
        <is>
          <t>(Reconciliation)</t>
        </is>
      </c>
    </row>
    <row r="3362" spans="1:23">
      <c r="A3362">
        <v>23</v>
      </c>
      <c r="B3362">
        <v>10</v>
      </c>
      <c r="C3362">
        <v>2021</v>
      </c>
      <c r="D3362" s="3" t="str">
        <f>B3362&amp;"/"&amp;A3362&amp;"/"&amp;C3362</f>
        <v>10/23/2021</v>
      </c>
      <c r="E3362">
        <v>0.875</v>
      </c>
      <c r="F3362" t="str">
        <f>I3362&amp;" "&amp;J3362&amp;" "&amp;K3362&amp;" "&amp;L3362&amp;" "&amp;M3362&amp;" "&amp;N3362</f>
        <v>Hawaii Convention (time?)   </v>
      </c>
      <c r="G3362" t="s">
        <f>TEXT(D3362,"mmm dd")</f>
        <v>953</v>
      </c>
      <c r="I3362" t="s">
        <v>1274</v>
      </c>
      <c r="J3362" t="s">
        <v>1338</v>
      </c>
      <c r="K3362" t="s">
        <v>2032</v>
      </c>
    </row>
    <row r="3363" spans="1:23">
      <c r="A3363">
        <v>24</v>
      </c>
      <c r="B3363">
        <v>10</v>
      </c>
      <c r="C3363">
        <v>2021</v>
      </c>
      <c r="D3363" s="3" t="str">
        <f>B3363&amp;"/"&amp;A3363&amp;"/"&amp;C3363</f>
        <v>10/24/2021</v>
      </c>
      <c r="E3363">
        <v>0.20833333333333334</v>
      </c>
      <c r="F3363" t="s">
        <f>I3363&amp;" "&amp;J3363&amp;" "&amp;K3363&amp;" "&amp;L3363&amp;" "&amp;M3363&amp;" "&amp;N3363</f>
        <v>2690</v>
      </c>
      <c r="G3363" t="s">
        <f>TEXT(D3363,"mmm dd")</f>
        <v>956</v>
      </c>
      <c r="I3363" t="s">
        <v>2223</v>
      </c>
      <c r="J3363" t="s">
        <v>2320</v>
      </c>
    </row>
    <row r="3364" spans="1:23">
      <c r="A3364">
        <v>25</v>
      </c>
      <c r="B3364">
        <v>10</v>
      </c>
      <c r="C3364">
        <v>2021</v>
      </c>
      <c r="D3364" s="3" t="s">
        <f>B3364&amp;"/"&amp;A3364&amp;"/"&amp;C3364</f>
        <v>2974</v>
      </c>
      <c r="E3364">
        <v>0.79166666666666663</v>
      </c>
      <c r="F3364" t="s">
        <f>I3364&amp;" "&amp;J3364&amp;" "&amp;K3364&amp;" "&amp;L3364&amp;" "&amp;M3364&amp;" "&amp;N3364</f>
        <v>1825</v>
      </c>
      <c r="G3364" t="s">
        <f>TEXT(D3364,"mmm dd")</f>
        <v>2261</v>
      </c>
      <c r="I3364" t="s">
        <v>1826</v>
      </c>
    </row>
    <row r="3365" spans="1:23">
      <c r="A3365">
        <v>25</v>
      </c>
      <c r="B3365">
        <v>10</v>
      </c>
      <c r="C3365">
        <v>2021</v>
      </c>
      <c r="D3365" s="3" t="s">
        <f>B3365&amp;"/"&amp;A3365&amp;"/"&amp;C3365</f>
        <v>2974</v>
      </c>
      <c r="E3365">
        <v>0.75</v>
      </c>
      <c r="F3365" t="s">
        <f>I3365&amp;" "&amp;J3365&amp;" "&amp;K3365&amp;" "&amp;L3365&amp;" "&amp;M3365&amp;" "&amp;N3365</f>
        <v>2975</v>
      </c>
      <c r="G3365" t="s">
        <f>TEXT(D3365,"mmm dd")</f>
        <v>2261</v>
      </c>
      <c r="I3365" t="s">
        <v>2813</v>
      </c>
      <c r="J3365" t="s">
        <v>2897</v>
      </c>
      <c r="K3365" t="s">
        <v>2419</v>
      </c>
    </row>
    <row r="3366" spans="1:23">
      <c r="A3366">
        <v>26</v>
      </c>
      <c r="B3366">
        <v>10</v>
      </c>
      <c r="C3366">
        <v>2021</v>
      </c>
      <c r="D3366" s="3" t="s">
        <f>B3366&amp;"/"&amp;A3366&amp;"/"&amp;C3366</f>
        <v>2976</v>
      </c>
      <c r="E3366">
        <v>1</v>
      </c>
      <c r="F3366" t="s">
        <f>I3366&amp;" "&amp;J3366&amp;" "&amp;K3366&amp;" "&amp;L3366&amp;" "&amp;M3366&amp;" "&amp;N3366</f>
        <v>2887</v>
      </c>
      <c r="G3366" t="s">
        <f>TEXT(D3366,"mmm dd")</f>
        <v>1633</v>
      </c>
      <c r="I3366" t="s">
        <v>2874</v>
      </c>
      <c r="J3366" t="s">
        <v>2238</v>
      </c>
      <c r="L3366" t="s">
        <v>2745</v>
      </c>
      <c r="M3366" t="s">
        <v>2131</v>
      </c>
    </row>
    <row r="3367" spans="1:23">
      <c r="A3367">
        <v>26</v>
      </c>
      <c r="B3367">
        <v>10</v>
      </c>
      <c r="C3367">
        <v>2021</v>
      </c>
      <c r="D3367" s="3" t="s">
        <f>B3367&amp;"/"&amp;A3367&amp;"/"&amp;C3367</f>
        <v>2976</v>
      </c>
      <c r="E3367">
        <v>0.47916666666666669</v>
      </c>
      <c r="F3367" t="s">
        <f>I3367&amp;" "&amp;J3367&amp;" "&amp;K3367&amp;" "&amp;L3367&amp;" "&amp;M3367&amp;" "&amp;N3367</f>
        <v>2948</v>
      </c>
      <c r="G3367" t="s">
        <f>TEXT(D3367,"mmm dd")</f>
        <v>1633</v>
      </c>
      <c r="I3367" t="s">
        <v>1316</v>
      </c>
      <c r="L3367" t="s">
        <v>2949</v>
      </c>
      <c r="M3367" t="s">
        <v>1636</v>
      </c>
      <c r="N3367" t="s">
        <v>842</v>
      </c>
    </row>
    <row r="3368" spans="1:23">
      <c r="A3368">
        <v>28</v>
      </c>
      <c r="B3368">
        <v>10</v>
      </c>
      <c r="C3368">
        <v>2021</v>
      </c>
      <c r="D3368" s="3" t="s">
        <f>B3368&amp;"/"&amp;A3368&amp;"/"&amp;C3368</f>
        <v>2977</v>
      </c>
      <c r="E3368">
        <v>1.0416666666666667</v>
      </c>
      <c r="F3368" t="str">
        <f>I3368&amp;" "&amp;J3368&amp;" "&amp;K3368&amp;" "&amp;L3368&amp;" "&amp;M3368&amp;" "&amp;N3368</f>
        <v>Clyburn’s for dinner   </v>
      </c>
      <c r="G3368" t="s">
        <f>TEXT(D3368,"mmm dd")</f>
        <v>959</v>
      </c>
      <c r="I3368" t="inlineStr">
        <is>
          <t>Clyburn’s</t>
        </is>
      </c>
      <c r="J3368" t="s">
        <v>439</v>
      </c>
      <c r="K3368" t="s">
        <v>517</v>
      </c>
    </row>
    <row r="3369" spans="1:23">
      <c r="A3369">
        <v>28</v>
      </c>
      <c r="B3369">
        <v>10</v>
      </c>
      <c r="C3369">
        <v>2021</v>
      </c>
      <c r="D3369" s="3" t="s">
        <f>B3369&amp;"/"&amp;A3369&amp;"/"&amp;C3369</f>
        <v>2977</v>
      </c>
      <c r="E3369">
        <v>0.64583333333333337</v>
      </c>
      <c r="F3369" t="str">
        <f>I3369&amp;" "&amp;J3369&amp;" "&amp;K3369&amp;" "&amp;L3369&amp;" "&amp;M3369&amp;" "&amp;N3369</f>
        <v>Tenini annual check up  </v>
      </c>
      <c r="G3369" t="s">
        <f>TEXT(D3369,"mmm dd")</f>
        <v>959</v>
      </c>
      <c r="I3369" t="s">
        <v>2829</v>
      </c>
      <c r="J3369" t="inlineStr">
        <is>
          <t>annual</t>
        </is>
      </c>
      <c r="K3369" t="s">
        <v>2323</v>
      </c>
      <c r="L3369" t="s">
        <v>807</v>
      </c>
    </row>
    <row r="3370" spans="1:23">
      <c r="A3370">
        <v>2</v>
      </c>
      <c r="B3370">
        <v>11</v>
      </c>
      <c r="C3370">
        <v>2021</v>
      </c>
      <c r="D3370" s="3" t="s">
        <f>B3370&amp;"/"&amp;A3370&amp;"/"&amp;C3370</f>
        <v>2978</v>
      </c>
      <c r="E3370">
        <v>0.875</v>
      </c>
      <c r="F3370" t="s">
        <f>I3370&amp;" "&amp;J3370&amp;" "&amp;K3370&amp;" "&amp;L3370&amp;" "&amp;M3370&amp;" "&amp;N3370</f>
        <v>2963</v>
      </c>
      <c r="G3370" t="s">
        <f>TEXT(D3370,"mmm dd")</f>
        <v>32</v>
      </c>
      <c r="I3370" t="s">
        <v>2964</v>
      </c>
      <c r="J3370" t="s">
        <v>842</v>
      </c>
      <c r="K3370" t="s">
        <v>755</v>
      </c>
      <c r="L3370" t="s">
        <v>2965</v>
      </c>
      <c r="M3370" t="s">
        <v>2966</v>
      </c>
    </row>
    <row r="3371" spans="1:23">
      <c r="A3371">
        <v>2</v>
      </c>
      <c r="B3371">
        <v>11</v>
      </c>
      <c r="C3371">
        <v>2021</v>
      </c>
      <c r="D3371" s="3" t="s">
        <f>B3371&amp;"/"&amp;A3371&amp;"/"&amp;C3371</f>
        <v>2978</v>
      </c>
      <c r="E3371">
        <v>0.70833333333333337</v>
      </c>
      <c r="F3371" t="s">
        <f>I3371&amp;" "&amp;J3371&amp;" "&amp;K3371&amp;" "&amp;L3371&amp;" "&amp;M3371&amp;" "&amp;N3371</f>
        <v>2690</v>
      </c>
      <c r="G3371" t="s">
        <f>TEXT(D3371,"mmm dd")</f>
        <v>32</v>
      </c>
      <c r="I3371" t="s">
        <v>2223</v>
      </c>
      <c r="J3371" t="s">
        <v>2320</v>
      </c>
    </row>
    <row r="3372" spans="1:23">
      <c r="A3372">
        <v>3</v>
      </c>
      <c r="B3372">
        <v>11</v>
      </c>
      <c r="C3372">
        <v>2021</v>
      </c>
      <c r="D3372" s="3" t="str">
        <f>B3372&amp;"/"&amp;A3372&amp;"/"&amp;C3372</f>
        <v>11/3/2021</v>
      </c>
      <c r="E3372">
        <v>0.6875</v>
      </c>
      <c r="F3372" t="str">
        <f>I3372&amp;" "&amp;J3372&amp;" "&amp;K3372&amp;" "&amp;L3372&amp;" "&amp;M3372&amp;" "&amp;N3372</f>
        <v>Arrival for Catheter   </v>
      </c>
      <c r="G3372" t="s">
        <f>TEXT(D3372,"mmm dd")</f>
        <v>33</v>
      </c>
      <c r="I3372" t="s">
        <v>1610</v>
      </c>
      <c r="J3372" t="s">
        <v>439</v>
      </c>
      <c r="K3372" t="inlineStr">
        <is>
          <t>Catheter</t>
        </is>
      </c>
    </row>
    <row r="3373" spans="1:23">
      <c r="A3373">
        <v>6</v>
      </c>
      <c r="B3373">
        <v>11</v>
      </c>
      <c r="C3373">
        <v>2021</v>
      </c>
      <c r="D3373" s="3" t="str">
        <f>B3373&amp;"/"&amp;A3373&amp;"/"&amp;C3373</f>
        <v>11/6/2021</v>
      </c>
      <c r="E3373">
        <v>0.9375</v>
      </c>
      <c r="F3373" t="str">
        <f>I3373&amp;" "&amp;J3373&amp;" "&amp;K3373&amp;" "&amp;L3373&amp;" "&amp;M3373&amp;" "&amp;N3373</f>
        <v>Meet baptism candidates at church </v>
      </c>
      <c r="G3373" t="s">
        <f>TEXT(D3373,"mmm dd")</f>
        <v>1645</v>
      </c>
      <c r="I3373" t="s">
        <v>300</v>
      </c>
      <c r="J3373" t="s">
        <v>886</v>
      </c>
      <c r="K3373" t="inlineStr">
        <is>
          <t>candidates</t>
        </is>
      </c>
      <c r="L3373" t="s">
        <v>53</v>
      </c>
      <c r="M3373" t="s">
        <v>1912</v>
      </c>
    </row>
    <row r="3374" spans="1:23">
      <c r="A3374">
        <v>7</v>
      </c>
      <c r="B3374">
        <v>11</v>
      </c>
      <c r="C3374">
        <v>2021</v>
      </c>
      <c r="D3374" s="3" t="s">
        <f>B3374&amp;"/"&amp;A3374&amp;"/"&amp;C3374</f>
        <v>2979</v>
      </c>
      <c r="E3374">
        <v>0.83333333333333337</v>
      </c>
      <c r="F3374" t="str">
        <f>I3374&amp;" "&amp;J3374&amp;" "&amp;K3374&amp;" "&amp;L3374&amp;" "&amp;M3374&amp;" "&amp;N3374</f>
        <v>Party     </v>
      </c>
      <c r="G3374" t="s">
        <f>TEXT(D3374,"mmm dd")</f>
        <v>1417</v>
      </c>
      <c r="I3374" t="s">
        <v>1052</v>
      </c>
    </row>
    <row r="3375" spans="1:23">
      <c r="A3375">
        <v>7</v>
      </c>
      <c r="B3375">
        <v>11</v>
      </c>
      <c r="C3375">
        <v>2021</v>
      </c>
      <c r="D3375" s="3" t="s">
        <f>B3375&amp;"/"&amp;A3375&amp;"/"&amp;C3375</f>
        <v>2979</v>
      </c>
      <c r="E3375">
        <v>0.75</v>
      </c>
      <c r="F3375" t="s">
        <f>I3375&amp;" "&amp;J3375&amp;" "&amp;K3375&amp;" "&amp;L3375&amp;" "&amp;M3375&amp;" "&amp;N3375</f>
        <v>1402</v>
      </c>
      <c r="G3375" t="s">
        <f>TEXT(D3375,"mmm dd")</f>
        <v>1417</v>
      </c>
      <c r="I3375" t="s">
        <v>1403</v>
      </c>
    </row>
    <row r="3376" spans="1:23">
      <c r="A3376">
        <v>7</v>
      </c>
      <c r="B3376">
        <v>11</v>
      </c>
      <c r="C3376">
        <v>2021</v>
      </c>
      <c r="D3376" s="3" t="s">
        <f>B3376&amp;"/"&amp;A3376&amp;"/"&amp;C3376</f>
        <v>2979</v>
      </c>
      <c r="E3376">
        <v>0.45833333333333331</v>
      </c>
      <c r="F3376" t="s">
        <f>I3376&amp;" "&amp;J3376&amp;" "&amp;K3376&amp;" "&amp;L3376&amp;" "&amp;M3376&amp;" "&amp;N3376</f>
        <v>1840</v>
      </c>
      <c r="G3376" t="s">
        <f>TEXT(D3376,"mmm dd")</f>
        <v>1417</v>
      </c>
      <c r="I3376" t="s">
        <v>1273</v>
      </c>
    </row>
    <row r="3377" spans="1:23">
      <c r="A3377">
        <v>9</v>
      </c>
      <c r="B3377">
        <v>11</v>
      </c>
      <c r="C3377">
        <v>2021</v>
      </c>
      <c r="D3377" s="3" t="s">
        <f>B3377&amp;"/"&amp;A3377&amp;"/"&amp;C3377</f>
        <v>2980</v>
      </c>
      <c r="E3377">
        <v>0.75</v>
      </c>
      <c r="F3377" t="str">
        <f>I3377&amp;" "&amp;J3377&amp;" "&amp;K3377&amp;" "&amp;L3377&amp;" "&amp;M3377&amp;" "&amp;N3377</f>
        <v>Phone call from cardiac rehab </v>
      </c>
      <c r="G3377" t="s">
        <f>TEXT(D3377,"mmm dd")</f>
        <v>1421</v>
      </c>
      <c r="I3377" t="s">
        <v>1987</v>
      </c>
      <c r="J3377" t="s">
        <v>418</v>
      </c>
      <c r="K3377" t="s">
        <v>874</v>
      </c>
      <c r="L3377" t="inlineStr">
        <is>
          <t>cardiac</t>
        </is>
      </c>
      <c r="M3377" t="inlineStr">
        <is>
          <t>rehab</t>
        </is>
      </c>
    </row>
    <row r="3378" spans="1:23">
      <c r="A3378">
        <v>9</v>
      </c>
      <c r="B3378">
        <v>11</v>
      </c>
      <c r="C3378">
        <v>2021</v>
      </c>
      <c r="D3378" s="3" t="s">
        <f>B3378&amp;"/"&amp;A3378&amp;"/"&amp;C3378</f>
        <v>2980</v>
      </c>
      <c r="E3378">
        <v>0.66666666666666663</v>
      </c>
      <c r="F3378" t="str">
        <f>I3378&amp;" "&amp;J3378&amp;" "&amp;K3378&amp;" "&amp;L3378&amp;" "&amp;M3378&amp;" "&amp;N3378</f>
        <v>Call dentist    </v>
      </c>
      <c r="G3378" t="s">
        <f>TEXT(D3378,"mmm dd")</f>
        <v>1421</v>
      </c>
      <c r="I3378" t="s">
        <v>1028</v>
      </c>
      <c r="J3378" t="s">
        <v>1973</v>
      </c>
    </row>
    <row r="3379" spans="1:23">
      <c r="A3379">
        <v>9</v>
      </c>
      <c r="B3379">
        <v>11</v>
      </c>
      <c r="C3379">
        <v>2021</v>
      </c>
      <c r="D3379" s="3" t="s">
        <f>B3379&amp;"/"&amp;A3379&amp;"/"&amp;C3379</f>
        <v>2980</v>
      </c>
      <c r="E3379">
        <v>0.86458333333333337</v>
      </c>
      <c r="F3379" t="s">
        <f>I3379&amp;" "&amp;J3379&amp;" "&amp;K3379&amp;" "&amp;L3379&amp;" "&amp;M3379&amp;" "&amp;N3379</f>
        <v>2930</v>
      </c>
      <c r="G3379" t="s">
        <f>TEXT(D3379,"mmm dd")</f>
        <v>1421</v>
      </c>
      <c r="I3379" t="s">
        <v>2537</v>
      </c>
    </row>
    <row r="3380" spans="1:23">
      <c r="A3380">
        <v>9</v>
      </c>
      <c r="B3380">
        <v>11</v>
      </c>
      <c r="C3380">
        <v>2021</v>
      </c>
      <c r="D3380" s="3" t="s">
        <f>B3380&amp;"/"&amp;A3380&amp;"/"&amp;C3380</f>
        <v>2980</v>
      </c>
      <c r="E3380">
        <v>0.8125</v>
      </c>
      <c r="F3380" t="str">
        <f>I3380&amp;" "&amp;J3380&amp;" "&amp;K3380&amp;" "&amp;L3380&amp;" "&amp;M3380&amp;" "&amp;N3380</f>
        <v>Kia service   drop car</v>
      </c>
      <c r="G3380" t="s">
        <f>TEXT(D3380,"mmm dd")</f>
        <v>1421</v>
      </c>
      <c r="I3380" t="s">
        <v>1370</v>
      </c>
      <c r="J3380" t="s">
        <v>427</v>
      </c>
      <c r="M3380" t="inlineStr">
        <is>
          <t>drop</t>
        </is>
      </c>
      <c r="N3380" t="s">
        <v>2062</v>
      </c>
    </row>
    <row r="3381" spans="1:23">
      <c r="A3381">
        <v>12</v>
      </c>
      <c r="B3381">
        <v>11</v>
      </c>
      <c r="C3381">
        <v>2021</v>
      </c>
      <c r="D3381" s="3" t="str">
        <f>B3381&amp;"/"&amp;A3381&amp;"/"&amp;C3381</f>
        <v>11/12/2021</v>
      </c>
      <c r="E3381">
        <v>0.83333333333333337</v>
      </c>
      <c r="F3381" t="s">
        <f>I3381&amp;" "&amp;J3381&amp;" "&amp;K3381&amp;" "&amp;L3381&amp;" "&amp;M3381&amp;" "&amp;N3381</f>
        <v>2690</v>
      </c>
      <c r="G3381" t="s">
        <f>TEXT(D3381,"mmm dd")</f>
        <v>993</v>
      </c>
      <c r="I3381" t="s">
        <v>2223</v>
      </c>
      <c r="J3381" t="s">
        <v>2320</v>
      </c>
    </row>
    <row r="3382" spans="1:23">
      <c r="A3382">
        <v>15</v>
      </c>
      <c r="B3382">
        <v>11</v>
      </c>
      <c r="C3382">
        <v>2021</v>
      </c>
      <c r="D3382" s="3" t="str">
        <f>B3382&amp;"/"&amp;A3382&amp;"/"&amp;C3382</f>
        <v>11/15/2021</v>
      </c>
      <c r="E3382">
        <v>0.875</v>
      </c>
      <c r="F3382" t="s">
        <f>I3382&amp;" "&amp;J3382&amp;" "&amp;K3382&amp;" "&amp;L3382&amp;" "&amp;M3382&amp;" "&amp;N3382</f>
        <v>2973</v>
      </c>
      <c r="G3382" t="s">
        <f>TEXT(D3382,"mmm dd")</f>
        <v>1012</v>
      </c>
      <c r="I3382" t="s">
        <v>218</v>
      </c>
      <c r="J3382" t="s">
        <v>2471</v>
      </c>
      <c r="K3382" t="s">
        <v>1899</v>
      </c>
    </row>
    <row r="3383" spans="1:23">
      <c r="A3383">
        <v>16</v>
      </c>
      <c r="B3383">
        <v>11</v>
      </c>
      <c r="C3383">
        <v>2021</v>
      </c>
      <c r="D3383" s="3" t="s">
        <f>B3383&amp;"/"&amp;A3383&amp;"/"&amp;C3383</f>
        <v>2981</v>
      </c>
      <c r="E3383">
        <v>0.75</v>
      </c>
      <c r="F3383" t="str">
        <f>I3383&amp;" "&amp;J3383&amp;" "&amp;K3383&amp;" "&amp;L3383&amp;" "&amp;M3383&amp;" "&amp;N3383</f>
        <v>Meet Steve C   </v>
      </c>
      <c r="G3383" t="s">
        <f>TEXT(D3383,"mmm dd")</f>
        <v>1654</v>
      </c>
      <c r="I3383" t="s">
        <v>300</v>
      </c>
      <c r="J3383" t="s">
        <v>2961</v>
      </c>
      <c r="K3383" t="s">
        <v>2808</v>
      </c>
    </row>
    <row r="3384" spans="1:23">
      <c r="A3384">
        <v>16</v>
      </c>
      <c r="B3384">
        <v>11</v>
      </c>
      <c r="C3384">
        <v>2021</v>
      </c>
      <c r="D3384" s="3" t="s">
        <f>B3384&amp;"/"&amp;A3384&amp;"/"&amp;C3384</f>
        <v>2981</v>
      </c>
      <c r="E3384">
        <v>0.79166666666666663</v>
      </c>
      <c r="F3384" t="str">
        <f>I3384&amp;" "&amp;J3384&amp;" "&amp;K3384&amp;" "&amp;L3384&amp;" "&amp;M3384&amp;" "&amp;N3384</f>
        <v>Worship committee    </v>
      </c>
      <c r="G3384" t="s">
        <f>TEXT(D3384,"mmm dd")</f>
        <v>1654</v>
      </c>
      <c r="I3384" t="s">
        <v>2982</v>
      </c>
      <c r="J3384" t="s">
        <v>2084</v>
      </c>
    </row>
    <row r="3385" spans="1:23">
      <c r="A3385">
        <v>17</v>
      </c>
      <c r="B3385">
        <v>11</v>
      </c>
      <c r="C3385">
        <v>2021</v>
      </c>
      <c r="D3385" s="3" t="s">
        <f>B3385&amp;"/"&amp;A3385&amp;"/"&amp;C3385</f>
        <v>2983</v>
      </c>
      <c r="E3385">
        <v>0.29166666666666669</v>
      </c>
      <c r="F3385" t="s">
        <f>I3385&amp;" "&amp;J3385&amp;" "&amp;K3385&amp;" "&amp;L3385&amp;" "&amp;M3385&amp;" "&amp;N3385</f>
        <v>2690</v>
      </c>
      <c r="G3385" t="s">
        <f>TEXT(D3385,"mmm dd")</f>
        <v>1019</v>
      </c>
      <c r="I3385" t="s">
        <v>2223</v>
      </c>
      <c r="J3385" t="s">
        <v>2320</v>
      </c>
    </row>
    <row r="3386" spans="1:23">
      <c r="A3386">
        <v>17</v>
      </c>
      <c r="B3386">
        <v>11</v>
      </c>
      <c r="C3386">
        <v>2021</v>
      </c>
      <c r="D3386" s="3" t="s">
        <f>B3386&amp;"/"&amp;A3386&amp;"/"&amp;C3386</f>
        <v>2983</v>
      </c>
      <c r="E3386">
        <v>0.9375</v>
      </c>
      <c r="F3386" t="s">
        <f>I3386&amp;" "&amp;J3386&amp;" "&amp;K3386&amp;" "&amp;L3386&amp;" "&amp;M3386&amp;" "&amp;N3386</f>
        <v>2889</v>
      </c>
      <c r="G3386" t="s">
        <f>TEXT(D3386,"mmm dd")</f>
        <v>1019</v>
      </c>
      <c r="I3386" t="s">
        <v>2890</v>
      </c>
      <c r="J3386" t="s">
        <v>2891</v>
      </c>
    </row>
    <row r="3387" spans="1:23">
      <c r="A3387">
        <v>17</v>
      </c>
      <c r="B3387">
        <v>11</v>
      </c>
      <c r="C3387">
        <v>2021</v>
      </c>
      <c r="D3387" s="3" t="s">
        <f>B3387&amp;"/"&amp;A3387&amp;"/"&amp;C3387</f>
        <v>2983</v>
      </c>
      <c r="E3387">
        <v>0.58333333333333337</v>
      </c>
      <c r="F3387" t="s">
        <f>I3387&amp;" "&amp;J3387&amp;" "&amp;K3387&amp;" "&amp;L3387&amp;" "&amp;M3387&amp;" "&amp;N3387</f>
        <v>2984</v>
      </c>
      <c r="G3387" t="s">
        <f>TEXT(D3387,"mmm dd")</f>
        <v>1019</v>
      </c>
      <c r="I3387" t="s">
        <v>300</v>
      </c>
      <c r="J3387" t="s">
        <v>2941</v>
      </c>
      <c r="K3387" t="s">
        <v>53</v>
      </c>
      <c r="L3387" t="s">
        <v>2148</v>
      </c>
    </row>
    <row r="3388" spans="1:23">
      <c r="A3388">
        <v>18</v>
      </c>
      <c r="B3388">
        <v>11</v>
      </c>
      <c r="C3388">
        <v>2021</v>
      </c>
      <c r="D3388" s="3" t="str">
        <f>B3388&amp;"/"&amp;A3388&amp;"/"&amp;C3388</f>
        <v>11/18/2021</v>
      </c>
      <c r="E3388">
        <v>0.90625</v>
      </c>
      <c r="F3388" t="str">
        <f>I3388&amp;" "&amp;J3388&amp;" "&amp;K3388&amp;" "&amp;L3388&amp;" "&amp;M3388&amp;" "&amp;N3388</f>
        <v>Susie formation stuff   </v>
      </c>
      <c r="G3388" t="s">
        <f>TEXT(D3388,"mmm dd")</f>
        <v>1024</v>
      </c>
      <c r="I3388" t="inlineStr">
        <is>
          <t>Susie</t>
        </is>
      </c>
      <c r="J3388" t="s">
        <v>905</v>
      </c>
      <c r="K3388" t="s">
        <v>1700</v>
      </c>
    </row>
    <row r="3389" spans="1:23">
      <c r="A3389">
        <v>19</v>
      </c>
      <c r="B3389">
        <v>11</v>
      </c>
      <c r="C3389">
        <v>2021</v>
      </c>
      <c r="D3389" s="3" t="str">
        <f>B3389&amp;"/"&amp;A3389&amp;"/"&amp;C3389</f>
        <v>11/19/2021</v>
      </c>
      <c r="E3389" t="s">
        <v>42</v>
      </c>
      <c r="F3389" t="str">
        <f>I3389&amp;" "&amp;J3389&amp;" "&amp;K3389&amp;" "&amp;L3389&amp;" "&amp;M3389&amp;" "&amp;N3389</f>
        <v>Diocesan Convention (virtual)   </v>
      </c>
      <c r="G3389" t="s">
        <f>TEXT(D3389,"mmm dd")</f>
        <v>1426</v>
      </c>
      <c r="I3389" t="s">
        <v>2344</v>
      </c>
      <c r="J3389" t="s">
        <v>1338</v>
      </c>
      <c r="K3389" t="inlineStr">
        <is>
          <t>(virtual)</t>
        </is>
      </c>
    </row>
    <row r="3390" spans="1:23">
      <c r="A3390">
        <v>20</v>
      </c>
      <c r="B3390">
        <v>11</v>
      </c>
      <c r="C3390">
        <v>2021</v>
      </c>
      <c r="D3390" s="3" t="str">
        <f>B3390&amp;"/"&amp;A3390&amp;"/"&amp;C3390</f>
        <v>11/20/2021</v>
      </c>
      <c r="E3390">
        <v>0.66666666666666663</v>
      </c>
      <c r="F3390" t="str">
        <f>I3390&amp;" "&amp;J3390&amp;" "&amp;K3390&amp;" "&amp;L3390&amp;" "&amp;M3390&amp;" "&amp;N3390</f>
        <v>206th Annual Convention of the Diocese</v>
      </c>
      <c r="G3390" t="s">
        <f>TEXT(D3390,"mmm dd")</f>
        <v>1030</v>
      </c>
      <c r="I3390" t="inlineStr">
        <is>
          <t>206th</t>
        </is>
      </c>
      <c r="J3390" t="s">
        <v>1387</v>
      </c>
      <c r="K3390" t="s">
        <v>1338</v>
      </c>
      <c r="L3390" t="s">
        <v>86</v>
      </c>
      <c r="M3390" t="s">
        <v>139</v>
      </c>
      <c r="N3390" t="s">
        <v>1635</v>
      </c>
    </row>
    <row r="3391" spans="1:23">
      <c r="A3391">
        <v>21</v>
      </c>
      <c r="B3391">
        <v>11</v>
      </c>
      <c r="C3391">
        <v>2021</v>
      </c>
      <c r="D3391" s="3" t="s">
        <f>B3391&amp;"/"&amp;A3391&amp;"/"&amp;C3391</f>
        <v>2985</v>
      </c>
      <c r="E3391">
        <v>0.14583333333333334</v>
      </c>
      <c r="F3391" t="s">
        <f>I3391&amp;" "&amp;J3391&amp;" "&amp;K3391&amp;" "&amp;L3391&amp;" "&amp;M3391&amp;" "&amp;N3391</f>
        <v>2851</v>
      </c>
      <c r="G3391" t="s">
        <f>TEXT(D3391,"mmm dd")</f>
        <v>2146</v>
      </c>
      <c r="I3391" t="s">
        <v>1816</v>
      </c>
    </row>
    <row r="3392" spans="1:23">
      <c r="A3392">
        <v>21</v>
      </c>
      <c r="B3392">
        <v>11</v>
      </c>
      <c r="C3392">
        <v>2021</v>
      </c>
      <c r="D3392" s="3" t="s">
        <f>B3392&amp;"/"&amp;A3392&amp;"/"&amp;C3392</f>
        <v>2985</v>
      </c>
      <c r="E3392">
        <v>1.0833333333333333</v>
      </c>
      <c r="F3392" t="s">
        <f>I3392&amp;" "&amp;J3392&amp;" "&amp;K3392&amp;" "&amp;L3392&amp;" "&amp;M3392&amp;" "&amp;N3392</f>
        <v>2690</v>
      </c>
      <c r="G3392" t="s">
        <f>TEXT(D3392,"mmm dd")</f>
        <v>2146</v>
      </c>
      <c r="I3392" t="s">
        <v>2223</v>
      </c>
      <c r="J3392" t="s">
        <v>2320</v>
      </c>
    </row>
    <row r="3393" spans="1:23">
      <c r="A3393">
        <v>23</v>
      </c>
      <c r="B3393">
        <v>11</v>
      </c>
      <c r="C3393">
        <v>2021</v>
      </c>
      <c r="D3393" s="3" t="s">
        <f>B3393&amp;"/"&amp;A3393&amp;"/"&amp;C3393</f>
        <v>2986</v>
      </c>
      <c r="E3393">
        <v>0.85416666666666663</v>
      </c>
      <c r="F3393" t="s">
        <f>I3393&amp;" "&amp;J3393&amp;" "&amp;K3393&amp;" "&amp;L3393&amp;" "&amp;M3393&amp;" "&amp;N3393</f>
        <v>2887</v>
      </c>
      <c r="G3393" t="s">
        <f>TEXT(D3393,"mmm dd")</f>
        <v>1035</v>
      </c>
      <c r="I3393" t="s">
        <v>2874</v>
      </c>
      <c r="J3393" t="s">
        <v>2238</v>
      </c>
      <c r="L3393" t="s">
        <v>2745</v>
      </c>
      <c r="M3393" t="s">
        <v>2131</v>
      </c>
    </row>
    <row r="3394" spans="1:23">
      <c r="A3394">
        <v>23</v>
      </c>
      <c r="B3394">
        <v>11</v>
      </c>
      <c r="C3394">
        <v>2021</v>
      </c>
      <c r="D3394" s="3" t="s">
        <f>B3394&amp;"/"&amp;A3394&amp;"/"&amp;C3394</f>
        <v>2986</v>
      </c>
      <c r="E3394">
        <v>0.91666666666666663</v>
      </c>
      <c r="F3394" t="str">
        <f>I3394&amp;" "&amp;J3394&amp;" "&amp;K3394&amp;" "&amp;L3394&amp;" "&amp;M3394&amp;" "&amp;N3394</f>
        <v>Follow up from heart cath </v>
      </c>
      <c r="G3394" t="s">
        <f>TEXT(D3394,"mmm dd")</f>
        <v>1035</v>
      </c>
      <c r="I3394" t="s">
        <v>2624</v>
      </c>
      <c r="J3394" t="s">
        <v>807</v>
      </c>
      <c r="K3394" t="s">
        <v>874</v>
      </c>
      <c r="L3394" t="inlineStr">
        <is>
          <t>heart</t>
        </is>
      </c>
      <c r="M3394" t="inlineStr">
        <is>
          <t>cath</t>
        </is>
      </c>
    </row>
    <row r="3395" spans="1:23">
      <c r="A3395">
        <v>24</v>
      </c>
      <c r="B3395">
        <v>11</v>
      </c>
      <c r="C3395">
        <v>2021</v>
      </c>
      <c r="D3395" s="3" t="s">
        <f>B3395&amp;"/"&amp;A3395&amp;"/"&amp;C3395</f>
        <v>2987</v>
      </c>
      <c r="E3395">
        <v>0.5</v>
      </c>
      <c r="F3395" t="s">
        <f>I3395&amp;" "&amp;J3395&amp;" "&amp;K3395&amp;" "&amp;L3395&amp;" "&amp;M3395&amp;" "&amp;N3395</f>
        <v>2988</v>
      </c>
      <c r="G3395" t="s">
        <f>TEXT(D3395,"mmm dd")</f>
        <v>1039</v>
      </c>
      <c r="I3395" t="s">
        <v>2989</v>
      </c>
      <c r="J3395" t="s">
        <v>1514</v>
      </c>
    </row>
    <row r="3396" spans="1:23">
      <c r="A3396">
        <v>24</v>
      </c>
      <c r="B3396">
        <v>11</v>
      </c>
      <c r="C3396">
        <v>2021</v>
      </c>
      <c r="D3396" s="3" t="s">
        <f>B3396&amp;"/"&amp;A3396&amp;"/"&amp;C3396</f>
        <v>2987</v>
      </c>
      <c r="E3396">
        <v>0.5625</v>
      </c>
      <c r="F3396" t="s">
        <f>I3396&amp;" "&amp;J3396&amp;" "&amp;K3396&amp;" "&amp;L3396&amp;" "&amp;M3396&amp;" "&amp;N3396</f>
        <v>2984</v>
      </c>
      <c r="G3396" t="s">
        <f>TEXT(D3396,"mmm dd")</f>
        <v>1039</v>
      </c>
      <c r="I3396" t="s">
        <v>300</v>
      </c>
      <c r="J3396" t="s">
        <v>2941</v>
      </c>
      <c r="K3396" t="s">
        <v>53</v>
      </c>
      <c r="L3396" t="s">
        <v>2148</v>
      </c>
    </row>
    <row r="3397" spans="1:23">
      <c r="A3397">
        <v>26</v>
      </c>
      <c r="B3397">
        <v>11</v>
      </c>
      <c r="C3397">
        <v>2021</v>
      </c>
      <c r="D3397" s="3" t="str">
        <f>B3397&amp;"/"&amp;A3397&amp;"/"&amp;C3397</f>
        <v>11/26/2021</v>
      </c>
      <c r="E3397">
        <v>0.79166666666666663</v>
      </c>
      <c r="F3397" t="s">
        <f>I3397&amp;" "&amp;J3397&amp;" "&amp;K3397&amp;" "&amp;L3397&amp;" "&amp;M3397&amp;" "&amp;N3397</f>
        <v>2690</v>
      </c>
      <c r="G3397" t="s">
        <f>TEXT(D3397,"mmm dd")</f>
        <v>1661</v>
      </c>
      <c r="I3397" t="s">
        <v>2223</v>
      </c>
      <c r="J3397" t="s">
        <v>2320</v>
      </c>
    </row>
    <row r="3398" spans="1:23">
      <c r="A3398">
        <v>29</v>
      </c>
      <c r="B3398">
        <v>11</v>
      </c>
      <c r="C3398">
        <v>2021</v>
      </c>
      <c r="D3398" s="3" t="str">
        <f>B3398&amp;"/"&amp;A3398&amp;"/"&amp;C3398</f>
        <v>11/29/2021</v>
      </c>
      <c r="E3398" t="s">
        <v>42</v>
      </c>
      <c r="F3398" t="str">
        <f>I3398&amp;" "&amp;J3398&amp;" "&amp;K3398&amp;" "&amp;L3398&amp;" "&amp;M3398&amp;" "&amp;N3398</f>
        <v>Stay at Daytona Beach Regency by</v>
      </c>
      <c r="G3398" t="s">
        <f>TEXT(D3398,"mmm dd")</f>
        <v>2736</v>
      </c>
      <c r="I3398" t="s">
        <v>2398</v>
      </c>
      <c r="J3398" t="s">
        <v>53</v>
      </c>
      <c r="K3398" t="inlineStr">
        <is>
          <t>Daytona</t>
        </is>
      </c>
      <c r="L3398" t="s">
        <v>1715</v>
      </c>
      <c r="M3398" t="inlineStr">
        <is>
          <t>Regency</t>
        </is>
      </c>
      <c r="N3398" t="s">
        <v>2688</v>
      </c>
    </row>
    <row r="3399" spans="1:23">
      <c r="A3399">
        <v>5</v>
      </c>
      <c r="B3399">
        <v>12</v>
      </c>
      <c r="C3399">
        <v>2021</v>
      </c>
      <c r="D3399" s="3" t="s">
        <f>B3399&amp;"/"&amp;A3399&amp;"/"&amp;C3399</f>
        <v>2990</v>
      </c>
      <c r="E3399">
        <v>1.0416666666666667</v>
      </c>
      <c r="F3399" t="s">
        <f>I3399&amp;" "&amp;J3399&amp;" "&amp;K3399&amp;" "&amp;L3399&amp;" "&amp;M3399&amp;" "&amp;N3399</f>
        <v>2690</v>
      </c>
      <c r="G3399" t="s">
        <f>TEXT(D3399,"mmm dd")</f>
        <v>1060</v>
      </c>
      <c r="I3399" t="s">
        <v>2223</v>
      </c>
      <c r="J3399" t="s">
        <v>2320</v>
      </c>
    </row>
    <row r="3400" spans="1:23">
      <c r="A3400">
        <v>5</v>
      </c>
      <c r="B3400">
        <v>12</v>
      </c>
      <c r="C3400">
        <v>2021</v>
      </c>
      <c r="D3400" s="3" t="s">
        <f>B3400&amp;"/"&amp;A3400&amp;"/"&amp;C3400</f>
        <v>2990</v>
      </c>
      <c r="E3400">
        <v>0.45833333333333331</v>
      </c>
      <c r="F3400" t="s">
        <f>I3400&amp;" "&amp;J3400&amp;" "&amp;K3400&amp;" "&amp;L3400&amp;" "&amp;M3400&amp;" "&amp;N3400</f>
        <v>1840</v>
      </c>
      <c r="G3400" t="s">
        <f>TEXT(D3400,"mmm dd")</f>
        <v>1060</v>
      </c>
      <c r="I3400" t="s">
        <v>1273</v>
      </c>
    </row>
    <row r="3401" spans="1:23">
      <c r="A3401">
        <v>6</v>
      </c>
      <c r="B3401">
        <v>12</v>
      </c>
      <c r="C3401">
        <v>2021</v>
      </c>
      <c r="D3401" s="3" t="str">
        <f>B3401&amp;"/"&amp;A3401&amp;"/"&amp;C3401</f>
        <v>12/6/2021</v>
      </c>
      <c r="E3401">
        <v>0.91666666666666663</v>
      </c>
      <c r="F3401" t="str">
        <f>I3401&amp;" "&amp;J3401&amp;" "&amp;K3401&amp;" "&amp;L3401&amp;" "&amp;M3401&amp;" "&amp;N3401</f>
        <v>Interment?     </v>
      </c>
      <c r="G3401" t="s">
        <f>TEXT(D3401,"mmm dd")</f>
        <v>1445</v>
      </c>
      <c r="I3401" t="inlineStr">
        <is>
          <t>Interment?</t>
        </is>
      </c>
    </row>
    <row r="3402" spans="1:23">
      <c r="A3402">
        <v>8</v>
      </c>
      <c r="B3402">
        <v>12</v>
      </c>
      <c r="C3402">
        <v>2021</v>
      </c>
      <c r="D3402" s="3" t="str">
        <f>B3402&amp;"/"&amp;A3402&amp;"/"&amp;C3402</f>
        <v>12/8/2021</v>
      </c>
      <c r="E3402">
        <v>0.77083333333333337</v>
      </c>
      <c r="F3402" t="s">
        <f>I3402&amp;" "&amp;J3402&amp;" "&amp;K3402&amp;" "&amp;L3402&amp;" "&amp;M3402&amp;" "&amp;N3402</f>
        <v>2984</v>
      </c>
      <c r="G3402" t="s">
        <f>TEXT(D3402,"mmm dd")</f>
        <v>2154</v>
      </c>
      <c r="I3402" t="s">
        <v>300</v>
      </c>
      <c r="J3402" t="s">
        <v>2941</v>
      </c>
      <c r="K3402" t="s">
        <v>53</v>
      </c>
      <c r="L3402" t="s">
        <v>2148</v>
      </c>
    </row>
    <row r="3403" spans="1:23">
      <c r="A3403">
        <v>9</v>
      </c>
      <c r="B3403">
        <v>12</v>
      </c>
      <c r="C3403">
        <v>2021</v>
      </c>
      <c r="D3403" s="3" t="s">
        <f>B3403&amp;"/"&amp;A3403&amp;"/"&amp;C3403</f>
        <v>2991</v>
      </c>
      <c r="E3403">
        <v>1.0833333333333333</v>
      </c>
      <c r="F3403" t="str">
        <f>I3403&amp;" "&amp;J3403&amp;" "&amp;K3403&amp;" "&amp;L3403&amp;" "&amp;M3403&amp;" "&amp;N3403</f>
        <v>Zoom with Lizzie   </v>
      </c>
      <c r="G3403" t="s">
        <f>TEXT(D3403,"mmm dd")</f>
        <v>1064</v>
      </c>
      <c r="I3403" t="s">
        <v>2712</v>
      </c>
      <c r="J3403" t="s">
        <v>755</v>
      </c>
      <c r="K3403" t="s">
        <v>2992</v>
      </c>
    </row>
    <row r="3404" spans="1:23">
      <c r="A3404">
        <v>9</v>
      </c>
      <c r="B3404">
        <v>12</v>
      </c>
      <c r="C3404">
        <v>2021</v>
      </c>
      <c r="D3404" s="3" t="s">
        <f>B3404&amp;"/"&amp;A3404&amp;"/"&amp;C3404</f>
        <v>2991</v>
      </c>
      <c r="E3404">
        <v>1.0833333333333333</v>
      </c>
      <c r="F3404" t="str">
        <f>I3404&amp;" "&amp;J3404&amp;" "&amp;K3404&amp;" "&amp;L3404&amp;" "&amp;M3404&amp;" "&amp;N3404</f>
        <v>Confirmation Class    </v>
      </c>
      <c r="G3404" t="s">
        <f>TEXT(D3404,"mmm dd")</f>
        <v>1064</v>
      </c>
      <c r="I3404" t="s">
        <v>1288</v>
      </c>
      <c r="J3404" t="s">
        <v>66</v>
      </c>
    </row>
    <row r="3405" spans="1:23">
      <c r="A3405">
        <v>9</v>
      </c>
      <c r="B3405">
        <v>12</v>
      </c>
      <c r="C3405">
        <v>2021</v>
      </c>
      <c r="D3405" s="3" t="s">
        <f>B3405&amp;"/"&amp;A3405&amp;"/"&amp;C3405</f>
        <v>2991</v>
      </c>
      <c r="E3405">
        <v>0.54166666666666663</v>
      </c>
      <c r="F3405" t="s">
        <f>I3405&amp;" "&amp;J3405&amp;" "&amp;K3405&amp;" "&amp;L3405&amp;" "&amp;M3405&amp;" "&amp;N3405</f>
        <v>2959</v>
      </c>
      <c r="G3405" t="s">
        <f>TEXT(D3405,"mmm dd")</f>
        <v>1064</v>
      </c>
      <c r="I3405" t="s">
        <v>2937</v>
      </c>
      <c r="J3405" t="s">
        <v>898</v>
      </c>
    </row>
    <row r="3406" spans="1:23">
      <c r="A3406">
        <v>10</v>
      </c>
      <c r="B3406">
        <v>12</v>
      </c>
      <c r="C3406">
        <v>2021</v>
      </c>
      <c r="D3406" s="3" t="s">
        <f>B3406&amp;"/"&amp;A3406&amp;"/"&amp;C3406</f>
        <v>2993</v>
      </c>
      <c r="E3406">
        <v>0.14583333333333334</v>
      </c>
      <c r="F3406" t="str">
        <f>I3406&amp;" "&amp;J3406&amp;" "&amp;K3406&amp;" "&amp;L3406&amp;" "&amp;M3406&amp;" "&amp;N3406</f>
        <v>Anniversary dinner    </v>
      </c>
      <c r="G3406" t="s">
        <f>TEXT(D3406,"mmm dd")</f>
        <v>1452</v>
      </c>
      <c r="I3406" t="s">
        <v>2994</v>
      </c>
      <c r="J3406" t="s">
        <v>517</v>
      </c>
    </row>
    <row r="3407" spans="1:23">
      <c r="A3407">
        <v>10</v>
      </c>
      <c r="B3407">
        <v>12</v>
      </c>
      <c r="C3407">
        <v>2021</v>
      </c>
      <c r="D3407" s="3" t="s">
        <f>B3407&amp;"/"&amp;A3407&amp;"/"&amp;C3407</f>
        <v>2993</v>
      </c>
      <c r="E3407">
        <v>0.875</v>
      </c>
      <c r="F3407" t="s">
        <f>I3407&amp;" "&amp;J3407&amp;" "&amp;K3407&amp;" "&amp;L3407&amp;" "&amp;M3407&amp;" "&amp;N3407</f>
        <v>2690</v>
      </c>
      <c r="G3407" t="s">
        <f>TEXT(D3407,"mmm dd")</f>
        <v>1452</v>
      </c>
      <c r="I3407" t="s">
        <v>2223</v>
      </c>
      <c r="J3407" t="s">
        <v>2320</v>
      </c>
    </row>
    <row r="3408" spans="1:23">
      <c r="A3408">
        <v>10</v>
      </c>
      <c r="B3408">
        <v>12</v>
      </c>
      <c r="C3408">
        <v>2021</v>
      </c>
      <c r="D3408" s="3" t="s">
        <f>B3408&amp;"/"&amp;A3408&amp;"/"&amp;C3408</f>
        <v>2993</v>
      </c>
      <c r="E3408">
        <v>0.14583333333333334</v>
      </c>
      <c r="F3408" t="s">
        <f>I3408&amp;" "&amp;J3408&amp;" "&amp;K3408&amp;" "&amp;L3408&amp;" "&amp;M3408&amp;" "&amp;N3408</f>
        <v>2945</v>
      </c>
      <c r="G3408" t="s">
        <f>TEXT(D3408,"mmm dd")</f>
        <v>1452</v>
      </c>
      <c r="I3408" t="s">
        <v>2785</v>
      </c>
      <c r="J3408" t="s">
        <v>53</v>
      </c>
      <c r="K3408" t="s">
        <v>2946</v>
      </c>
      <c r="L3408" t="s">
        <v>1836</v>
      </c>
      <c r="M3408" t="s">
        <v>2947</v>
      </c>
    </row>
    <row r="3409" spans="1:23">
      <c r="A3409">
        <v>11</v>
      </c>
      <c r="B3409">
        <v>12</v>
      </c>
      <c r="C3409">
        <v>2021</v>
      </c>
      <c r="D3409" s="3" t="str">
        <f>B3409&amp;"/"&amp;A3409&amp;"/"&amp;C3409</f>
        <v>12/11/2021</v>
      </c>
      <c r="E3409">
        <v>0.70833333333333337</v>
      </c>
      <c r="F3409" t="str">
        <f>I3409&amp;" "&amp;J3409&amp;" "&amp;K3409&amp;" "&amp;L3409&amp;" "&amp;M3409&amp;" "&amp;N3409</f>
        <v>E card for Katy  </v>
      </c>
      <c r="G3409" t="s">
        <f>TEXT(D3409,"mmm dd")</f>
        <v>1455</v>
      </c>
      <c r="I3409" t="inlineStr">
        <is>
          <t>E</t>
        </is>
      </c>
      <c r="J3409" t="s">
        <v>2480</v>
      </c>
      <c r="K3409" t="s">
        <v>439</v>
      </c>
      <c r="L3409" t="inlineStr">
        <is>
          <t>Katy</t>
        </is>
      </c>
    </row>
    <row r="3410" spans="1:23">
      <c r="A3410">
        <v>13</v>
      </c>
      <c r="B3410">
        <v>12</v>
      </c>
      <c r="C3410">
        <v>2021</v>
      </c>
      <c r="D3410" s="3" t="str">
        <f>B3410&amp;"/"&amp;A3410&amp;"/"&amp;C3410</f>
        <v>12/13/2021</v>
      </c>
      <c r="E3410">
        <v>0.89583333333333337</v>
      </c>
      <c r="F3410" t="str">
        <f>I3410&amp;" "&amp;J3410&amp;" "&amp;K3410&amp;" "&amp;L3410&amp;" "&amp;M3410&amp;" "&amp;N3410</f>
        <v>Charlotte at church   </v>
      </c>
      <c r="G3410" t="s">
        <f>TEXT(D3410,"mmm dd")</f>
        <v>1071</v>
      </c>
      <c r="I3410" t="s">
        <v>2372</v>
      </c>
      <c r="J3410" t="s">
        <v>53</v>
      </c>
      <c r="K3410" t="s">
        <v>1912</v>
      </c>
    </row>
    <row r="3411" spans="1:23">
      <c r="A3411">
        <v>15</v>
      </c>
      <c r="B3411">
        <v>12</v>
      </c>
      <c r="C3411">
        <v>2021</v>
      </c>
      <c r="D3411" s="3" t="s">
        <f>B3411&amp;"/"&amp;A3411&amp;"/"&amp;C3411</f>
        <v>2995</v>
      </c>
      <c r="E3411">
        <v>0.9375</v>
      </c>
      <c r="F3411" t="s">
        <f>I3411&amp;" "&amp;J3411&amp;" "&amp;K3411&amp;" "&amp;L3411&amp;" "&amp;M3411&amp;" "&amp;N3411</f>
        <v>2889</v>
      </c>
      <c r="G3411" t="s">
        <f>TEXT(D3411,"mmm dd")</f>
        <v>1088</v>
      </c>
      <c r="I3411" t="s">
        <v>2890</v>
      </c>
      <c r="J3411" t="s">
        <v>2891</v>
      </c>
    </row>
    <row r="3412" spans="1:23">
      <c r="A3412">
        <v>15</v>
      </c>
      <c r="B3412">
        <v>12</v>
      </c>
      <c r="C3412">
        <v>2021</v>
      </c>
      <c r="D3412" s="3" t="s">
        <f>B3412&amp;"/"&amp;A3412&amp;"/"&amp;C3412</f>
        <v>2995</v>
      </c>
      <c r="E3412">
        <v>0.125</v>
      </c>
      <c r="F3412" t="s">
        <f>I3412&amp;" "&amp;J3412&amp;" "&amp;K3412&amp;" "&amp;L3412&amp;" "&amp;M3412&amp;" "&amp;N3412</f>
        <v>2690</v>
      </c>
      <c r="G3412" t="s">
        <f>TEXT(D3412,"mmm dd")</f>
        <v>1088</v>
      </c>
      <c r="I3412" t="s">
        <v>2223</v>
      </c>
      <c r="J3412" t="s">
        <v>2320</v>
      </c>
    </row>
    <row r="3413" spans="1:23">
      <c r="A3413">
        <v>16</v>
      </c>
      <c r="B3413">
        <v>12</v>
      </c>
      <c r="C3413">
        <v>2021</v>
      </c>
      <c r="D3413" s="3" t="s">
        <f>B3413&amp;"/"&amp;A3413&amp;"/"&amp;C3413</f>
        <v>2996</v>
      </c>
      <c r="E3413">
        <v>1.0833333333333333</v>
      </c>
      <c r="F3413" t="str">
        <f>I3413&amp;" "&amp;J3413&amp;" "&amp;K3413&amp;" "&amp;L3413&amp;" "&amp;M3413&amp;" "&amp;N3413</f>
        <v>Lizzie session    </v>
      </c>
      <c r="G3413" t="s">
        <f>TEXT(D3413,"mmm dd")</f>
        <v>1093</v>
      </c>
      <c r="I3413" t="s">
        <v>2992</v>
      </c>
      <c r="J3413" t="s">
        <v>2845</v>
      </c>
    </row>
    <row r="3414" spans="1:23">
      <c r="A3414">
        <v>16</v>
      </c>
      <c r="B3414">
        <v>12</v>
      </c>
      <c r="C3414">
        <v>2021</v>
      </c>
      <c r="D3414" s="3" t="s">
        <f>B3414&amp;"/"&amp;A3414&amp;"/"&amp;C3414</f>
        <v>2996</v>
      </c>
      <c r="E3414">
        <v>0.875</v>
      </c>
      <c r="F3414" t="s">
        <f>I3414&amp;" "&amp;J3414&amp;" "&amp;K3414&amp;" "&amp;L3414&amp;" "&amp;M3414&amp;" "&amp;N3414</f>
        <v>2997</v>
      </c>
      <c r="G3414" t="s">
        <f>TEXT(D3414,"mmm dd")</f>
        <v>1093</v>
      </c>
      <c r="I3414" t="s">
        <v>2992</v>
      </c>
      <c r="J3414" t="s">
        <v>1288</v>
      </c>
    </row>
    <row r="3415" spans="1:23">
      <c r="A3415">
        <v>18</v>
      </c>
      <c r="B3415">
        <v>12</v>
      </c>
      <c r="C3415">
        <v>2021</v>
      </c>
      <c r="D3415" s="3" t="s">
        <f>B3415&amp;"/"&amp;A3415&amp;"/"&amp;C3415</f>
        <v>2998</v>
      </c>
      <c r="E3415" t="s">
        <v>42</v>
      </c>
      <c r="F3415" t="str">
        <f>I3415&amp;" "&amp;J3415&amp;" "&amp;K3415&amp;" "&amp;L3415&amp;" "&amp;M3415&amp;" "&amp;N3415</f>
        <v>Mary Jean&amp;#39\;s Birthday   </v>
      </c>
      <c r="G3415" t="s">
        <f>TEXT(D3415,"mmm dd")</f>
        <v>1104</v>
      </c>
      <c r="I3415" t="s">
        <v>410</v>
      </c>
      <c r="J3415" t="inlineStr">
        <is>
          <t>Jean&amp;#39\;s</t>
        </is>
      </c>
      <c r="K3415" t="s">
        <v>2082</v>
      </c>
    </row>
    <row r="3416" spans="1:23">
      <c r="A3416">
        <v>19</v>
      </c>
      <c r="B3416">
        <v>12</v>
      </c>
      <c r="C3416">
        <v>2021</v>
      </c>
      <c r="D3416" s="3" t="str">
        <f>B3416&amp;"/"&amp;A3416&amp;"/"&amp;C3416</f>
        <v>12/19/2021</v>
      </c>
      <c r="E3416">
        <v>0.95833333333333337</v>
      </c>
      <c r="F3416" t="s">
        <f>I3416&amp;" "&amp;J3416&amp;" "&amp;K3416&amp;" "&amp;L3416&amp;" "&amp;M3416&amp;" "&amp;N3416</f>
        <v>2690</v>
      </c>
      <c r="G3416" t="s">
        <f>TEXT(D3416,"mmm dd")</f>
        <v>1114</v>
      </c>
      <c r="I3416" t="s">
        <v>2223</v>
      </c>
      <c r="J3416" t="s">
        <v>2320</v>
      </c>
    </row>
    <row r="3417" spans="1:23">
      <c r="A3417">
        <v>22</v>
      </c>
      <c r="B3417">
        <v>12</v>
      </c>
      <c r="C3417">
        <v>2021</v>
      </c>
      <c r="D3417" s="3" t="str">
        <f>B3417&amp;"/"&amp;A3417&amp;"/"&amp;C3417</f>
        <v>12/22/2021</v>
      </c>
      <c r="E3417">
        <v>0.125</v>
      </c>
      <c r="F3417" t="str">
        <f>I3417&amp;" "&amp;J3417&amp;" "&amp;K3417&amp;" "&amp;L3417&amp;" "&amp;M3417&amp;" "&amp;N3417</f>
        <v>St. Paul's Annual Meeting  </v>
      </c>
      <c r="G3417" t="s">
        <f>TEXT(D3417,"mmm dd")</f>
        <v>1670</v>
      </c>
      <c r="I3417" t="s">
        <v>218</v>
      </c>
      <c r="J3417" t="s">
        <v>2471</v>
      </c>
      <c r="K3417" t="s">
        <v>1387</v>
      </c>
      <c r="L3417" t="s">
        <v>898</v>
      </c>
    </row>
    <row r="3418" spans="1:23">
      <c r="A3418">
        <v>24</v>
      </c>
      <c r="B3418">
        <v>12</v>
      </c>
      <c r="C3418">
        <v>2021</v>
      </c>
      <c r="D3418" s="3" t="s">
        <f>B3418&amp;"/"&amp;A3418&amp;"/"&amp;C3418</f>
        <v>2999</v>
      </c>
      <c r="E3418">
        <v>1.0208333333333333</v>
      </c>
      <c r="F3418" t="s">
        <f>I3418&amp;" "&amp;J3418&amp;" "&amp;K3418&amp;" "&amp;L3418&amp;" "&amp;M3418&amp;" "&amp;N3418</f>
        <v>1840</v>
      </c>
      <c r="G3418" t="s">
        <f>TEXT(D3418,"mmm dd")</f>
        <v>1467</v>
      </c>
      <c r="I3418" t="s">
        <v>1273</v>
      </c>
    </row>
    <row r="3419" spans="1:23">
      <c r="A3419">
        <v>24</v>
      </c>
      <c r="B3419">
        <v>12</v>
      </c>
      <c r="C3419">
        <v>2021</v>
      </c>
      <c r="D3419" s="3" t="s">
        <f>B3419&amp;"/"&amp;A3419&amp;"/"&amp;C3419</f>
        <v>2999</v>
      </c>
      <c r="E3419">
        <v>0.6875</v>
      </c>
      <c r="F3419" t="str">
        <f>I3419&amp;" "&amp;J3419&amp;" "&amp;K3419&amp;" "&amp;L3419&amp;" "&amp;M3419&amp;" "&amp;N3419</f>
        <v> Bank   cash </v>
      </c>
      <c r="G3419" t="s">
        <f>TEXT(D3419,"mmm dd")</f>
        <v>1467</v>
      </c>
      <c r="J3419" t="s">
        <v>1855</v>
      </c>
      <c r="M3419" t="inlineStr">
        <is>
          <t>cash</t>
        </is>
      </c>
    </row>
    <row r="3420" spans="1:23">
      <c r="A3420">
        <v>24</v>
      </c>
      <c r="B3420">
        <v>12</v>
      </c>
      <c r="C3420">
        <v>2021</v>
      </c>
      <c r="D3420" s="3" t="s">
        <f>B3420&amp;"/"&amp;A3420&amp;"/"&amp;C3420</f>
        <v>2999</v>
      </c>
      <c r="E3420">
        <v>0.70833333333333337</v>
      </c>
      <c r="F3420" t="s">
        <f>I3420&amp;" "&amp;J3420&amp;" "&amp;K3420&amp;" "&amp;L3420&amp;" "&amp;M3420&amp;" "&amp;N3420</f>
        <v>2690</v>
      </c>
      <c r="G3420" t="s">
        <f>TEXT(D3420,"mmm dd")</f>
        <v>1467</v>
      </c>
      <c r="I3420" t="s">
        <v>2223</v>
      </c>
      <c r="J3420" t="s">
        <v>2320</v>
      </c>
    </row>
    <row r="3421" spans="1:23">
      <c r="A3421">
        <v>27</v>
      </c>
      <c r="B3421">
        <v>12</v>
      </c>
      <c r="C3421">
        <v>2021</v>
      </c>
      <c r="D3421" s="3" t="str">
        <f>B3421&amp;"/"&amp;A3421&amp;"/"&amp;C3421</f>
        <v>12/27/2021</v>
      </c>
      <c r="E3421">
        <v>0.875</v>
      </c>
      <c r="F3421" t="s">
        <f>I3421&amp;" "&amp;J3421&amp;" "&amp;K3421&amp;" "&amp;L3421&amp;" "&amp;M3421&amp;" "&amp;N3421</f>
        <v>2997</v>
      </c>
      <c r="G3421" t="s">
        <f>TEXT(D3421,"mmm dd")</f>
        <v>1131</v>
      </c>
      <c r="I3421" t="s">
        <v>2992</v>
      </c>
      <c r="J3421" t="s">
        <v>1288</v>
      </c>
    </row>
    <row r="3422" spans="1:23">
      <c r="A3422">
        <v>29</v>
      </c>
      <c r="B3422">
        <v>12</v>
      </c>
      <c r="C3422">
        <v>2021</v>
      </c>
      <c r="D3422" s="3" t="str">
        <f>B3422&amp;"/"&amp;A3422&amp;"/"&amp;C3422</f>
        <v>12/29/2021</v>
      </c>
      <c r="E3422">
        <v>0.75</v>
      </c>
      <c r="F3422" t="s">
        <f>I3422&amp;" "&amp;J3422&amp;" "&amp;K3422&amp;" "&amp;L3422&amp;" "&amp;M3422&amp;" "&amp;N3422</f>
        <v>2690</v>
      </c>
      <c r="G3422" t="s">
        <f>TEXT(D3422,"mmm dd")</f>
        <v>2482</v>
      </c>
      <c r="I3422" t="s">
        <v>2223</v>
      </c>
      <c r="J3422" t="s">
        <v>2320</v>
      </c>
    </row>
    <row r="3423" spans="1:23">
      <c r="A3423">
        <v>2</v>
      </c>
      <c r="B3423">
        <v>1</v>
      </c>
      <c r="C3423">
        <v>2022</v>
      </c>
      <c r="D3423" s="3" t="str">
        <f>B3423&amp;"/"&amp;A3423&amp;"/"&amp;C3423</f>
        <v>1/2/2022</v>
      </c>
      <c r="E3423">
        <v>0.54166666666666663</v>
      </c>
      <c r="F3423" t="s">
        <f>I3423&amp;" "&amp;J3423&amp;" "&amp;K3423&amp;" "&amp;L3423&amp;" "&amp;M3423&amp;" "&amp;N3423</f>
        <v>1840</v>
      </c>
      <c r="G3423" t="str">
        <f>TEXT(D3423,"mmm dd")</f>
        <v>Jan 02</v>
      </c>
      <c r="I3423" t="s">
        <v>1273</v>
      </c>
    </row>
    <row r="3424" spans="1:23">
      <c r="A3424">
        <v>3</v>
      </c>
      <c r="B3424">
        <v>1</v>
      </c>
      <c r="C3424">
        <v>2022</v>
      </c>
      <c r="D3424" s="3" t="str">
        <f>B3424&amp;"/"&amp;A3424&amp;"/"&amp;C3424</f>
        <v>1/3/2022</v>
      </c>
      <c r="E3424">
        <v>0.97916666666666663</v>
      </c>
      <c r="F3424" t="str">
        <f>I3424&amp;" "&amp;J3424&amp;" "&amp;K3424&amp;" "&amp;L3424&amp;" "&amp;M3424&amp;" "&amp;N3424</f>
        <v>Phone call from Bp. Sam </v>
      </c>
      <c r="G3424" t="s">
        <f>TEXT(D3424,"mmm dd")</f>
        <v>1139</v>
      </c>
      <c r="I3424" t="s">
        <v>1987</v>
      </c>
      <c r="J3424" t="s">
        <v>418</v>
      </c>
      <c r="K3424" t="s">
        <v>874</v>
      </c>
      <c r="L3424" t="s">
        <v>2515</v>
      </c>
      <c r="M3424" t="s">
        <v>1269</v>
      </c>
    </row>
    <row r="3425" spans="1:23">
      <c r="A3425">
        <v>4</v>
      </c>
      <c r="B3425">
        <v>1</v>
      </c>
      <c r="C3425">
        <v>2022</v>
      </c>
      <c r="D3425" s="3" t="str">
        <f>B3425&amp;"/"&amp;A3425&amp;"/"&amp;C3425</f>
        <v>1/4/2022</v>
      </c>
      <c r="E3425">
        <v>0.20833333333333334</v>
      </c>
      <c r="F3425" t="s">
        <f>I3425&amp;" "&amp;J3425&amp;" "&amp;K3425&amp;" "&amp;L3425&amp;" "&amp;M3425&amp;" "&amp;N3425</f>
        <v>2690</v>
      </c>
      <c r="G3425" t="s">
        <f>TEXT(D3425,"mmm dd")</f>
        <v>1677</v>
      </c>
      <c r="I3425" t="s">
        <v>2223</v>
      </c>
      <c r="J3425" t="s">
        <v>2320</v>
      </c>
    </row>
    <row r="3426" spans="1:23">
      <c r="A3426">
        <v>9</v>
      </c>
      <c r="B3426">
        <v>1</v>
      </c>
      <c r="C3426">
        <v>2022</v>
      </c>
      <c r="D3426" s="3" t="s">
        <f>B3426&amp;"/"&amp;A3426&amp;"/"&amp;C3426</f>
        <v>3000</v>
      </c>
      <c r="E3426" t="s">
        <v>42</v>
      </c>
      <c r="F3426" t="str">
        <f>I3426&amp;" "&amp;J3426&amp;" "&amp;K3426&amp;" "&amp;L3426&amp;" "&amp;M3426&amp;" "&amp;N3426</f>
        <v>Bp. Sam    </v>
      </c>
      <c r="G3426" t="s">
        <f>TEXT(D3426,"mmm dd")</f>
        <v>1476</v>
      </c>
      <c r="I3426" t="s">
        <v>2515</v>
      </c>
      <c r="J3426" t="s">
        <v>1269</v>
      </c>
    </row>
    <row r="3427" spans="1:23">
      <c r="A3427">
        <v>9</v>
      </c>
      <c r="B3427">
        <v>1</v>
      </c>
      <c r="C3427">
        <v>2022</v>
      </c>
      <c r="D3427" s="3" t="s">
        <f>B3427&amp;"/"&amp;A3427&amp;"/"&amp;C3427</f>
        <v>3000</v>
      </c>
      <c r="E3427">
        <v>0.8125</v>
      </c>
      <c r="F3427" t="str">
        <f>I3427&amp;" "&amp;J3427&amp;" "&amp;K3427&amp;" "&amp;L3427&amp;" "&amp;M3427&amp;" "&amp;N3427</f>
        <v>Vestry meeting    </v>
      </c>
      <c r="G3427" t="s">
        <f>TEXT(D3427,"mmm dd")</f>
        <v>1476</v>
      </c>
      <c r="I3427" t="s">
        <v>194</v>
      </c>
      <c r="J3427" t="s">
        <v>842</v>
      </c>
    </row>
    <row r="3428" spans="1:23">
      <c r="A3428">
        <v>9</v>
      </c>
      <c r="B3428">
        <v>1</v>
      </c>
      <c r="C3428">
        <v>2022</v>
      </c>
      <c r="D3428" s="3" t="s">
        <f>B3428&amp;"/"&amp;A3428&amp;"/"&amp;C3428</f>
        <v>3000</v>
      </c>
      <c r="E3428">
        <v>0.79166666666666663</v>
      </c>
      <c r="F3428" t="str">
        <f>I3428&amp;" "&amp;J3428&amp;" "&amp;K3428&amp;" "&amp;L3428&amp;" "&amp;M3428&amp;" "&amp;N3428</f>
        <v>Vestry with Bp. Sam  </v>
      </c>
      <c r="G3428" t="s">
        <f>TEXT(D3428,"mmm dd")</f>
        <v>1476</v>
      </c>
      <c r="I3428" t="s">
        <v>194</v>
      </c>
      <c r="J3428" t="s">
        <v>755</v>
      </c>
      <c r="K3428" t="s">
        <v>2515</v>
      </c>
      <c r="L3428" t="s">
        <v>1269</v>
      </c>
    </row>
    <row r="3429" spans="1:23">
      <c r="A3429">
        <v>9</v>
      </c>
      <c r="B3429">
        <v>1</v>
      </c>
      <c r="C3429">
        <v>2022</v>
      </c>
      <c r="D3429" s="3" t="s">
        <f>B3429&amp;"/"&amp;A3429&amp;"/"&amp;C3429</f>
        <v>3000</v>
      </c>
      <c r="E3429">
        <v>0.20833333333333334</v>
      </c>
      <c r="F3429" t="s">
        <f>I3429&amp;" "&amp;J3429&amp;" "&amp;K3429&amp;" "&amp;L3429&amp;" "&amp;M3429&amp;" "&amp;N3429</f>
        <v>2690</v>
      </c>
      <c r="G3429" t="s">
        <f>TEXT(D3429,"mmm dd")</f>
        <v>1476</v>
      </c>
      <c r="I3429" t="s">
        <v>2223</v>
      </c>
      <c r="J3429" t="s">
        <v>2320</v>
      </c>
      <c r="O3429" t="s">
        <v>1616</v>
      </c>
    </row>
    <row r="3430" spans="1:23">
      <c r="A3430">
        <v>9</v>
      </c>
      <c r="B3430">
        <v>1</v>
      </c>
      <c r="C3430">
        <v>2022</v>
      </c>
      <c r="D3430" s="3" t="s">
        <f>B3430&amp;"/"&amp;A3430&amp;"/"&amp;C3430</f>
        <v>3000</v>
      </c>
      <c r="E3430">
        <v>0.54166666666666663</v>
      </c>
      <c r="F3430" t="s">
        <f>I3430&amp;" "&amp;J3430&amp;" "&amp;K3430&amp;" "&amp;L3430&amp;" "&amp;M3430&amp;" "&amp;N3430</f>
        <v>1840</v>
      </c>
      <c r="G3430" t="s">
        <f>TEXT(D3430,"mmm dd")</f>
        <v>1476</v>
      </c>
      <c r="I3430" t="s">
        <v>1273</v>
      </c>
    </row>
    <row r="3431" spans="1:23">
      <c r="A3431">
        <v>14</v>
      </c>
      <c r="B3431">
        <v>1</v>
      </c>
      <c r="C3431">
        <v>2022</v>
      </c>
      <c r="D3431" s="3" t="s">
        <f>B3431&amp;"/"&amp;A3431&amp;"/"&amp;C3431</f>
        <v>3001</v>
      </c>
      <c r="E3431">
        <v>0.875</v>
      </c>
      <c r="F3431" t="str">
        <f>I3431&amp;" "&amp;J3431&amp;" "&amp;K3431&amp;" "&amp;L3431&amp;" "&amp;M3431&amp;" "&amp;N3431</f>
        <v>Pleimann funeral    </v>
      </c>
      <c r="G3431" t="s">
        <f>TEXT(D3431,"mmm dd")</f>
        <v>1166</v>
      </c>
      <c r="I3431" t="inlineStr">
        <is>
          <t>Pleimann</t>
        </is>
      </c>
      <c r="J3431" t="s">
        <v>1116</v>
      </c>
    </row>
    <row r="3432" spans="1:23">
      <c r="A3432">
        <v>14</v>
      </c>
      <c r="B3432">
        <v>1</v>
      </c>
      <c r="C3432">
        <v>2022</v>
      </c>
      <c r="D3432" s="3" t="s">
        <f>B3432&amp;"/"&amp;A3432&amp;"/"&amp;C3432</f>
        <v>3001</v>
      </c>
      <c r="E3432">
        <v>1</v>
      </c>
      <c r="F3432" t="s">
        <f>I3432&amp;" "&amp;J3432&amp;" "&amp;K3432&amp;" "&amp;L3432&amp;" "&amp;M3432&amp;" "&amp;N3432</f>
        <v>2889</v>
      </c>
      <c r="G3432" t="s">
        <f>TEXT(D3432,"mmm dd")</f>
        <v>1166</v>
      </c>
      <c r="I3432" t="s">
        <v>2890</v>
      </c>
      <c r="J3432" t="s">
        <v>2891</v>
      </c>
    </row>
    <row r="3433" spans="1:23">
      <c r="A3433">
        <v>14</v>
      </c>
      <c r="B3433">
        <v>1</v>
      </c>
      <c r="C3433">
        <v>2022</v>
      </c>
      <c r="D3433" s="3" t="s">
        <f>B3433&amp;"/"&amp;A3433&amp;"/"&amp;C3433</f>
        <v>3001</v>
      </c>
      <c r="E3433">
        <v>0.20833333333333334</v>
      </c>
      <c r="F3433" t="s">
        <f>I3433&amp;" "&amp;J3433&amp;" "&amp;K3433&amp;" "&amp;L3433&amp;" "&amp;M3433&amp;" "&amp;N3433</f>
        <v>2690</v>
      </c>
      <c r="G3433" t="s">
        <f>TEXT(D3433,"mmm dd")</f>
        <v>1166</v>
      </c>
      <c r="I3433" t="s">
        <v>2223</v>
      </c>
      <c r="J3433" t="s">
        <v>2320</v>
      </c>
    </row>
    <row r="3434" spans="1:23">
      <c r="A3434">
        <v>16</v>
      </c>
      <c r="B3434">
        <v>1</v>
      </c>
      <c r="C3434">
        <v>2022</v>
      </c>
      <c r="D3434" s="3" t="str">
        <f>B3434&amp;"/"&amp;A3434&amp;"/"&amp;C3434</f>
        <v>1/16/2022</v>
      </c>
      <c r="E3434">
        <v>0.75</v>
      </c>
      <c r="F3434" t="str">
        <f>I3434&amp;" "&amp;J3434&amp;" "&amp;K3434&amp;" "&amp;L3434&amp;" "&amp;M3434&amp;" "&amp;N3434</f>
        <v>Sunday Morning Prayer   </v>
      </c>
      <c r="G3434" t="s">
        <f>TEXT(D3434,"mmm dd")</f>
        <v>1170</v>
      </c>
      <c r="I3434" t="s">
        <v>341</v>
      </c>
      <c r="J3434" t="s">
        <v>2126</v>
      </c>
      <c r="K3434" t="s">
        <v>1283</v>
      </c>
    </row>
    <row r="3435" spans="1:23">
      <c r="A3435">
        <v>19</v>
      </c>
      <c r="B3435">
        <v>1</v>
      </c>
      <c r="C3435">
        <v>2022</v>
      </c>
      <c r="D3435" s="3" t="str">
        <f>B3435&amp;"/"&amp;A3435&amp;"/"&amp;C3435</f>
        <v>1/19/2022</v>
      </c>
      <c r="E3435">
        <v>0.875</v>
      </c>
      <c r="F3435" t="s">
        <f>I3435&amp;" "&amp;J3435&amp;" "&amp;K3435&amp;" "&amp;L3435&amp;" "&amp;M3435&amp;" "&amp;N3435</f>
        <v>2690</v>
      </c>
      <c r="G3435" t="s">
        <f>TEXT(D3435,"mmm dd")</f>
        <v>1481</v>
      </c>
      <c r="I3435" t="s">
        <v>2223</v>
      </c>
      <c r="J3435" t="s">
        <v>2320</v>
      </c>
    </row>
    <row r="3436" spans="1:23">
      <c r="A3436">
        <v>24</v>
      </c>
      <c r="B3436">
        <v>1</v>
      </c>
      <c r="C3436">
        <v>2022</v>
      </c>
      <c r="D3436" s="3" t="s">
        <f>B3436&amp;"/"&amp;A3436&amp;"/"&amp;C3436</f>
        <v>3002</v>
      </c>
      <c r="E3436">
        <v>0.875</v>
      </c>
      <c r="F3436" t="s">
        <f>I3436&amp;" "&amp;J3436&amp;" "&amp;K3436&amp;" "&amp;L3436&amp;" "&amp;M3436&amp;" "&amp;N3436</f>
        <v>2973</v>
      </c>
      <c r="G3436" t="s">
        <f>TEXT(D3436,"mmm dd")</f>
        <v>1829</v>
      </c>
      <c r="I3436" t="s">
        <v>218</v>
      </c>
      <c r="J3436" t="s">
        <v>2471</v>
      </c>
      <c r="K3436" t="s">
        <v>1899</v>
      </c>
    </row>
    <row r="3437" spans="1:23">
      <c r="A3437">
        <v>24</v>
      </c>
      <c r="B3437">
        <v>1</v>
      </c>
      <c r="C3437">
        <v>2022</v>
      </c>
      <c r="D3437" s="3" t="s">
        <f>B3437&amp;"/"&amp;A3437&amp;"/"&amp;C3437</f>
        <v>3002</v>
      </c>
      <c r="E3437">
        <v>1.0833333333333333</v>
      </c>
      <c r="F3437" t="str">
        <f>I3437&amp;" "&amp;J3437&amp;" "&amp;K3437&amp;" "&amp;L3437&amp;" "&amp;M3437&amp;" "&amp;N3437</f>
        <v>January Vestry    </v>
      </c>
      <c r="G3437" t="s">
        <f>TEXT(D3437,"mmm dd")</f>
        <v>1829</v>
      </c>
      <c r="I3437" t="inlineStr">
        <is>
          <t>January</t>
        </is>
      </c>
      <c r="J3437" t="s">
        <v>194</v>
      </c>
    </row>
    <row r="3438" spans="1:23">
      <c r="A3438">
        <v>25</v>
      </c>
      <c r="B3438">
        <v>1</v>
      </c>
      <c r="C3438">
        <v>2022</v>
      </c>
      <c r="D3438" s="3" t="s">
        <f>B3438&amp;"/"&amp;A3438&amp;"/"&amp;C3438</f>
        <v>3003</v>
      </c>
      <c r="E3438">
        <v>0.77083333333333337</v>
      </c>
      <c r="F3438" t="str">
        <f>I3438&amp;" "&amp;J3438&amp;" "&amp;K3438&amp;" "&amp;L3438&amp;" "&amp;M3438&amp;" "&amp;N3438</f>
        <v>Geary crown and cleaning  </v>
      </c>
      <c r="G3438" t="s">
        <f>TEXT(D3438,"mmm dd")</f>
        <v>1830</v>
      </c>
      <c r="I3438" t="s">
        <v>2537</v>
      </c>
      <c r="J3438" t="s">
        <v>2262</v>
      </c>
      <c r="K3438" t="s">
        <v>135</v>
      </c>
      <c r="L3438" t="s">
        <v>2035</v>
      </c>
    </row>
    <row r="3439" spans="1:23">
      <c r="A3439">
        <v>25</v>
      </c>
      <c r="B3439">
        <v>1</v>
      </c>
      <c r="C3439">
        <v>2022</v>
      </c>
      <c r="D3439" s="3" t="s">
        <f>B3439&amp;"/"&amp;A3439&amp;"/"&amp;C3439</f>
        <v>3003</v>
      </c>
      <c r="E3439">
        <v>0.20833333333333334</v>
      </c>
      <c r="F3439" t="s">
        <f>I3439&amp;" "&amp;J3439&amp;" "&amp;K3439&amp;" "&amp;L3439&amp;" "&amp;M3439&amp;" "&amp;N3439</f>
        <v>2690</v>
      </c>
      <c r="G3439" t="s">
        <f>TEXT(D3439,"mmm dd")</f>
        <v>1830</v>
      </c>
      <c r="I3439" t="s">
        <v>2223</v>
      </c>
      <c r="J3439" t="s">
        <v>2320</v>
      </c>
    </row>
    <row r="3440" spans="1:23">
      <c r="A3440">
        <v>26</v>
      </c>
      <c r="B3440">
        <v>1</v>
      </c>
      <c r="C3440">
        <v>2022</v>
      </c>
      <c r="D3440" s="3" t="str">
        <f>B3440&amp;"/"&amp;A3440&amp;"/"&amp;C3440</f>
        <v>1/26/2022</v>
      </c>
      <c r="E3440">
        <v>0.96875</v>
      </c>
      <c r="F3440" t="str">
        <f>I3440&amp;" "&amp;J3440&amp;" "&amp;K3440&amp;" "&amp;L3440&amp;" "&amp;M3440&amp;" "&amp;N3440</f>
        <v>Mary Pat Sjostrom   periodic</v>
      </c>
      <c r="G3440" t="s">
        <f>TEXT(D3440,"mmm dd")</f>
        <v>1488</v>
      </c>
      <c r="I3440" t="s">
        <v>410</v>
      </c>
      <c r="J3440" t="s">
        <v>702</v>
      </c>
      <c r="K3440" t="s">
        <v>2106</v>
      </c>
      <c r="N3440" t="s">
        <v>3004</v>
      </c>
    </row>
    <row r="3441" spans="1:23">
      <c r="A3441">
        <v>27</v>
      </c>
      <c r="B3441">
        <v>1</v>
      </c>
      <c r="C3441">
        <v>2022</v>
      </c>
      <c r="D3441" s="3" t="s">
        <f>B3441&amp;"/"&amp;A3441&amp;"/"&amp;C3441</f>
        <v>3005</v>
      </c>
      <c r="E3441">
        <v>0.95833333333333337</v>
      </c>
      <c r="F3441" t="str">
        <f>I3441&amp;" "&amp;J3441&amp;" "&amp;K3441&amp;" "&amp;L3441&amp;" "&amp;M3441&amp;" "&amp;N3441</f>
        <v>Event     </v>
      </c>
      <c r="G3441" t="s">
        <f>TEXT(D3441,"mmm dd")</f>
        <v>1696</v>
      </c>
      <c r="I3441" t="s">
        <v>1457</v>
      </c>
    </row>
    <row r="3442" spans="1:23">
      <c r="A3442">
        <v>27</v>
      </c>
      <c r="B3442">
        <v>1</v>
      </c>
      <c r="C3442">
        <v>2022</v>
      </c>
      <c r="D3442" s="3" t="s">
        <f>B3442&amp;"/"&amp;A3442&amp;"/"&amp;C3442</f>
        <v>3005</v>
      </c>
      <c r="E3442">
        <v>0.95833333333333337</v>
      </c>
      <c r="F3442" t="str">
        <f>I3442&amp;" "&amp;J3442&amp;" "&amp;K3442&amp;" "&amp;L3442&amp;" "&amp;M3442&amp;" "&amp;N3442</f>
        <v>Reversing the Covid Slump  </v>
      </c>
      <c r="G3442" t="s">
        <f>TEXT(D3442,"mmm dd")</f>
        <v>1696</v>
      </c>
      <c r="I3442" t="inlineStr">
        <is>
          <t>Reversing</t>
        </is>
      </c>
      <c r="J3442" t="s">
        <v>139</v>
      </c>
      <c r="K3442" t="s">
        <v>2900</v>
      </c>
      <c r="L3442" t="inlineStr">
        <is>
          <t>Slump</t>
        </is>
      </c>
    </row>
    <row r="3443" spans="1:23">
      <c r="A3443">
        <v>28</v>
      </c>
      <c r="B3443">
        <v>1</v>
      </c>
      <c r="C3443">
        <v>2022</v>
      </c>
      <c r="D3443" s="3" t="str">
        <f>B3443&amp;"/"&amp;A3443&amp;"/"&amp;C3443</f>
        <v>1/28/2022</v>
      </c>
      <c r="E3443">
        <v>0.91666666666666663</v>
      </c>
      <c r="F3443" t="str">
        <f>I3443&amp;" "&amp;J3443&amp;" "&amp;K3443&amp;" "&amp;L3443&amp;" "&amp;M3443&amp;" "&amp;N3443</f>
        <v>Mary Pat   periodic review</v>
      </c>
      <c r="G3443" t="s">
        <f>TEXT(D3443,"mmm dd")</f>
        <v>1492</v>
      </c>
      <c r="I3443" t="s">
        <v>410</v>
      </c>
      <c r="J3443" t="s">
        <v>702</v>
      </c>
      <c r="M3443" t="s">
        <v>3004</v>
      </c>
      <c r="N3443" t="s">
        <v>1922</v>
      </c>
    </row>
    <row r="3444" spans="1:23">
      <c r="A3444">
        <v>30</v>
      </c>
      <c r="B3444">
        <v>1</v>
      </c>
      <c r="C3444">
        <v>2022</v>
      </c>
      <c r="D3444" s="3" t="s">
        <f>B3444&amp;"/"&amp;A3444&amp;"/"&amp;C3444</f>
        <v>3006</v>
      </c>
      <c r="E3444">
        <v>0.91666666666666663</v>
      </c>
      <c r="F3444" t="str">
        <f>I3444&amp;" "&amp;J3444&amp;" "&amp;K3444&amp;" "&amp;L3444&amp;" "&amp;M3444&amp;" "&amp;N3444</f>
        <v>Budget Conversation    </v>
      </c>
      <c r="G3444" t="s">
        <f>TEXT(D3444,"mmm dd")</f>
        <v>1499</v>
      </c>
      <c r="I3444" t="s">
        <v>1373</v>
      </c>
      <c r="J3444" t="s">
        <v>2932</v>
      </c>
    </row>
    <row r="3445" spans="1:23">
      <c r="A3445">
        <v>30</v>
      </c>
      <c r="B3445">
        <v>1</v>
      </c>
      <c r="C3445">
        <v>2022</v>
      </c>
      <c r="D3445" s="3" t="s">
        <f>B3445&amp;"/"&amp;A3445&amp;"/"&amp;C3445</f>
        <v>3006</v>
      </c>
      <c r="E3445">
        <v>0.83333333333333337</v>
      </c>
      <c r="F3445" t="str">
        <f>I3445&amp;" "&amp;J3445&amp;" "&amp;K3445&amp;" "&amp;L3445&amp;" "&amp;M3445&amp;" "&amp;N3445</f>
        <v>Meet Kevin &amp; Melinda  </v>
      </c>
      <c r="G3445" t="s">
        <f>TEXT(D3445,"mmm dd")</f>
        <v>1499</v>
      </c>
      <c r="I3445" t="s">
        <v>300</v>
      </c>
      <c r="J3445" t="s">
        <v>1516</v>
      </c>
      <c r="K3445" t="s">
        <v>73</v>
      </c>
      <c r="L3445" t="s">
        <v>2917</v>
      </c>
    </row>
    <row r="3446" spans="1:23">
      <c r="A3446">
        <v>30</v>
      </c>
      <c r="B3446">
        <v>1</v>
      </c>
      <c r="C3446">
        <v>2022</v>
      </c>
      <c r="D3446" s="3" t="s">
        <f>B3446&amp;"/"&amp;A3446&amp;"/"&amp;C3446</f>
        <v>3006</v>
      </c>
      <c r="E3446">
        <v>0.45833333333333331</v>
      </c>
      <c r="F3446" t="s">
        <f>I3446&amp;" "&amp;J3446&amp;" "&amp;K3446&amp;" "&amp;L3446&amp;" "&amp;M3446&amp;" "&amp;N3446</f>
        <v>1840</v>
      </c>
      <c r="G3446" t="s">
        <f>TEXT(D3446,"mmm dd")</f>
        <v>1499</v>
      </c>
      <c r="I3446" t="s">
        <v>1273</v>
      </c>
    </row>
    <row r="3447" spans="1:23">
      <c r="A3447">
        <v>31</v>
      </c>
      <c r="B3447">
        <v>1</v>
      </c>
      <c r="C3447">
        <v>2022</v>
      </c>
      <c r="D3447" s="3" t="str">
        <f>B3447&amp;"/"&amp;A3447&amp;"/"&amp;C3447</f>
        <v>1/31/2022</v>
      </c>
      <c r="E3447">
        <v>0.80208333333333337</v>
      </c>
      <c r="F3447" t="str">
        <f>I3447&amp;" "&amp;J3447&amp;" "&amp;K3447&amp;" "&amp;L3447&amp;" "&amp;M3447&amp;" "&amp;N3447</f>
        <v>Phone call from Ben in VA</v>
      </c>
      <c r="G3447" t="s">
        <f>TEXT(D3447,"mmm dd")</f>
        <v>1500</v>
      </c>
      <c r="I3447" t="s">
        <v>1987</v>
      </c>
      <c r="J3447" t="s">
        <v>418</v>
      </c>
      <c r="K3447" t="s">
        <v>874</v>
      </c>
      <c r="L3447" t="s">
        <v>2496</v>
      </c>
      <c r="M3447" t="s">
        <v>372</v>
      </c>
      <c r="N3447" t="inlineStr">
        <is>
          <t>VA</t>
        </is>
      </c>
    </row>
    <row r="3448" spans="1:23">
      <c r="A3448">
        <v>3</v>
      </c>
      <c r="B3448">
        <v>2</v>
      </c>
      <c r="C3448">
        <v>2022</v>
      </c>
      <c r="D3448" s="3" t="str">
        <f>B3448&amp;"/"&amp;A3448&amp;"/"&amp;C3448</f>
        <v>2/3/2022</v>
      </c>
      <c r="E3448">
        <v>0.5</v>
      </c>
      <c r="F3448" t="s">
        <f>I3448&amp;" "&amp;J3448&amp;" "&amp;K3448&amp;" "&amp;L3448&amp;" "&amp;M3448&amp;" "&amp;N3448</f>
        <v>2988</v>
      </c>
      <c r="G3448" t="s">
        <f>TEXT(D3448,"mmm dd")</f>
        <v>1501</v>
      </c>
      <c r="I3448" t="s">
        <v>2989</v>
      </c>
      <c r="J3448" t="s">
        <v>1514</v>
      </c>
    </row>
    <row r="3449" spans="1:23">
      <c r="A3449">
        <v>4</v>
      </c>
      <c r="B3449">
        <v>2</v>
      </c>
      <c r="C3449">
        <v>2022</v>
      </c>
      <c r="D3449" s="3" t="str">
        <f>B3449&amp;"/"&amp;A3449&amp;"/"&amp;C3449</f>
        <v>2/4/2022</v>
      </c>
      <c r="E3449">
        <v>0.75</v>
      </c>
      <c r="F3449" t="s">
        <f>I3449&amp;" "&amp;J3449&amp;" "&amp;K3449&amp;" "&amp;L3449&amp;" "&amp;M3449&amp;" "&amp;N3449</f>
        <v>2690</v>
      </c>
      <c r="G3449" t="s">
        <f>TEXT(D3449,"mmm dd")</f>
        <v>2284</v>
      </c>
      <c r="I3449" t="s">
        <v>2223</v>
      </c>
      <c r="J3449" t="s">
        <v>2320</v>
      </c>
    </row>
    <row r="3450" spans="1:23">
      <c r="A3450">
        <v>8</v>
      </c>
      <c r="B3450">
        <v>2</v>
      </c>
      <c r="C3450">
        <v>2022</v>
      </c>
      <c r="D3450" s="3" t="str">
        <f>B3450&amp;"/"&amp;A3450&amp;"/"&amp;C3450</f>
        <v>2/8/2022</v>
      </c>
      <c r="E3450">
        <v>1.1041666666666667</v>
      </c>
      <c r="F3450" t="str">
        <f>I3450&amp;" "&amp;J3450&amp;" "&amp;K3450&amp;" "&amp;L3450&amp;" "&amp;M3450&amp;" "&amp;N3450</f>
        <v>Vestry Meeting to discuss Budget </v>
      </c>
      <c r="G3450" t="s">
        <f>TEXT(D3450,"mmm dd")</f>
        <v>1843</v>
      </c>
      <c r="I3450" t="s">
        <v>194</v>
      </c>
      <c r="J3450" t="s">
        <v>898</v>
      </c>
      <c r="K3450" t="s">
        <v>449</v>
      </c>
      <c r="L3450" t="inlineStr">
        <is>
          <t>discuss</t>
        </is>
      </c>
      <c r="M3450" t="s">
        <v>1373</v>
      </c>
    </row>
    <row r="3451" spans="1:23">
      <c r="A3451">
        <v>9</v>
      </c>
      <c r="B3451">
        <v>2</v>
      </c>
      <c r="C3451">
        <v>2022</v>
      </c>
      <c r="D3451" s="3" t="s">
        <f>B3451&amp;"/"&amp;A3451&amp;"/"&amp;C3451</f>
        <v>3007</v>
      </c>
      <c r="E3451">
        <v>0.95833333333333337</v>
      </c>
      <c r="F3451" t="str">
        <f>I3451&amp;" "&amp;J3451&amp;" "&amp;K3451&amp;" "&amp;L3451&amp;" "&amp;M3451&amp;" "&amp;N3451</f>
        <v>Digital Gathering 2022   </v>
      </c>
      <c r="G3451" t="s">
        <f>TEXT(D3451,"mmm dd")</f>
        <v>1504</v>
      </c>
      <c r="I3451" t="inlineStr">
        <is>
          <t>Digital</t>
        </is>
      </c>
      <c r="J3451" t="s">
        <v>1442</v>
      </c>
      <c r="K3451">
        <v>2022</v>
      </c>
    </row>
    <row r="3452" spans="1:23">
      <c r="A3452">
        <v>9</v>
      </c>
      <c r="B3452">
        <v>2</v>
      </c>
      <c r="C3452">
        <v>2022</v>
      </c>
      <c r="D3452" s="3" t="s">
        <f>B3452&amp;"/"&amp;A3452&amp;"/"&amp;C3452</f>
        <v>3007</v>
      </c>
      <c r="E3452">
        <v>1.0416666666666667</v>
      </c>
      <c r="F3452" t="s">
        <f>I3452&amp;" "&amp;J3452&amp;" "&amp;K3452&amp;" "&amp;L3452&amp;" "&amp;M3452&amp;" "&amp;N3452</f>
        <v>2690</v>
      </c>
      <c r="G3452" t="s">
        <f>TEXT(D3452,"mmm dd")</f>
        <v>1504</v>
      </c>
      <c r="I3452" t="s">
        <v>2223</v>
      </c>
      <c r="J3452" t="s">
        <v>2320</v>
      </c>
    </row>
    <row r="3453" spans="1:23">
      <c r="A3453">
        <v>13</v>
      </c>
      <c r="B3453">
        <v>2</v>
      </c>
      <c r="C3453">
        <v>2022</v>
      </c>
      <c r="D3453" s="3" t="str">
        <f>B3453&amp;"/"&amp;A3453&amp;"/"&amp;C3453</f>
        <v>2/13/2022</v>
      </c>
      <c r="E3453">
        <v>0.14583333333333334</v>
      </c>
      <c r="F3453" t="s">
        <f>I3453&amp;" "&amp;J3453&amp;" "&amp;K3453&amp;" "&amp;L3453&amp;" "&amp;M3453&amp;" "&amp;N3453</f>
        <v>2851</v>
      </c>
      <c r="G3453" t="s">
        <f>TEXT(D3453,"mmm dd")</f>
        <v>1198</v>
      </c>
      <c r="I3453" t="s">
        <v>1816</v>
      </c>
    </row>
    <row r="3454" spans="1:23">
      <c r="A3454">
        <v>16</v>
      </c>
      <c r="B3454">
        <v>2</v>
      </c>
      <c r="C3454">
        <v>2022</v>
      </c>
      <c r="D3454" s="3" t="str">
        <f>B3454&amp;"/"&amp;A3454&amp;"/"&amp;C3454</f>
        <v>2/16/2022</v>
      </c>
      <c r="E3454">
        <v>0.91666666666666663</v>
      </c>
      <c r="F3454" t="s">
        <f>I3454&amp;" "&amp;J3454&amp;" "&amp;K3454&amp;" "&amp;L3454&amp;" "&amp;M3454&amp;" "&amp;N3454</f>
        <v>2889</v>
      </c>
      <c r="G3454" t="s">
        <f>TEXT(D3454,"mmm dd")</f>
        <v>1201</v>
      </c>
      <c r="I3454" t="s">
        <v>2890</v>
      </c>
      <c r="J3454" t="s">
        <v>2891</v>
      </c>
    </row>
    <row r="3455" spans="1:23">
      <c r="A3455">
        <v>20</v>
      </c>
      <c r="B3455">
        <v>2</v>
      </c>
      <c r="C3455">
        <v>2022</v>
      </c>
      <c r="D3455" s="3" t="str">
        <f>B3455&amp;"/"&amp;A3455&amp;"/"&amp;C3455</f>
        <v>2/20/2022</v>
      </c>
      <c r="E3455">
        <v>0.16666666666666666</v>
      </c>
      <c r="F3455" t="s">
        <f>I3455&amp;" "&amp;J3455&amp;" "&amp;K3455&amp;" "&amp;L3455&amp;" "&amp;M3455&amp;" "&amp;N3455</f>
        <v>2690</v>
      </c>
      <c r="G3455" t="s">
        <f>TEXT(D3455,"mmm dd")</f>
        <v>1525</v>
      </c>
      <c r="I3455" t="s">
        <v>2223</v>
      </c>
      <c r="J3455" t="s">
        <v>2320</v>
      </c>
    </row>
    <row r="3456" spans="1:23">
      <c r="A3456">
        <v>22</v>
      </c>
      <c r="B3456">
        <v>2</v>
      </c>
      <c r="C3456">
        <v>2022</v>
      </c>
      <c r="D3456" s="3" t="str">
        <f>B3456&amp;"/"&amp;A3456&amp;"/"&amp;C3456</f>
        <v>2/22/2022</v>
      </c>
      <c r="E3456">
        <v>0.89583333333333337</v>
      </c>
      <c r="F3456" t="str">
        <f>I3456&amp;" "&amp;J3456&amp;" "&amp;K3456&amp;" "&amp;L3456&amp;" "&amp;M3456&amp;" "&amp;N3456</f>
        <v>Worship GUild    </v>
      </c>
      <c r="G3456" t="s">
        <f>TEXT(D3456,"mmm dd")</f>
        <v>1213</v>
      </c>
      <c r="I3456" t="s">
        <v>2982</v>
      </c>
      <c r="J3456" t="inlineStr">
        <is>
          <t>GUild</t>
        </is>
      </c>
    </row>
    <row r="3457" spans="1:23">
      <c r="A3457">
        <v>23</v>
      </c>
      <c r="B3457">
        <v>2</v>
      </c>
      <c r="C3457">
        <v>2022</v>
      </c>
      <c r="D3457" s="3" t="str">
        <f>B3457&amp;"/"&amp;A3457&amp;"/"&amp;C3457</f>
        <v>2/23/2022</v>
      </c>
      <c r="E3457">
        <v>0.90277777777777779</v>
      </c>
      <c r="F3457" t="str">
        <f>I3457&amp;" "&amp;J3457&amp;" "&amp;K3457&amp;" "&amp;L3457&amp;" "&amp;M3457&amp;" "&amp;N3457</f>
        <v>Office Visit with Jens Eichhorn </v>
      </c>
      <c r="G3457" t="s">
        <f>TEXT(D3457,"mmm dd")</f>
        <v>1532</v>
      </c>
      <c r="I3457" t="s">
        <v>493</v>
      </c>
      <c r="J3457" t="s">
        <v>1252</v>
      </c>
      <c r="K3457" t="s">
        <v>755</v>
      </c>
      <c r="L3457" t="inlineStr">
        <is>
          <t>Jens</t>
        </is>
      </c>
      <c r="M3457" t="s">
        <v>2626</v>
      </c>
    </row>
    <row r="3458" spans="1:23">
      <c r="A3458">
        <v>26</v>
      </c>
      <c r="B3458">
        <v>2</v>
      </c>
      <c r="C3458">
        <v>2022</v>
      </c>
      <c r="D3458" s="3" t="str">
        <f>B3458&amp;"/"&amp;A3458&amp;"/"&amp;C3458</f>
        <v>2/26/2022</v>
      </c>
      <c r="E3458">
        <v>1.0416666666666667</v>
      </c>
      <c r="F3458" t="str">
        <f>I3458&amp;" "&amp;J3458&amp;" "&amp;K3458&amp;" "&amp;L3458&amp;" "&amp;M3458&amp;" "&amp;N3458</f>
        <v>Reservation at Sante   </v>
      </c>
      <c r="G3458" t="s">
        <f>TEXT(D3458,"mmm dd")</f>
        <v>1219</v>
      </c>
      <c r="I3458" t="s">
        <v>2785</v>
      </c>
      <c r="J3458" t="s">
        <v>53</v>
      </c>
      <c r="K3458" t="inlineStr">
        <is>
          <t>Sante</t>
        </is>
      </c>
    </row>
    <row r="3459" spans="1:23">
      <c r="A3459">
        <v>27</v>
      </c>
      <c r="B3459">
        <v>2</v>
      </c>
      <c r="C3459">
        <v>2022</v>
      </c>
      <c r="D3459" s="3" t="str">
        <f>B3459&amp;"/"&amp;A3459&amp;"/"&amp;C3459</f>
        <v>2/27/2022</v>
      </c>
      <c r="E3459">
        <v>0.14583333333333334</v>
      </c>
      <c r="F3459" t="s">
        <f>I3459&amp;" "&amp;J3459&amp;" "&amp;K3459&amp;" "&amp;L3459&amp;" "&amp;M3459&amp;" "&amp;N3459</f>
        <v>2851</v>
      </c>
      <c r="G3459" t="s">
        <f>TEXT(D3459,"mmm dd")</f>
        <v>1223</v>
      </c>
      <c r="I3459" t="s">
        <v>1816</v>
      </c>
    </row>
    <row r="3460" spans="1:23">
      <c r="A3460">
        <v>1</v>
      </c>
      <c r="B3460">
        <v>3</v>
      </c>
      <c r="C3460">
        <v>2022</v>
      </c>
      <c r="D3460" s="3" t="str">
        <f>B3460&amp;"/"&amp;A3460&amp;"/"&amp;C3460</f>
        <v>3/1/2022</v>
      </c>
      <c r="E3460">
        <v>0.875</v>
      </c>
      <c r="F3460" t="str">
        <f>I3460&amp;" "&amp;J3460&amp;" "&amp;K3460&amp;" "&amp;L3460&amp;" "&amp;M3460&amp;" "&amp;N3460</f>
        <v>Meet Tina re. vestments  </v>
      </c>
      <c r="G3460" t="s">
        <f>TEXT(D3460,"mmm dd")</f>
        <v>2183</v>
      </c>
      <c r="I3460" t="s">
        <v>300</v>
      </c>
      <c r="J3460" t="s">
        <v>2971</v>
      </c>
      <c r="K3460" t="s">
        <v>633</v>
      </c>
      <c r="L3460" t="s">
        <v>2535</v>
      </c>
    </row>
    <row r="3461" spans="1:23">
      <c r="A3461">
        <v>4</v>
      </c>
      <c r="B3461">
        <v>3</v>
      </c>
      <c r="C3461">
        <v>2022</v>
      </c>
      <c r="D3461" s="3" t="s">
        <f>B3461&amp;"/"&amp;A3461&amp;"/"&amp;C3461</f>
        <v>3008</v>
      </c>
      <c r="E3461" t="s">
        <v>42</v>
      </c>
      <c r="F3461" t="str">
        <f>I3461&amp;" "&amp;J3461&amp;" "&amp;K3461&amp;" "&amp;L3461&amp;" "&amp;M3461&amp;" "&amp;N3461</f>
        <v>Stay     </v>
      </c>
      <c r="G3461" t="s">
        <f>TEXT(D3461,"mmm dd")</f>
        <v>1538</v>
      </c>
      <c r="I3461" t="s">
        <v>2398</v>
      </c>
    </row>
    <row r="3462" spans="1:23">
      <c r="A3462">
        <v>4</v>
      </c>
      <c r="B3462">
        <v>3</v>
      </c>
      <c r="C3462">
        <v>2022</v>
      </c>
      <c r="D3462" s="3" t="s">
        <f>B3462&amp;"/"&amp;A3462&amp;"/"&amp;C3462</f>
        <v>3008</v>
      </c>
      <c r="E3462" t="s">
        <v>42</v>
      </c>
      <c r="F3462" t="str">
        <f>I3462&amp;" "&amp;J3462&amp;" "&amp;K3462&amp;" "&amp;L3462&amp;" "&amp;M3462&amp;" "&amp;N3462</f>
        <v>Stay at Courtyard by Marriott Winston</v>
      </c>
      <c r="G3462" t="s">
        <f>TEXT(D3462,"mmm dd")</f>
        <v>1538</v>
      </c>
      <c r="I3462" t="s">
        <v>2398</v>
      </c>
      <c r="J3462" t="s">
        <v>53</v>
      </c>
      <c r="K3462" t="inlineStr">
        <is>
          <t>Courtyard</t>
        </is>
      </c>
      <c r="L3462" t="s">
        <v>2688</v>
      </c>
      <c r="M3462" t="inlineStr">
        <is>
          <t>Marriott</t>
        </is>
      </c>
      <c r="N3462" t="inlineStr">
        <is>
          <t>Winston</t>
        </is>
      </c>
    </row>
    <row r="3463" spans="1:23">
      <c r="A3463">
        <v>5</v>
      </c>
      <c r="B3463">
        <v>3</v>
      </c>
      <c r="C3463">
        <v>2022</v>
      </c>
      <c r="D3463" s="3" t="s">
        <f>B3463&amp;"/"&amp;A3463&amp;"/"&amp;C3463</f>
        <v>3009</v>
      </c>
      <c r="E3463">
        <v>0.16666666666666666</v>
      </c>
      <c r="F3463" t="str">
        <f>I3463&amp;" "&amp;J3463&amp;" "&amp;K3463&amp;" "&amp;L3463&amp;" "&amp;M3463&amp;" "&amp;N3463</f>
        <v>Optional Convention program   </v>
      </c>
      <c r="G3463" t="s">
        <f>TEXT(D3463,"mmm dd")</f>
        <v>1235</v>
      </c>
      <c r="I3463" t="inlineStr">
        <is>
          <t>Optional</t>
        </is>
      </c>
      <c r="J3463" t="s">
        <v>1338</v>
      </c>
      <c r="K3463" t="s">
        <v>1098</v>
      </c>
    </row>
    <row r="3464" spans="1:23">
      <c r="A3464">
        <v>5</v>
      </c>
      <c r="B3464">
        <v>3</v>
      </c>
      <c r="C3464">
        <v>2022</v>
      </c>
      <c r="D3464" s="3" t="s">
        <f>B3464&amp;"/"&amp;A3464&amp;"/"&amp;C3464</f>
        <v>3009</v>
      </c>
      <c r="E3464">
        <v>0.75</v>
      </c>
      <c r="F3464" t="str">
        <f>I3464&amp;" "&amp;J3464&amp;" "&amp;K3464&amp;" "&amp;L3464&amp;" "&amp;M3464&amp;" "&amp;N3464</f>
        <v>Diocesan convention    </v>
      </c>
      <c r="G3464" t="s">
        <f>TEXT(D3464,"mmm dd")</f>
        <v>1235</v>
      </c>
      <c r="I3464" t="s">
        <v>2344</v>
      </c>
      <c r="J3464" t="s">
        <v>1415</v>
      </c>
    </row>
    <row r="3465" spans="1:23">
      <c r="A3465">
        <v>7</v>
      </c>
      <c r="B3465">
        <v>3</v>
      </c>
      <c r="C3465">
        <v>2022</v>
      </c>
      <c r="D3465" s="3" t="str">
        <f>B3465&amp;"/"&amp;A3465&amp;"/"&amp;C3465</f>
        <v>3/7/2022</v>
      </c>
      <c r="E3465">
        <v>0.75</v>
      </c>
      <c r="F3465" t="str">
        <f>I3465&amp;" "&amp;J3465&amp;" "&amp;K3465&amp;" "&amp;L3465&amp;" "&amp;M3465&amp;" "&amp;N3465</f>
        <v>Ah Earnest about 8 am service</v>
      </c>
      <c r="G3465" t="s">
        <f>TEXT(D3465,"mmm dd")</f>
        <v>1239</v>
      </c>
      <c r="I3465" t="inlineStr">
        <is>
          <t>Ah</t>
        </is>
      </c>
      <c r="J3465" t="inlineStr">
        <is>
          <t>Earnest</t>
        </is>
      </c>
      <c r="K3465" t="s">
        <v>2604</v>
      </c>
      <c r="L3465">
        <v>8</v>
      </c>
      <c r="M3465" t="inlineStr">
        <is>
          <t>am</t>
        </is>
      </c>
      <c r="N3465" t="s">
        <v>427</v>
      </c>
    </row>
    <row r="3466" spans="1:23">
      <c r="A3466">
        <v>8</v>
      </c>
      <c r="B3466">
        <v>3</v>
      </c>
      <c r="C3466">
        <v>2022</v>
      </c>
      <c r="D3466" s="3" t="str">
        <f>B3466&amp;"/"&amp;A3466&amp;"/"&amp;C3466</f>
        <v>3/8/2022</v>
      </c>
      <c r="E3466">
        <v>0.71875</v>
      </c>
      <c r="F3466" t="str">
        <f>I3466&amp;" "&amp;J3466&amp;" "&amp;K3466&amp;" "&amp;L3466&amp;" "&amp;M3466&amp;" "&amp;N3466</f>
        <v>Load PayPal. Christina gift  </v>
      </c>
      <c r="G3466" t="s">
        <f>TEXT(D3466,"mmm dd")</f>
        <v>1542</v>
      </c>
      <c r="I3466" t="inlineStr">
        <is>
          <t>Load</t>
        </is>
      </c>
      <c r="J3466" t="inlineStr">
        <is>
          <t>PayPal.</t>
        </is>
      </c>
      <c r="K3466" t="inlineStr">
        <is>
          <t>Christina</t>
        </is>
      </c>
      <c r="L3466" t="s">
        <v>2479</v>
      </c>
    </row>
    <row r="3467" spans="1:23">
      <c r="A3467">
        <v>9</v>
      </c>
      <c r="B3467">
        <v>3</v>
      </c>
      <c r="C3467">
        <v>2022</v>
      </c>
      <c r="D3467" s="3" t="str">
        <f>B3467&amp;"/"&amp;A3467&amp;"/"&amp;C3467</f>
        <v>3/9/2022</v>
      </c>
      <c r="E3467">
        <v>0.85416666666666663</v>
      </c>
      <c r="F3467" t="str">
        <f>I3467&amp;" "&amp;J3467&amp;" "&amp;K3467&amp;" "&amp;L3467&amp;" "&amp;M3467&amp;" "&amp;N3467</f>
        <v>Meet Jack &amp; Jesse Martin re.</v>
      </c>
      <c r="G3467" t="s">
        <f>TEXT(D3467,"mmm dd")</f>
        <v>1545</v>
      </c>
      <c r="I3467" t="s">
        <v>300</v>
      </c>
      <c r="J3467" t="s">
        <v>3010</v>
      </c>
      <c r="K3467" t="s">
        <v>73</v>
      </c>
      <c r="L3467" t="inlineStr">
        <is>
          <t>Jesse</t>
        </is>
      </c>
      <c r="M3467" t="s">
        <v>92</v>
      </c>
      <c r="N3467" t="s">
        <v>633</v>
      </c>
    </row>
    <row r="3468" spans="1:23">
      <c r="A3468">
        <v>10</v>
      </c>
      <c r="B3468">
        <v>3</v>
      </c>
      <c r="C3468">
        <v>2022</v>
      </c>
      <c r="D3468" s="3" t="str">
        <f>B3468&amp;"/"&amp;A3468&amp;"/"&amp;C3468</f>
        <v>3/10/2022</v>
      </c>
      <c r="E3468">
        <v>0.70833333333333337</v>
      </c>
      <c r="F3468" t="s">
        <f>I3468&amp;" "&amp;J3468&amp;" "&amp;K3468&amp;" "&amp;L3468&amp;" "&amp;M3468&amp;" "&amp;N3468</f>
        <v>2988</v>
      </c>
      <c r="G3468" t="s">
        <f>TEXT(D3468,"mmm dd")</f>
        <v>1241</v>
      </c>
      <c r="I3468" t="s">
        <v>2989</v>
      </c>
      <c r="J3468" t="s">
        <v>1514</v>
      </c>
    </row>
    <row r="3469" spans="1:23">
      <c r="A3469">
        <v>12</v>
      </c>
      <c r="B3469">
        <v>3</v>
      </c>
      <c r="C3469">
        <v>2022</v>
      </c>
      <c r="D3469" s="3" t="s">
        <f>B3469&amp;"/"&amp;A3469&amp;"/"&amp;C3469</f>
        <v>3011</v>
      </c>
      <c r="E3469">
        <v>0.70833333333333337</v>
      </c>
      <c r="F3469" t="str">
        <f>I3469&amp;" "&amp;J3469&amp;" "&amp;K3469&amp;" "&amp;L3469&amp;" "&amp;M3469&amp;" "&amp;N3469</f>
        <v>Vestry retreat    </v>
      </c>
      <c r="G3469" t="s">
        <f>TEXT(D3469,"mmm dd")</f>
        <v>1244</v>
      </c>
      <c r="I3469" t="s">
        <v>194</v>
      </c>
      <c r="J3469" t="s">
        <v>1422</v>
      </c>
    </row>
    <row r="3470" spans="1:23">
      <c r="A3470">
        <v>12</v>
      </c>
      <c r="B3470">
        <v>3</v>
      </c>
      <c r="C3470">
        <v>2022</v>
      </c>
      <c r="D3470" s="3" t="s">
        <f>B3470&amp;"/"&amp;A3470&amp;"/"&amp;C3470</f>
        <v>3011</v>
      </c>
      <c r="E3470">
        <v>0.14583333333333334</v>
      </c>
      <c r="F3470" t="s">
        <f>I3470&amp;" "&amp;J3470&amp;" "&amp;K3470&amp;" "&amp;L3470&amp;" "&amp;M3470&amp;" "&amp;N3470</f>
        <v>2851</v>
      </c>
      <c r="G3470" t="s">
        <f>TEXT(D3470,"mmm dd")</f>
        <v>1244</v>
      </c>
      <c r="I3470" t="s">
        <v>1816</v>
      </c>
    </row>
    <row r="3471" spans="1:23">
      <c r="A3471">
        <v>13</v>
      </c>
      <c r="B3471">
        <v>3</v>
      </c>
      <c r="C3471">
        <v>2022</v>
      </c>
      <c r="D3471" s="3" t="str">
        <f>B3471&amp;"/"&amp;A3471&amp;"/"&amp;C3471</f>
        <v>3/13/2022</v>
      </c>
      <c r="E3471">
        <v>0.70833333333333337</v>
      </c>
      <c r="F3471" t="str">
        <f>I3471&amp;" "&amp;J3471&amp;" "&amp;K3471&amp;" "&amp;L3471&amp;" "&amp;M3471&amp;" "&amp;N3471</f>
        <v>Ernest Graham to preach  </v>
      </c>
      <c r="G3471" t="s">
        <f>TEXT(D3471,"mmm dd")</f>
        <v>1553</v>
      </c>
      <c r="I3471" t="inlineStr">
        <is>
          <t>Ernest</t>
        </is>
      </c>
      <c r="J3471" t="inlineStr">
        <is>
          <t>Graham</t>
        </is>
      </c>
      <c r="K3471" t="s">
        <v>449</v>
      </c>
      <c r="L3471" t="s">
        <v>1360</v>
      </c>
    </row>
    <row r="3472" spans="1:23">
      <c r="A3472">
        <v>17</v>
      </c>
      <c r="B3472">
        <v>3</v>
      </c>
      <c r="C3472">
        <v>2022</v>
      </c>
      <c r="D3472" s="3" t="str">
        <f>B3472&amp;"/"&amp;A3472&amp;"/"&amp;C3472</f>
        <v>3/17/2022</v>
      </c>
      <c r="E3472">
        <v>0.83333333333333337</v>
      </c>
      <c r="F3472" t="str">
        <f>I3472&amp;" "&amp;J3472&amp;" "&amp;K3472&amp;" "&amp;L3472&amp;" "&amp;M3472&amp;" "&amp;N3472</f>
        <v>Spectrum service call   </v>
      </c>
      <c r="G3472" t="s">
        <f>TEXT(D3472,"mmm dd")</f>
        <v>1249</v>
      </c>
      <c r="I3472" t="s">
        <v>3012</v>
      </c>
      <c r="J3472" t="s">
        <v>427</v>
      </c>
      <c r="K3472" t="s">
        <v>418</v>
      </c>
    </row>
    <row r="3473" spans="1:23">
      <c r="A3473">
        <v>18</v>
      </c>
      <c r="B3473">
        <v>3</v>
      </c>
      <c r="C3473">
        <v>2022</v>
      </c>
      <c r="D3473" s="3" t="s">
        <f>B3473&amp;"/"&amp;A3473&amp;"/"&amp;C3473</f>
        <v>3013</v>
      </c>
      <c r="E3473">
        <v>0.8125</v>
      </c>
      <c r="F3473" t="str">
        <f>I3473&amp;" "&amp;J3473&amp;" "&amp;K3473&amp;" "&amp;L3473&amp;" "&amp;M3473&amp;" "&amp;N3473</f>
        <v>Martins     </v>
      </c>
      <c r="G3473" t="s">
        <f>TEXT(D3473,"mmm dd")</f>
        <v>1251</v>
      </c>
      <c r="I3473" t="inlineStr">
        <is>
          <t>Martins</t>
        </is>
      </c>
    </row>
    <row r="3474" spans="1:23">
      <c r="A3474">
        <v>18</v>
      </c>
      <c r="B3474">
        <v>3</v>
      </c>
      <c r="C3474">
        <v>2022</v>
      </c>
      <c r="D3474" s="3" t="s">
        <f>B3474&amp;"/"&amp;A3474&amp;"/"&amp;C3474</f>
        <v>3013</v>
      </c>
      <c r="E3474">
        <v>0.70833333333333337</v>
      </c>
      <c r="F3474" t="str">
        <f>I3474&amp;" "&amp;J3474&amp;" "&amp;K3474&amp;" "&amp;L3474&amp;" "&amp;M3474&amp;" "&amp;N3474</f>
        <v>Habitat TV pickup   </v>
      </c>
      <c r="G3474" t="s">
        <f>TEXT(D3474,"mmm dd")</f>
        <v>1251</v>
      </c>
      <c r="I3474" t="inlineStr">
        <is>
          <t>Habitat</t>
        </is>
      </c>
      <c r="J3474" t="inlineStr">
        <is>
          <t>TV</t>
        </is>
      </c>
      <c r="K3474" t="s">
        <v>3014</v>
      </c>
    </row>
    <row r="3475" spans="1:23">
      <c r="A3475">
        <v>20</v>
      </c>
      <c r="B3475">
        <v>3</v>
      </c>
      <c r="C3475">
        <v>2022</v>
      </c>
      <c r="D3475" s="3" t="str">
        <f>B3475&amp;"/"&amp;A3475&amp;"/"&amp;C3475</f>
        <v>3/20/2022</v>
      </c>
      <c r="E3475">
        <v>0.45833333333333331</v>
      </c>
      <c r="F3475" t="s">
        <f>I3475&amp;" "&amp;J3475&amp;" "&amp;K3475&amp;" "&amp;L3475&amp;" "&amp;M3475&amp;" "&amp;N3475</f>
        <v>1840</v>
      </c>
      <c r="G3475" t="s">
        <f>TEXT(D3475,"mmm dd")</f>
        <v>1257</v>
      </c>
      <c r="I3475" t="s">
        <v>1273</v>
      </c>
    </row>
    <row r="3476" spans="1:23">
      <c r="A3476">
        <v>21</v>
      </c>
      <c r="B3476">
        <v>3</v>
      </c>
      <c r="C3476">
        <v>2022</v>
      </c>
      <c r="D3476" s="3" t="str">
        <f>B3476&amp;"/"&amp;A3476&amp;"/"&amp;C3476</f>
        <v>3/21/2022</v>
      </c>
      <c r="E3476">
        <v>0.72916666666666663</v>
      </c>
      <c r="F3476" t="s">
        <f>I3476&amp;" "&amp;J3476&amp;" "&amp;K3476&amp;" "&amp;L3476&amp;" "&amp;M3476&amp;" "&amp;N3476</f>
        <v>2889</v>
      </c>
      <c r="G3476" t="s">
        <f>TEXT(D3476,"mmm dd")</f>
        <v>1263</v>
      </c>
      <c r="I3476" t="s">
        <v>2890</v>
      </c>
      <c r="J3476" t="s">
        <v>2891</v>
      </c>
    </row>
    <row r="3477" spans="1:23">
      <c r="A3477">
        <v>22</v>
      </c>
      <c r="B3477">
        <v>3</v>
      </c>
      <c r="C3477">
        <v>2022</v>
      </c>
      <c r="D3477" s="3" t="str">
        <f>B3477&amp;"/"&amp;A3477&amp;"/"&amp;C3477</f>
        <v>3/22/2022</v>
      </c>
      <c r="E3477">
        <v>0.86458333333333337</v>
      </c>
      <c r="F3477" t="str">
        <f>I3477&amp;" "&amp;J3477&amp;" "&amp;K3477&amp;" "&amp;L3477&amp;" "&amp;M3477&amp;" "&amp;N3477</f>
        <v>See Dr Geary   </v>
      </c>
      <c r="G3477" t="s">
        <f>TEXT(D3477,"mmm dd")</f>
        <v>1886</v>
      </c>
      <c r="I3477" t="s">
        <v>1929</v>
      </c>
      <c r="J3477" t="s">
        <v>1791</v>
      </c>
      <c r="K3477" t="s">
        <v>2537</v>
      </c>
    </row>
    <row r="3478" spans="1:23">
      <c r="A3478">
        <v>5</v>
      </c>
      <c r="B3478">
        <v>4</v>
      </c>
      <c r="C3478">
        <v>2022</v>
      </c>
      <c r="D3478" s="3" t="str">
        <f>B3478&amp;"/"&amp;A3478&amp;"/"&amp;C3478</f>
        <v>4/5/2022</v>
      </c>
      <c r="E3478">
        <v>0.83333333333333337</v>
      </c>
      <c r="F3478" t="str">
        <f>I3478&amp;" "&amp;J3478&amp;" "&amp;K3478&amp;" "&amp;L3478&amp;" "&amp;M3478&amp;" "&amp;N3478</f>
        <v>Errands     </v>
      </c>
      <c r="G3478" t="s">
        <f>TEXT(D3478,"mmm dd")</f>
        <v>108</v>
      </c>
      <c r="I3478" t="inlineStr">
        <is>
          <t>Errands</t>
        </is>
      </c>
    </row>
    <row r="3479" spans="1:23">
      <c r="A3479">
        <v>7</v>
      </c>
      <c r="B3479">
        <v>4</v>
      </c>
      <c r="C3479">
        <v>2022</v>
      </c>
      <c r="D3479" s="3" t="str">
        <f>B3479&amp;"/"&amp;A3479&amp;"/"&amp;C3479</f>
        <v>4/7/2022</v>
      </c>
      <c r="E3479">
        <v>0.66666666666666663</v>
      </c>
      <c r="F3479" t="s">
        <f>I3479&amp;" "&amp;J3479&amp;" "&amp;K3479&amp;" "&amp;L3479&amp;" "&amp;M3479&amp;" "&amp;N3479</f>
        <v>2913</v>
      </c>
      <c r="G3479" t="s">
        <f>TEXT(D3479,"mmm dd")</f>
        <v>125</v>
      </c>
      <c r="I3479" t="s">
        <v>2829</v>
      </c>
      <c r="J3479">
        <v>6</v>
      </c>
      <c r="K3479" t="s">
        <v>2914</v>
      </c>
      <c r="L3479" t="s">
        <v>2323</v>
      </c>
      <c r="M3479" t="s">
        <v>807</v>
      </c>
    </row>
    <row r="3480" spans="1:23">
      <c r="A3480">
        <v>8</v>
      </c>
      <c r="B3480">
        <v>4</v>
      </c>
      <c r="C3480">
        <v>2022</v>
      </c>
      <c r="D3480" s="3" t="str">
        <f>B3480&amp;"/"&amp;A3480&amp;"/"&amp;C3480</f>
        <v>4/8/2022</v>
      </c>
      <c r="E3480">
        <v>0.82291666666666663</v>
      </c>
      <c r="F3480" t="str">
        <f>I3480&amp;" "&amp;J3480&amp;" "&amp;K3480&amp;" "&amp;L3480&amp;" "&amp;M3480&amp;" "&amp;N3480</f>
        <v>Jack &amp; Jessie Martyn’s conversation </v>
      </c>
      <c r="G3480" t="s">
        <f>TEXT(D3480,"mmm dd")</f>
        <v>141</v>
      </c>
      <c r="I3480" t="s">
        <v>3010</v>
      </c>
      <c r="J3480" t="s">
        <v>73</v>
      </c>
      <c r="K3480" t="inlineStr">
        <is>
          <t>Jessie</t>
        </is>
      </c>
      <c r="L3480" t="inlineStr">
        <is>
          <t>Martyn’s</t>
        </is>
      </c>
      <c r="M3480" t="inlineStr">
        <is>
          <t>conversation</t>
        </is>
      </c>
    </row>
    <row r="3481" spans="1:23">
      <c r="A3481">
        <v>11</v>
      </c>
      <c r="B3481">
        <v>4</v>
      </c>
      <c r="C3481">
        <v>2022</v>
      </c>
      <c r="D3481" s="3" t="str">
        <f>B3481&amp;"/"&amp;A3481&amp;"/"&amp;C3481</f>
        <v>4/11/2022</v>
      </c>
      <c r="E3481">
        <v>0.875</v>
      </c>
      <c r="F3481" t="str">
        <f>I3481&amp;" "&amp;J3481&amp;" "&amp;K3481&amp;" "&amp;L3481&amp;" "&amp;M3481&amp;" "&amp;N3481</f>
        <v>Priscilla Gaertner    </v>
      </c>
      <c r="G3481" t="s">
        <f>TEXT(D3481,"mmm dd")</f>
        <v>161</v>
      </c>
      <c r="I3481" t="inlineStr">
        <is>
          <t>Priscilla</t>
        </is>
      </c>
      <c r="J3481" t="s">
        <v>3015</v>
      </c>
    </row>
    <row r="3482" spans="1:23">
      <c r="A3482">
        <v>14</v>
      </c>
      <c r="B3482">
        <v>4</v>
      </c>
      <c r="C3482">
        <v>2022</v>
      </c>
      <c r="D3482" s="3" t="str">
        <f>B3482&amp;"/"&amp;A3482&amp;"/"&amp;C3482</f>
        <v>4/14/2022</v>
      </c>
      <c r="E3482">
        <v>1.0208333333333333</v>
      </c>
      <c r="F3482" t="s">
        <f>I3482&amp;" "&amp;J3482&amp;" "&amp;K3482&amp;" "&amp;L3482&amp;" "&amp;M3482&amp;" "&amp;N3482</f>
        <v>1907</v>
      </c>
      <c r="G3482" t="s">
        <f>TEXT(D3482,"mmm dd")</f>
        <v>1576</v>
      </c>
      <c r="I3482" t="s">
        <v>1564</v>
      </c>
      <c r="J3482" t="s">
        <v>1908</v>
      </c>
    </row>
    <row r="3483" spans="1:23">
      <c r="A3483">
        <v>15</v>
      </c>
      <c r="B3483">
        <v>4</v>
      </c>
      <c r="C3483">
        <v>2022</v>
      </c>
      <c r="D3483" s="3" t="str">
        <f>B3483&amp;"/"&amp;A3483&amp;"/"&amp;C3483</f>
        <v>4/15/2022</v>
      </c>
      <c r="E3483">
        <v>1.0416666666666667</v>
      </c>
      <c r="F3483" t="s">
        <f>I3483&amp;" "&amp;J3483&amp;" "&amp;K3483&amp;" "&amp;L3483&amp;" "&amp;M3483&amp;" "&amp;N3483</f>
        <v>1909</v>
      </c>
      <c r="G3483" t="s">
        <f>TEXT(D3483,"mmm dd")</f>
        <v>179</v>
      </c>
      <c r="I3483" t="s">
        <v>1268</v>
      </c>
      <c r="J3483" t="s">
        <v>512</v>
      </c>
    </row>
    <row r="3484" spans="1:23">
      <c r="A3484">
        <v>16</v>
      </c>
      <c r="B3484">
        <v>4</v>
      </c>
      <c r="C3484">
        <v>2022</v>
      </c>
      <c r="D3484" s="3" t="str">
        <f>B3484&amp;"/"&amp;A3484&amp;"/"&amp;C3484</f>
        <v>4/16/2022</v>
      </c>
      <c r="E3484">
        <v>1.0416666666666667</v>
      </c>
      <c r="F3484" t="s">
        <f>I3484&amp;" "&amp;J3484&amp;" "&amp;K3484&amp;" "&amp;L3484&amp;" "&amp;M3484&amp;" "&amp;N3484</f>
        <v>3016</v>
      </c>
      <c r="G3484" t="s">
        <f>TEXT(D3484,"mmm dd")</f>
        <v>184</v>
      </c>
      <c r="I3484" t="s">
        <v>1568</v>
      </c>
      <c r="J3484" t="s">
        <v>2511</v>
      </c>
    </row>
    <row r="3485" spans="1:23">
      <c r="A3485">
        <v>17</v>
      </c>
      <c r="B3485">
        <v>4</v>
      </c>
      <c r="C3485">
        <v>2022</v>
      </c>
      <c r="D3485" s="3" t="str">
        <f>B3485&amp;"/"&amp;A3485&amp;"/"&amp;C3485</f>
        <v>4/17/2022</v>
      </c>
      <c r="E3485">
        <v>0.54166666666666663</v>
      </c>
      <c r="F3485" t="str">
        <f>I3485&amp;" "&amp;J3485&amp;" "&amp;K3485&amp;" "&amp;L3485&amp;" "&amp;M3485&amp;" "&amp;N3485</f>
        <v>Easter Mass    </v>
      </c>
      <c r="G3485" t="s">
        <f>TEXT(D3485,"mmm dd")</f>
        <v>187</v>
      </c>
      <c r="I3485" t="s">
        <v>1568</v>
      </c>
      <c r="J3485" t="s">
        <v>1273</v>
      </c>
    </row>
    <row r="3486" spans="1:23">
      <c r="A3486">
        <v>18</v>
      </c>
      <c r="B3486">
        <v>4</v>
      </c>
      <c r="C3486">
        <v>2022</v>
      </c>
      <c r="D3486" s="3" t="s">
        <f>B3486&amp;"/"&amp;A3486&amp;"/"&amp;C3486</f>
        <v>3017</v>
      </c>
      <c r="E3486">
        <v>0.875</v>
      </c>
      <c r="F3486" t="str">
        <f>I3486&amp;" "&amp;J3486&amp;" "&amp;K3486&amp;" "&amp;L3486&amp;" "&amp;M3486&amp;" "&amp;N3486</f>
        <v>Gaertner funeral    </v>
      </c>
      <c r="G3486" t="s">
        <f>TEXT(D3486,"mmm dd")</f>
        <v>193</v>
      </c>
      <c r="I3486" t="s">
        <v>3015</v>
      </c>
      <c r="J3486" t="s">
        <v>1116</v>
      </c>
    </row>
    <row r="3487" spans="1:23">
      <c r="A3487">
        <v>18</v>
      </c>
      <c r="B3487">
        <v>4</v>
      </c>
      <c r="C3487">
        <v>2022</v>
      </c>
      <c r="D3487" s="3" t="s">
        <f>B3487&amp;"/"&amp;A3487&amp;"/"&amp;C3487</f>
        <v>3017</v>
      </c>
      <c r="E3487">
        <v>0.75</v>
      </c>
      <c r="F3487" t="str">
        <f>I3487&amp;" "&amp;J3487&amp;" "&amp;K3487&amp;" "&amp;L3487&amp;" "&amp;M3487&amp;" "&amp;N3487</f>
        <v>Call Gary Nolls for Thursday? </v>
      </c>
      <c r="G3487" t="s">
        <f>TEXT(D3487,"mmm dd")</f>
        <v>193</v>
      </c>
      <c r="I3487" t="s">
        <v>1028</v>
      </c>
      <c r="J3487" t="s">
        <v>1870</v>
      </c>
      <c r="K3487" t="inlineStr">
        <is>
          <t>Nolls</t>
        </is>
      </c>
      <c r="L3487" t="s">
        <v>439</v>
      </c>
      <c r="M3487" t="inlineStr">
        <is>
          <t>Thursday?</t>
        </is>
      </c>
    </row>
    <row r="3488" spans="1:23">
      <c r="A3488">
        <v>19</v>
      </c>
      <c r="B3488">
        <v>4</v>
      </c>
      <c r="C3488">
        <v>2022</v>
      </c>
      <c r="D3488" s="3" t="str">
        <f>B3488&amp;"/"&amp;A3488&amp;"/"&amp;C3488</f>
        <v>4/19/2022</v>
      </c>
      <c r="E3488">
        <v>0.75</v>
      </c>
      <c r="F3488" t="str">
        <f>I3488&amp;" "&amp;J3488&amp;" "&amp;K3488&amp;" "&amp;L3488&amp;" "&amp;M3488&amp;" "&amp;N3488</f>
        <v>Morris funeral    </v>
      </c>
      <c r="G3488" t="s">
        <f>TEXT(D3488,"mmm dd")</f>
        <v>196</v>
      </c>
      <c r="I3488" t="inlineStr">
        <is>
          <t>Morris</t>
        </is>
      </c>
      <c r="J3488" t="s">
        <v>1116</v>
      </c>
    </row>
    <row r="3489" spans="1:23">
      <c r="A3489">
        <v>20</v>
      </c>
      <c r="B3489">
        <v>4</v>
      </c>
      <c r="C3489">
        <v>2022</v>
      </c>
      <c r="D3489" s="3" t="s">
        <f>B3489&amp;"/"&amp;A3489&amp;"/"&amp;C3489</f>
        <v>3018</v>
      </c>
      <c r="E3489" t="s">
        <v>42</v>
      </c>
      <c r="F3489" t="s">
        <f>I3489&amp;" "&amp;J3489&amp;" "&amp;K3489&amp;" "&amp;L3489&amp;" "&amp;M3489&amp;" "&amp;N3489</f>
        <v>3019</v>
      </c>
      <c r="G3489" t="s">
        <f>TEXT(D3489,"mmm dd")</f>
        <v>204</v>
      </c>
      <c r="I3489" t="s">
        <v>3020</v>
      </c>
      <c r="J3489" t="s">
        <v>319</v>
      </c>
    </row>
    <row r="3490" spans="1:23">
      <c r="A3490">
        <v>20</v>
      </c>
      <c r="B3490">
        <v>4</v>
      </c>
      <c r="C3490">
        <v>2022</v>
      </c>
      <c r="D3490" s="3" t="s">
        <f>B3490&amp;"/"&amp;A3490&amp;"/"&amp;C3490</f>
        <v>3018</v>
      </c>
      <c r="E3490">
        <v>1.0625</v>
      </c>
      <c r="F3490" t="s">
        <f>I3490&amp;" "&amp;J3490&amp;" "&amp;K3490&amp;" "&amp;L3490&amp;" "&amp;M3490&amp;" "&amp;N3490</f>
        <v>3019</v>
      </c>
      <c r="G3490" t="s">
        <f>TEXT(D3490,"mmm dd")</f>
        <v>204</v>
      </c>
      <c r="I3490" t="s">
        <v>3020</v>
      </c>
      <c r="J3490" t="s">
        <v>319</v>
      </c>
    </row>
    <row r="3491" spans="1:23">
      <c r="A3491">
        <v>20</v>
      </c>
      <c r="B3491">
        <v>4</v>
      </c>
      <c r="C3491">
        <v>2022</v>
      </c>
      <c r="D3491" s="3" t="s">
        <f>B3491&amp;"/"&amp;A3491&amp;"/"&amp;C3491</f>
        <v>3018</v>
      </c>
      <c r="E3491">
        <v>0.52083333333333337</v>
      </c>
      <c r="F3491" t="str">
        <f>I3491&amp;" "&amp;J3491&amp;" "&amp;K3491&amp;" "&amp;L3491&amp;" "&amp;M3491&amp;" "&amp;N3491</f>
        <v>Send e card to Peter </v>
      </c>
      <c r="G3491" t="s">
        <f>TEXT(D3491,"mmm dd")</f>
        <v>204</v>
      </c>
      <c r="I3491" t="s">
        <v>1566</v>
      </c>
      <c r="J3491" t="inlineStr">
        <is>
          <t>e</t>
        </is>
      </c>
      <c r="K3491" t="s">
        <v>2480</v>
      </c>
      <c r="L3491" t="s">
        <v>449</v>
      </c>
      <c r="M3491" t="s">
        <v>604</v>
      </c>
    </row>
    <row r="3492" spans="1:23">
      <c r="A3492">
        <v>21</v>
      </c>
      <c r="B3492">
        <v>4</v>
      </c>
      <c r="C3492">
        <v>2022</v>
      </c>
      <c r="D3492" s="3" t="str">
        <f>B3492&amp;"/"&amp;A3492&amp;"/"&amp;C3492</f>
        <v>4/21/2022</v>
      </c>
      <c r="E3492">
        <v>0.61458333333333337</v>
      </c>
      <c r="F3492" t="str">
        <f>I3492&amp;" "&amp;J3492&amp;" "&amp;K3492&amp;" "&amp;L3492&amp;" "&amp;M3492&amp;" "&amp;N3492</f>
        <v>Kia servicing    </v>
      </c>
      <c r="G3492" t="s">
        <f>TEXT(D3492,"mmm dd")</f>
        <v>211</v>
      </c>
      <c r="I3492" t="s">
        <v>1370</v>
      </c>
      <c r="J3492" t="s">
        <v>3021</v>
      </c>
    </row>
    <row r="3493" spans="1:23">
      <c r="A3493">
        <v>22</v>
      </c>
      <c r="B3493">
        <v>4</v>
      </c>
      <c r="C3493">
        <v>2022</v>
      </c>
      <c r="D3493" s="3" t="str">
        <f>B3493&amp;"/"&amp;A3493&amp;"/"&amp;C3493</f>
        <v>4/22/2022</v>
      </c>
      <c r="E3493">
        <v>0.95833333333333337</v>
      </c>
      <c r="F3493" t="s">
        <f>I3493&amp;" "&amp;J3493&amp;" "&amp;K3493&amp;" "&amp;L3493&amp;" "&amp;M3493&amp;" "&amp;N3493</f>
        <v>2975</v>
      </c>
      <c r="G3493" t="s">
        <f>TEXT(D3493,"mmm dd")</f>
        <v>215</v>
      </c>
      <c r="I3493" t="s">
        <v>2813</v>
      </c>
      <c r="J3493" t="s">
        <v>2897</v>
      </c>
      <c r="K3493" t="s">
        <v>2419</v>
      </c>
    </row>
    <row r="3494" spans="1:23">
      <c r="A3494">
        <v>23</v>
      </c>
      <c r="B3494">
        <v>4</v>
      </c>
      <c r="C3494">
        <v>2022</v>
      </c>
      <c r="D3494" s="3" t="str">
        <f>B3494&amp;"/"&amp;A3494&amp;"/"&amp;C3494</f>
        <v>4/23/2022</v>
      </c>
      <c r="E3494">
        <v>1.1041666666666667</v>
      </c>
      <c r="F3494" t="s">
        <f>I3494&amp;" "&amp;J3494&amp;" "&amp;K3494&amp;" "&amp;L3494&amp;" "&amp;M3494&amp;" "&amp;N3494</f>
        <v>2851</v>
      </c>
      <c r="G3494" t="s">
        <f>TEXT(D3494,"mmm dd")</f>
        <v>221</v>
      </c>
      <c r="I3494" t="s">
        <v>1816</v>
      </c>
    </row>
    <row r="3495" spans="1:23">
      <c r="A3495">
        <v>24</v>
      </c>
      <c r="B3495">
        <v>4</v>
      </c>
      <c r="C3495">
        <v>2022</v>
      </c>
      <c r="D3495" s="3" t="str">
        <f>B3495&amp;"/"&amp;A3495&amp;"/"&amp;C3495</f>
        <v>4/24/2022</v>
      </c>
      <c r="E3495" t="s">
        <v>42</v>
      </c>
      <c r="F3495" t="s">
        <f>I3495&amp;" "&amp;J3495&amp;" "&amp;K3495&amp;" "&amp;L3495&amp;" "&amp;M3495&amp;" "&amp;N3495</f>
        <v>3022</v>
      </c>
      <c r="G3495" t="s">
        <f>TEXT(D3495,"mmm dd")</f>
        <v>224</v>
      </c>
      <c r="I3495" t="s">
        <v>1971</v>
      </c>
      <c r="J3495" t="s">
        <v>449</v>
      </c>
      <c r="K3495" t="s">
        <v>1563</v>
      </c>
      <c r="L3495" t="s">
        <v>1730</v>
      </c>
    </row>
    <row r="3496" spans="1:23">
      <c r="A3496">
        <v>25</v>
      </c>
      <c r="B3496">
        <v>4</v>
      </c>
      <c r="C3496">
        <v>2022</v>
      </c>
      <c r="D3496" s="3" t="str">
        <f>B3496&amp;"/"&amp;A3496&amp;"/"&amp;C3496</f>
        <v>4/25/2022</v>
      </c>
      <c r="E3496" t="s">
        <v>42</v>
      </c>
      <c r="F3496" t="s">
        <f>I3496&amp;" "&amp;J3496&amp;" "&amp;K3496&amp;" "&amp;L3496&amp;" "&amp;M3496&amp;" "&amp;N3496</f>
        <v>3022</v>
      </c>
      <c r="G3496" t="s">
        <f>TEXT(D3496,"mmm dd")</f>
        <v>227</v>
      </c>
      <c r="I3496" t="s">
        <v>1971</v>
      </c>
      <c r="J3496" t="s">
        <v>449</v>
      </c>
      <c r="K3496" t="s">
        <v>1563</v>
      </c>
      <c r="L3496" t="s">
        <v>1730</v>
      </c>
    </row>
    <row r="3497" spans="1:23">
      <c r="A3497">
        <v>26</v>
      </c>
      <c r="B3497">
        <v>4</v>
      </c>
      <c r="C3497">
        <v>2022</v>
      </c>
      <c r="D3497" s="3" t="s">
        <f>B3497&amp;"/"&amp;A3497&amp;"/"&amp;C3497</f>
        <v>3023</v>
      </c>
      <c r="E3497">
        <v>0.62152777777777779</v>
      </c>
      <c r="F3497" t="str">
        <f>I3497&amp;" "&amp;J3497&amp;" "&amp;K3497&amp;" "&amp;L3497&amp;" "&amp;M3497&amp;" "&amp;N3497</f>
        <v>Meet painters    </v>
      </c>
      <c r="G3497" t="s">
        <f>TEXT(D3497,"mmm dd")</f>
        <v>232</v>
      </c>
      <c r="I3497" t="s">
        <v>300</v>
      </c>
      <c r="J3497" t="inlineStr">
        <is>
          <t>painters</t>
        </is>
      </c>
    </row>
    <row r="3498" spans="1:23">
      <c r="A3498">
        <v>26</v>
      </c>
      <c r="B3498">
        <v>4</v>
      </c>
      <c r="C3498">
        <v>2022</v>
      </c>
      <c r="D3498" s="3" t="s">
        <f>B3498&amp;"/"&amp;A3498&amp;"/"&amp;C3498</f>
        <v>3023</v>
      </c>
      <c r="E3498">
        <v>0.64583333333333337</v>
      </c>
      <c r="F3498" t="str">
        <f>I3498&amp;" "&amp;J3498&amp;" "&amp;K3498&amp;" "&amp;L3498&amp;" "&amp;M3498&amp;" "&amp;N3498</f>
        <v>Check mail    </v>
      </c>
      <c r="G3498" t="s">
        <f>TEXT(D3498,"mmm dd")</f>
        <v>232</v>
      </c>
      <c r="I3498" t="s">
        <v>2363</v>
      </c>
      <c r="J3498" t="inlineStr">
        <is>
          <t>mail</t>
        </is>
      </c>
    </row>
    <row r="3499" spans="1:23">
      <c r="A3499">
        <v>1</v>
      </c>
      <c r="B3499">
        <v>5</v>
      </c>
      <c r="C3499">
        <v>2022</v>
      </c>
      <c r="D3499" s="3" t="str">
        <f>B3499&amp;"/"&amp;A3499&amp;"/"&amp;C3499</f>
        <v>5/1/2022</v>
      </c>
      <c r="E3499">
        <v>0.77083333333333337</v>
      </c>
      <c r="F3499" t="str">
        <f>I3499&amp;" "&amp;J3499&amp;" "&amp;K3499&amp;" "&amp;L3499&amp;" "&amp;M3499&amp;" "&amp;N3499</f>
        <v>Farewell party    </v>
      </c>
      <c r="G3499" t="s">
        <f>TEXT(D3499,"mmm dd")</f>
        <v>249</v>
      </c>
      <c r="I3499" t="s">
        <v>1945</v>
      </c>
      <c r="J3499" t="s">
        <v>1346</v>
      </c>
    </row>
    <row r="3500" spans="1:23">
      <c r="A3500">
        <v>2</v>
      </c>
      <c r="B3500">
        <v>5</v>
      </c>
      <c r="C3500">
        <v>2022</v>
      </c>
      <c r="D3500" s="3" t="str">
        <f>B3500&amp;"/"&amp;A3500&amp;"/"&amp;C3500</f>
        <v>5/2/2022</v>
      </c>
      <c r="E3500">
        <v>0.83333333333333337</v>
      </c>
      <c r="F3500" t="str">
        <f>I3500&amp;" "&amp;J3500&amp;" "&amp;K3500&amp;" "&amp;L3500&amp;" "&amp;M3500&amp;" "&amp;N3500</f>
        <v>Dr. Matthews periodontist   </v>
      </c>
      <c r="G3500" t="s">
        <f>TEXT(D3500,"mmm dd")</f>
        <v>256</v>
      </c>
      <c r="I3500" t="s">
        <v>847</v>
      </c>
      <c r="J3500" t="s">
        <v>2513</v>
      </c>
      <c r="K3500" t="s">
        <v>2510</v>
      </c>
    </row>
    <row r="3501" spans="1:23">
      <c r="A3501">
        <v>4</v>
      </c>
      <c r="B3501">
        <v>5</v>
      </c>
      <c r="C3501">
        <v>2022</v>
      </c>
      <c r="D3501" s="3" t="s">
        <f>B3501&amp;"/"&amp;A3501&amp;"/"&amp;C3501</f>
        <v>3024</v>
      </c>
      <c r="E3501">
        <v>0.75</v>
      </c>
      <c r="F3501" t="str">
        <f>I3501&amp;" "&amp;J3501&amp;" "&amp;K3501&amp;" "&amp;L3501&amp;" "&amp;M3501&amp;" "&amp;N3501</f>
        <v>Call Varsity Club re May 4</v>
      </c>
      <c r="G3501" t="s">
        <f>TEXT(D3501,"mmm dd")</f>
        <v>268</v>
      </c>
      <c r="I3501" t="s">
        <v>1028</v>
      </c>
      <c r="J3501" t="s">
        <v>2399</v>
      </c>
      <c r="K3501" t="s">
        <v>1527</v>
      </c>
      <c r="L3501" t="s">
        <v>594</v>
      </c>
      <c r="M3501" t="s">
        <v>375</v>
      </c>
      <c r="N3501">
        <v>4</v>
      </c>
    </row>
    <row r="3502" spans="1:23">
      <c r="A3502">
        <v>4</v>
      </c>
      <c r="B3502">
        <v>5</v>
      </c>
      <c r="C3502">
        <v>2022</v>
      </c>
      <c r="D3502" s="3" t="s">
        <f>B3502&amp;"/"&amp;A3502&amp;"/"&amp;C3502</f>
        <v>3024</v>
      </c>
      <c r="E3502" t="s">
        <v>42</v>
      </c>
      <c r="F3502" t="s">
        <f>I3502&amp;" "&amp;J3502&amp;" "&amp;K3502&amp;" "&amp;L3502&amp;" "&amp;M3502&amp;" "&amp;N3502</f>
        <v>2397</v>
      </c>
      <c r="G3502" t="s">
        <f>TEXT(D3502,"mmm dd")</f>
        <v>268</v>
      </c>
      <c r="I3502" t="s">
        <v>2398</v>
      </c>
      <c r="J3502" t="s">
        <v>53</v>
      </c>
      <c r="K3502" t="s">
        <v>2399</v>
      </c>
      <c r="L3502" t="s">
        <v>2400</v>
      </c>
      <c r="M3502" t="s">
        <v>86</v>
      </c>
      <c r="N3502" t="s">
        <v>1856</v>
      </c>
    </row>
    <row r="3503" spans="1:23">
      <c r="A3503">
        <v>5</v>
      </c>
      <c r="B3503">
        <v>5</v>
      </c>
      <c r="C3503">
        <v>2022</v>
      </c>
      <c r="D3503" s="3" t="str">
        <f>B3503&amp;"/"&amp;A3503&amp;"/"&amp;C3503</f>
        <v>5/5/2022</v>
      </c>
      <c r="E3503" t="s">
        <v>42</v>
      </c>
      <c r="F3503" t="s">
        <f>I3503&amp;" "&amp;J3503&amp;" "&amp;K3503&amp;" "&amp;L3503&amp;" "&amp;M3503&amp;" "&amp;N3503</f>
        <v>2397</v>
      </c>
      <c r="G3503" t="s">
        <f>TEXT(D3503,"mmm dd")</f>
        <v>2212</v>
      </c>
      <c r="I3503" t="s">
        <v>2398</v>
      </c>
      <c r="J3503" t="s">
        <v>53</v>
      </c>
      <c r="K3503" t="s">
        <v>2399</v>
      </c>
      <c r="L3503" t="s">
        <v>2400</v>
      </c>
      <c r="M3503" t="s">
        <v>86</v>
      </c>
      <c r="N3503" t="s">
        <v>1856</v>
      </c>
    </row>
    <row r="3504" spans="1:23">
      <c r="A3504">
        <v>7</v>
      </c>
      <c r="B3504">
        <v>5</v>
      </c>
      <c r="C3504">
        <v>2022</v>
      </c>
      <c r="D3504" s="3" t="str">
        <f>B3504&amp;"/"&amp;A3504&amp;"/"&amp;C3504</f>
        <v>5/7/2022</v>
      </c>
      <c r="E3504">
        <v>0.78125</v>
      </c>
      <c r="F3504" t="str">
        <f>I3504&amp;" "&amp;J3504&amp;" "&amp;K3504&amp;" "&amp;L3504&amp;" "&amp;M3504&amp;" "&amp;N3504</f>
        <v>Wedding     </v>
      </c>
      <c r="G3504" t="s">
        <f>TEXT(D3504,"mmm dd")</f>
        <v>279</v>
      </c>
      <c r="I3504" t="s">
        <v>526</v>
      </c>
    </row>
    <row r="3505" spans="1:23">
      <c r="A3505">
        <v>12</v>
      </c>
      <c r="B3505">
        <v>5</v>
      </c>
      <c r="C3505">
        <v>2022</v>
      </c>
      <c r="D3505" s="3" t="s">
        <f>B3505&amp;"/"&amp;A3505&amp;"/"&amp;C3505</f>
        <v>3025</v>
      </c>
      <c r="E3505">
        <v>0.77083333333333337</v>
      </c>
      <c r="F3505" t="s">
        <f>I3505&amp;" "&amp;J3505&amp;" "&amp;K3505&amp;" "&amp;L3505&amp;" "&amp;M3505&amp;" "&amp;N3505</f>
        <v>2889</v>
      </c>
      <c r="G3505" t="s">
        <f>TEXT(D3505,"mmm dd")</f>
        <v>317</v>
      </c>
      <c r="I3505" t="s">
        <v>2890</v>
      </c>
      <c r="J3505" t="s">
        <v>2891</v>
      </c>
    </row>
    <row r="3506" spans="1:23">
      <c r="A3506">
        <v>12</v>
      </c>
      <c r="B3506">
        <v>5</v>
      </c>
      <c r="C3506">
        <v>2022</v>
      </c>
      <c r="D3506" s="3" t="s">
        <f>B3506&amp;"/"&amp;A3506&amp;"/"&amp;C3506</f>
        <v>3025</v>
      </c>
      <c r="E3506">
        <v>0.9375</v>
      </c>
      <c r="F3506" t="str">
        <f>I3506&amp;" "&amp;J3506&amp;" "&amp;K3506&amp;" "&amp;L3506&amp;" "&amp;M3506&amp;" "&amp;N3506</f>
        <v>Call Scott    </v>
      </c>
      <c r="G3506" t="s">
        <f>TEXT(D3506,"mmm dd")</f>
        <v>317</v>
      </c>
      <c r="I3506" t="s">
        <v>1028</v>
      </c>
      <c r="J3506" t="s">
        <v>917</v>
      </c>
    </row>
    <row r="3507" spans="1:23">
      <c r="A3507">
        <v>13</v>
      </c>
      <c r="B3507">
        <v>5</v>
      </c>
      <c r="C3507">
        <v>2022</v>
      </c>
      <c r="D3507" s="3" t="str">
        <f>B3507&amp;"/"&amp;A3507&amp;"/"&amp;C3507</f>
        <v>5/13/2022</v>
      </c>
      <c r="E3507" t="s">
        <v>42</v>
      </c>
      <c r="F3507" t="str">
        <f>I3507&amp;" "&amp;J3507&amp;" "&amp;K3507&amp;" "&amp;L3507&amp;" "&amp;M3507&amp;" "&amp;N3507</f>
        <v>60 days notice to FirstKey </v>
      </c>
      <c r="G3507" t="s">
        <f>TEXT(D3507,"mmm dd")</f>
        <v>321</v>
      </c>
      <c r="I3507">
        <v>60</v>
      </c>
      <c r="J3507" t="inlineStr">
        <is>
          <t>days</t>
        </is>
      </c>
      <c r="K3507" t="inlineStr">
        <is>
          <t>notice</t>
        </is>
      </c>
      <c r="L3507" t="s">
        <v>449</v>
      </c>
      <c r="M3507" t="inlineStr">
        <is>
          <t>FirstKey</t>
        </is>
      </c>
    </row>
    <row r="3508" spans="1:23">
      <c r="A3508">
        <v>17</v>
      </c>
      <c r="B3508">
        <v>5</v>
      </c>
      <c r="C3508">
        <v>2022</v>
      </c>
      <c r="D3508" s="3" t="str">
        <f>B3508&amp;"/"&amp;A3508&amp;"/"&amp;C3508</f>
        <v>5/17/2022</v>
      </c>
      <c r="E3508">
        <v>0.70833333333333337</v>
      </c>
      <c r="F3508" t="str">
        <f>I3508&amp;" "&amp;J3508&amp;" "&amp;K3508&amp;" "&amp;L3508&amp;" "&amp;M3508&amp;" "&amp;N3508</f>
        <v>Rachel Matthews root canal  </v>
      </c>
      <c r="G3508" t="s">
        <f>TEXT(D3508,"mmm dd")</f>
        <v>335</v>
      </c>
      <c r="I3508" t="inlineStr">
        <is>
          <t>Rachel</t>
        </is>
      </c>
      <c r="J3508" t="s">
        <v>2513</v>
      </c>
      <c r="K3508" t="inlineStr">
        <is>
          <t>root</t>
        </is>
      </c>
      <c r="L3508" t="s">
        <v>2423</v>
      </c>
    </row>
    <row r="3509" spans="1:23">
      <c r="A3509">
        <v>19</v>
      </c>
      <c r="B3509">
        <v>5</v>
      </c>
      <c r="C3509">
        <v>2022</v>
      </c>
      <c r="D3509" s="3" t="str">
        <f>B3509&amp;"/"&amp;A3509&amp;"/"&amp;C3509</f>
        <v>5/19/2022</v>
      </c>
      <c r="E3509">
        <v>0.65625</v>
      </c>
      <c r="F3509" t="str">
        <f>I3509&amp;" "&amp;J3509&amp;" "&amp;K3509&amp;" "&amp;L3509&amp;" "&amp;M3509&amp;" "&amp;N3509</f>
        <v>Dr Geary permanent filling  </v>
      </c>
      <c r="G3509" t="s">
        <f>TEXT(D3509,"mmm dd")</f>
        <v>344</v>
      </c>
      <c r="I3509" t="s">
        <v>1791</v>
      </c>
      <c r="J3509" t="s">
        <v>2537</v>
      </c>
      <c r="K3509" t="inlineStr">
        <is>
          <t>permanent</t>
        </is>
      </c>
      <c r="L3509" t="inlineStr">
        <is>
          <t>filling</t>
        </is>
      </c>
    </row>
    <row r="3510" spans="1:23">
      <c r="A3510">
        <v>21</v>
      </c>
      <c r="B3510">
        <v>5</v>
      </c>
      <c r="C3510">
        <v>2022</v>
      </c>
      <c r="D3510" s="3" t="str">
        <f>B3510&amp;"/"&amp;A3510&amp;"/"&amp;C3510</f>
        <v>5/21/2022</v>
      </c>
      <c r="E3510">
        <v>1.1041666666666667</v>
      </c>
      <c r="F3510" t="s">
        <f>I3510&amp;" "&amp;J3510&amp;" "&amp;K3510&amp;" "&amp;L3510&amp;" "&amp;M3510&amp;" "&amp;N3510</f>
        <v>2851</v>
      </c>
      <c r="G3510" t="s">
        <f>TEXT(D3510,"mmm dd")</f>
        <v>354</v>
      </c>
      <c r="I3510" t="s">
        <v>1816</v>
      </c>
    </row>
    <row r="3511" spans="1:23">
      <c r="A3511">
        <v>2</v>
      </c>
      <c r="B3511">
        <v>6</v>
      </c>
      <c r="C3511">
        <v>2022</v>
      </c>
      <c r="D3511" s="3" t="s">
        <f>B3511&amp;"/"&amp;A3511&amp;"/"&amp;C3511</f>
        <v>3026</v>
      </c>
      <c r="E3511">
        <v>1.0208333333333333</v>
      </c>
      <c r="F3511" t="str">
        <f>I3511&amp;" "&amp;J3511&amp;" "&amp;K3511&amp;" "&amp;L3511&amp;" "&amp;M3511&amp;" "&amp;N3511</f>
        <v>dinner with Askews   </v>
      </c>
      <c r="G3511" t="s">
        <f>TEXT(D3511,"mmm dd")</f>
        <v>430</v>
      </c>
      <c r="I3511" t="s">
        <v>517</v>
      </c>
      <c r="J3511" t="s">
        <v>755</v>
      </c>
      <c r="K3511" t="inlineStr">
        <is>
          <t>Askews</t>
        </is>
      </c>
    </row>
    <row r="3512" spans="1:23">
      <c r="A3512">
        <v>2</v>
      </c>
      <c r="B3512">
        <v>6</v>
      </c>
      <c r="C3512">
        <v>2022</v>
      </c>
      <c r="D3512" s="3" t="s">
        <f>B3512&amp;"/"&amp;A3512&amp;"/"&amp;C3512</f>
        <v>3026</v>
      </c>
      <c r="E3512">
        <v>1.0625</v>
      </c>
      <c r="F3512" t="str">
        <f>I3512&amp;" "&amp;J3512&amp;" "&amp;K3512&amp;" "&amp;L3512&amp;" "&amp;M3512&amp;" "&amp;N3512</f>
        <v>Reservation at Santé   </v>
      </c>
      <c r="G3512" t="s">
        <f>TEXT(D3512,"mmm dd")</f>
        <v>430</v>
      </c>
      <c r="I3512" t="s">
        <v>2785</v>
      </c>
      <c r="J3512" t="s">
        <v>53</v>
      </c>
      <c r="K3512" t="inlineStr">
        <is>
          <t>Santé</t>
        </is>
      </c>
    </row>
    <row r="3513" spans="1:23">
      <c r="A3513">
        <v>13</v>
      </c>
      <c r="B3513">
        <v>6</v>
      </c>
      <c r="C3513">
        <v>2022</v>
      </c>
      <c r="D3513" s="3" t="str">
        <f>B3513&amp;"/"&amp;A3513&amp;"/"&amp;C3513</f>
        <v>6/13/2022</v>
      </c>
      <c r="E3513" t="s">
        <v>42</v>
      </c>
      <c r="F3513" t="str">
        <f>I3513&amp;" "&amp;J3513&amp;" "&amp;K3513&amp;" "&amp;L3513&amp;" "&amp;M3513&amp;" "&amp;N3513</f>
        <v>phone call establish inventory  </v>
      </c>
      <c r="G3513" t="s">
        <f>TEXT(D3513,"mmm dd")</f>
        <v>511</v>
      </c>
      <c r="I3513" t="s">
        <v>417</v>
      </c>
      <c r="J3513" t="s">
        <v>418</v>
      </c>
      <c r="K3513" t="inlineStr">
        <is>
          <t>establish</t>
        </is>
      </c>
      <c r="L3513" t="inlineStr">
        <is>
          <t>inventory</t>
        </is>
      </c>
    </row>
    <row r="3514" spans="1:23">
      <c r="A3514">
        <v>14</v>
      </c>
      <c r="B3514">
        <v>6</v>
      </c>
      <c r="C3514">
        <v>2022</v>
      </c>
      <c r="D3514" s="3" t="s">
        <f>B3514&amp;"/"&amp;A3514&amp;"/"&amp;C3514</f>
        <v>3027</v>
      </c>
      <c r="E3514" t="s">
        <v>42</v>
      </c>
      <c r="F3514" t="str">
        <f>I3514&amp;" "&amp;J3514&amp;" "&amp;K3514&amp;" "&amp;L3514&amp;" "&amp;M3514&amp;" "&amp;N3514</f>
        <v>phone call confirm pickup  </v>
      </c>
      <c r="G3514" t="s">
        <f>TEXT(D3514,"mmm dd")</f>
        <v>524</v>
      </c>
      <c r="I3514" t="s">
        <v>417</v>
      </c>
      <c r="J3514" t="s">
        <v>418</v>
      </c>
      <c r="K3514" t="s">
        <v>2004</v>
      </c>
      <c r="L3514" t="s">
        <v>3014</v>
      </c>
    </row>
    <row r="3515" spans="1:23">
      <c r="A3515">
        <v>14</v>
      </c>
      <c r="B3515">
        <v>6</v>
      </c>
      <c r="C3515">
        <v>2022</v>
      </c>
      <c r="D3515" s="3" t="s">
        <f>B3515&amp;"/"&amp;A3515&amp;"/"&amp;C3515</f>
        <v>3027</v>
      </c>
      <c r="E3515" t="s">
        <v>42</v>
      </c>
      <c r="F3515" t="str">
        <f>I3515&amp;" "&amp;J3515&amp;" "&amp;K3515&amp;" "&amp;L3515&amp;" "&amp;M3515&amp;" "&amp;N3515</f>
        <v>Stay with Becker Evans  </v>
      </c>
      <c r="G3515" t="s">
        <f>TEXT(D3515,"mmm dd")</f>
        <v>524</v>
      </c>
      <c r="I3515" t="s">
        <v>2398</v>
      </c>
      <c r="J3515" t="s">
        <v>755</v>
      </c>
      <c r="K3515" t="inlineStr">
        <is>
          <t>Becker</t>
        </is>
      </c>
      <c r="L3515" t="s">
        <v>3028</v>
      </c>
    </row>
    <row r="3516" spans="1:23">
      <c r="A3516">
        <v>15</v>
      </c>
      <c r="B3516">
        <v>6</v>
      </c>
      <c r="C3516">
        <v>2022</v>
      </c>
      <c r="D3516" s="3" t="str">
        <f>B3516&amp;"/"&amp;A3516&amp;"/"&amp;C3516</f>
        <v>6/15/2022</v>
      </c>
      <c r="E3516" t="s">
        <v>42</v>
      </c>
      <c r="F3516" t="str">
        <f>I3516&amp;" "&amp;J3516&amp;" "&amp;K3516&amp;" "&amp;L3516&amp;" "&amp;M3516&amp;" "&amp;N3516</f>
        <v>Stay with Beck Evans  </v>
      </c>
      <c r="G3516" t="s">
        <f>TEXT(D3516,"mmm dd")</f>
        <v>533</v>
      </c>
      <c r="I3516" t="s">
        <v>2398</v>
      </c>
      <c r="J3516" t="s">
        <v>755</v>
      </c>
      <c r="K3516" t="inlineStr">
        <is>
          <t>Beck</t>
        </is>
      </c>
      <c r="L3516" t="s">
        <v>3028</v>
      </c>
    </row>
    <row r="3517" spans="1:23">
      <c r="A3517">
        <v>16</v>
      </c>
      <c r="B3517">
        <v>6</v>
      </c>
      <c r="C3517">
        <v>2022</v>
      </c>
      <c r="D3517" s="3" t="str">
        <f>B3517&amp;"/"&amp;A3517&amp;"/"&amp;C3517</f>
        <v>6/16/2022</v>
      </c>
      <c r="E3517">
        <v>0.70833333333333337</v>
      </c>
      <c r="F3517" t="str">
        <f>I3517&amp;" "&amp;J3517&amp;" "&amp;K3517&amp;" "&amp;L3517&amp;" "&amp;M3517&amp;" "&amp;N3517</f>
        <v>Garbage collection site   </v>
      </c>
      <c r="G3517" t="s">
        <f>TEXT(D3517,"mmm dd")</f>
        <v>543</v>
      </c>
      <c r="I3517" t="inlineStr">
        <is>
          <t>Garbage</t>
        </is>
      </c>
      <c r="J3517" t="s">
        <v>3029</v>
      </c>
      <c r="K3517" t="inlineStr">
        <is>
          <t>site</t>
        </is>
      </c>
    </row>
    <row r="3518" spans="1:23">
      <c r="A3518">
        <v>19</v>
      </c>
      <c r="B3518">
        <v>6</v>
      </c>
      <c r="C3518">
        <v>2022</v>
      </c>
      <c r="D3518" s="3" t="str">
        <f>B3518&amp;"/"&amp;A3518&amp;"/"&amp;C3518</f>
        <v>6/19/2022</v>
      </c>
      <c r="E3518" t="s">
        <v>42</v>
      </c>
      <c r="F3518" t="str">
        <f>I3518&amp;" "&amp;J3518&amp;" "&amp;K3518&amp;" "&amp;L3518&amp;" "&amp;M3518&amp;" "&amp;N3518</f>
        <v>arrive in Palm Harbor  </v>
      </c>
      <c r="G3518" t="s">
        <f>TEXT(D3518,"mmm dd")</f>
        <v>564</v>
      </c>
      <c r="I3518" t="s">
        <v>737</v>
      </c>
      <c r="J3518" t="s">
        <v>372</v>
      </c>
      <c r="K3518" t="s">
        <v>1563</v>
      </c>
      <c r="L3518" t="s">
        <v>1730</v>
      </c>
    </row>
    <row r="3519" spans="1:23">
      <c r="A3519">
        <v>20</v>
      </c>
      <c r="B3519">
        <v>6</v>
      </c>
      <c r="C3519">
        <v>2022</v>
      </c>
      <c r="D3519" s="3" t="str">
        <f>B3519&amp;"/"&amp;A3519&amp;"/"&amp;C3519</f>
        <v>6/20/2022</v>
      </c>
      <c r="E3519" t="s">
        <v>42</v>
      </c>
      <c r="F3519" t="str">
        <f>I3519&amp;" "&amp;J3519&amp;" "&amp;K3519&amp;" "&amp;L3519&amp;" "&amp;M3519&amp;" "&amp;N3519</f>
        <v>available to receive truck  </v>
      </c>
      <c r="G3519" t="s">
        <f>TEXT(D3519,"mmm dd")</f>
        <v>566</v>
      </c>
      <c r="I3519" t="inlineStr">
        <is>
          <t>available</t>
        </is>
      </c>
      <c r="J3519" t="s">
        <v>449</v>
      </c>
      <c r="K3519" t="inlineStr">
        <is>
          <t>receive</t>
        </is>
      </c>
      <c r="L3519" t="s">
        <v>1436</v>
      </c>
    </row>
    <row r="3520" spans="1:23">
      <c r="A3520">
        <v>22</v>
      </c>
      <c r="B3520">
        <v>6</v>
      </c>
      <c r="C3520">
        <v>2022</v>
      </c>
      <c r="D3520" s="3" t="str">
        <f>B3520&amp;"/"&amp;A3520&amp;"/"&amp;C3520</f>
        <v>6/22/2022</v>
      </c>
      <c r="E3520">
        <v>0.66666666666666663</v>
      </c>
      <c r="F3520" t="str">
        <f>I3520&amp;" "&amp;J3520&amp;" "&amp;K3520&amp;" "&amp;L3520&amp;" "&amp;M3520&amp;" "&amp;N3520</f>
        <v>Spectrum     </v>
      </c>
      <c r="G3520" t="s">
        <f>TEXT(D3520,"mmm dd")</f>
        <v>574</v>
      </c>
      <c r="I3520" t="s">
        <v>3012</v>
      </c>
    </row>
    <row r="3521" spans="1:23">
      <c r="A3521">
        <v>25</v>
      </c>
      <c r="B3521">
        <v>6</v>
      </c>
      <c r="C3521">
        <v>2022</v>
      </c>
      <c r="D3521" s="3" t="str">
        <f>B3521&amp;"/"&amp;A3521&amp;"/"&amp;C3521</f>
        <v>6/25/2022</v>
      </c>
      <c r="E3521">
        <v>0.70833333333333337</v>
      </c>
      <c r="F3521" t="str">
        <f>I3521&amp;" "&amp;J3521&amp;" "&amp;K3521&amp;" "&amp;L3521&amp;" "&amp;M3521&amp;" "&amp;N3521</f>
        <v>Havertys delivery    </v>
      </c>
      <c r="G3521" t="s">
        <f>TEXT(D3521,"mmm dd")</f>
        <v>589</v>
      </c>
      <c r="I3521" t="inlineStr">
        <is>
          <t>Havertys</t>
        </is>
      </c>
      <c r="J3521" t="inlineStr">
        <is>
          <t>delivery</t>
        </is>
      </c>
    </row>
    <row r="3522" spans="1:23">
      <c r="A3522">
        <v>26</v>
      </c>
      <c r="B3522">
        <v>6</v>
      </c>
      <c r="C3522">
        <v>2022</v>
      </c>
      <c r="D3522" s="3" t="str">
        <f>B3522&amp;"/"&amp;A3522&amp;"/"&amp;C3522</f>
        <v>6/26/2022</v>
      </c>
      <c r="E3522">
        <v>0.8125</v>
      </c>
      <c r="F3522" t="s">
        <f>I3522&amp;" "&amp;J3522&amp;" "&amp;K3522&amp;" "&amp;L3522&amp;" "&amp;M3522&amp;" "&amp;N3522</f>
        <v>1825</v>
      </c>
      <c r="G3522" t="s">
        <f>TEXT(D3522,"mmm dd")</f>
        <v>1335</v>
      </c>
      <c r="I3522" t="s">
        <v>1826</v>
      </c>
    </row>
    <row r="3523" spans="1:23">
      <c r="A3523">
        <v>1</v>
      </c>
      <c r="B3523">
        <v>7</v>
      </c>
      <c r="C3523">
        <v>2022</v>
      </c>
      <c r="D3523" s="3" t="str">
        <f>B3523&amp;"/"&amp;A3523&amp;"/"&amp;C3523</f>
        <v>7/1/2022</v>
      </c>
      <c r="E3523">
        <v>0.64583333333333337</v>
      </c>
      <c r="F3523" t="str">
        <f>I3523&amp;" "&amp;J3523&amp;" "&amp;K3523&amp;" "&amp;L3523&amp;" "&amp;M3523&amp;" "&amp;N3523</f>
        <v>Kyle (Truline Electric)   </v>
      </c>
      <c r="G3523" t="s">
        <f>TEXT(D3523,"mmm dd")</f>
        <v>13</v>
      </c>
      <c r="I3523" t="inlineStr">
        <is>
          <t>Kyle</t>
        </is>
      </c>
      <c r="J3523" t="inlineStr">
        <is>
          <t>(Truline</t>
        </is>
      </c>
      <c r="K3523" t="inlineStr">
        <is>
          <t>Electric)</t>
        </is>
      </c>
    </row>
    <row r="3524" spans="1:23">
      <c r="A3524">
        <v>6</v>
      </c>
      <c r="B3524">
        <v>7</v>
      </c>
      <c r="C3524">
        <v>2022</v>
      </c>
      <c r="D3524" s="3" t="s">
        <f>B3524&amp;"/"&amp;A3524&amp;"/"&amp;C3524</f>
        <v>3030</v>
      </c>
      <c r="E3524">
        <v>0.75</v>
      </c>
      <c r="F3524" t="str">
        <f>I3524&amp;" "&amp;J3524&amp;" "&amp;K3524&amp;" "&amp;L3524&amp;" "&amp;M3524&amp;" "&amp;N3524</f>
        <v>Linda Serepca zoom   </v>
      </c>
      <c r="G3524" t="s">
        <f>TEXT(D3524,"mmm dd")</f>
        <v>22</v>
      </c>
      <c r="I3524" t="s">
        <v>2890</v>
      </c>
      <c r="J3524" t="s">
        <v>2891</v>
      </c>
      <c r="K3524" t="s">
        <v>3031</v>
      </c>
    </row>
    <row r="3525" spans="1:23">
      <c r="A3525">
        <v>6</v>
      </c>
      <c r="B3525">
        <v>7</v>
      </c>
      <c r="C3525">
        <v>2022</v>
      </c>
      <c r="D3525" s="3" t="s">
        <f>B3525&amp;"/"&amp;A3525&amp;"/"&amp;C3525</f>
        <v>3030</v>
      </c>
      <c r="E3525">
        <v>0.8125</v>
      </c>
      <c r="F3525" t="str">
        <f>I3525&amp;" "&amp;J3525&amp;" "&amp;K3525&amp;" "&amp;L3525&amp;" "&amp;M3525&amp;" "&amp;N3525</f>
        <v>Lunch Peter Lane   </v>
      </c>
      <c r="G3525" t="s">
        <f>TEXT(D3525,"mmm dd")</f>
        <v>22</v>
      </c>
      <c r="I3525" t="s">
        <v>813</v>
      </c>
      <c r="J3525" t="s">
        <v>604</v>
      </c>
      <c r="K3525" t="inlineStr">
        <is>
          <t>Lane</t>
        </is>
      </c>
    </row>
    <row r="3526" spans="1:23">
      <c r="A3526">
        <v>12</v>
      </c>
      <c r="B3526">
        <v>7</v>
      </c>
      <c r="C3526">
        <v>2022</v>
      </c>
      <c r="D3526" s="3" t="str">
        <f>B3526&amp;"/"&amp;A3526&amp;"/"&amp;C3526</f>
        <v>7/12/2022</v>
      </c>
      <c r="E3526">
        <v>0.91666666666666663</v>
      </c>
      <c r="F3526" t="str">
        <f>I3526&amp;" "&amp;J3526&amp;" "&amp;K3526&amp;" "&amp;L3526&amp;" "&amp;M3526&amp;" "&amp;N3526</f>
        <v>Orientation HOA    </v>
      </c>
      <c r="G3526" t="s">
        <f>TEXT(D3526,"mmm dd")</f>
        <v>638</v>
      </c>
      <c r="I3526" t="s">
        <v>720</v>
      </c>
      <c r="J3526" t="s">
        <v>2761</v>
      </c>
    </row>
    <row r="3527" spans="1:23">
      <c r="A3527">
        <v>14</v>
      </c>
      <c r="B3527">
        <v>7</v>
      </c>
      <c r="C3527">
        <v>2022</v>
      </c>
      <c r="D3527" s="3" t="str">
        <f>B3527&amp;"/"&amp;A3527&amp;"/"&amp;C3527</f>
        <v>7/14/2022</v>
      </c>
      <c r="E3527" t="s">
        <v>42</v>
      </c>
      <c r="F3527" t="str">
        <f>I3527&amp;" "&amp;J3527&amp;" "&amp;K3527&amp;" "&amp;L3527&amp;" "&amp;M3527&amp;" "&amp;N3527</f>
        <v>Scott Jansen    </v>
      </c>
      <c r="G3527" t="s">
        <f>TEXT(D3527,"mmm dd")</f>
        <v>1340</v>
      </c>
      <c r="I3527" t="s">
        <v>917</v>
      </c>
      <c r="J3527" t="s">
        <v>2636</v>
      </c>
    </row>
    <row r="3528" spans="1:23">
      <c r="A3528">
        <v>18</v>
      </c>
      <c r="B3528">
        <v>7</v>
      </c>
      <c r="C3528">
        <v>2022</v>
      </c>
      <c r="D3528" s="3" t="str">
        <f>B3528&amp;"/"&amp;A3528&amp;"/"&amp;C3528</f>
        <v>7/18/2022</v>
      </c>
      <c r="E3528">
        <v>0.72916666666666663</v>
      </c>
      <c r="F3528" t="str">
        <f>I3528&amp;" "&amp;J3528&amp;" "&amp;K3528&amp;" "&amp;L3528&amp;" "&amp;M3528&amp;" "&amp;N3528</f>
        <v>Friend's Plumbing    </v>
      </c>
      <c r="G3528" t="s">
        <f>TEXT(D3528,"mmm dd")</f>
        <v>658</v>
      </c>
      <c r="I3528" t="inlineStr">
        <is>
          <t>Friend's</t>
        </is>
      </c>
      <c r="J3528" t="s">
        <v>2543</v>
      </c>
    </row>
    <row r="3529" spans="1:23">
      <c r="A3529">
        <v>19</v>
      </c>
      <c r="B3529">
        <v>7</v>
      </c>
      <c r="C3529">
        <v>2022</v>
      </c>
      <c r="D3529" s="3" t="s">
        <f>B3529&amp;"/"&amp;A3529&amp;"/"&amp;C3529</f>
        <v>3032</v>
      </c>
      <c r="E3529" t="s">
        <v>42</v>
      </c>
      <c r="F3529" t="str">
        <f>I3529&amp;" "&amp;J3529&amp;" "&amp;K3529&amp;" "&amp;L3529&amp;" "&amp;M3529&amp;" "&amp;N3529</f>
        <v>Marco Island (Scott)   </v>
      </c>
      <c r="G3529" t="s">
        <f>TEXT(D3529,"mmm dd")</f>
        <v>28</v>
      </c>
      <c r="I3529" t="inlineStr">
        <is>
          <t>Marco</t>
        </is>
      </c>
      <c r="J3529" t="s">
        <v>2264</v>
      </c>
      <c r="K3529" t="inlineStr">
        <is>
          <t>(Scott)</t>
        </is>
      </c>
    </row>
    <row r="3530" spans="1:23">
      <c r="A3530">
        <v>19</v>
      </c>
      <c r="B3530">
        <v>7</v>
      </c>
      <c r="C3530">
        <v>2022</v>
      </c>
      <c r="D3530" s="3" t="s">
        <f>B3530&amp;"/"&amp;A3530&amp;"/"&amp;C3530</f>
        <v>3032</v>
      </c>
      <c r="E3530" t="s">
        <v>42</v>
      </c>
      <c r="F3530" t="str">
        <f>I3530&amp;" "&amp;J3530&amp;" "&amp;K3530&amp;" "&amp;L3530&amp;" "&amp;M3530&amp;" "&amp;N3530</f>
        <v>Stay at Charter Club Resort of</v>
      </c>
      <c r="G3530" t="s">
        <f>TEXT(D3530,"mmm dd")</f>
        <v>28</v>
      </c>
      <c r="I3530" t="s">
        <v>2398</v>
      </c>
      <c r="J3530" t="s">
        <v>53</v>
      </c>
      <c r="K3530" t="inlineStr">
        <is>
          <t>Charter</t>
        </is>
      </c>
      <c r="L3530" t="s">
        <v>1527</v>
      </c>
      <c r="M3530" t="s">
        <v>2878</v>
      </c>
      <c r="N3530" t="s">
        <v>86</v>
      </c>
    </row>
    <row r="3531" spans="1:23">
      <c r="A3531">
        <v>20</v>
      </c>
      <c r="B3531">
        <v>7</v>
      </c>
      <c r="C3531">
        <v>2022</v>
      </c>
      <c r="D3531" s="3" t="s">
        <f>B3531&amp;"/"&amp;A3531&amp;"/"&amp;C3531</f>
        <v>3033</v>
      </c>
      <c r="E3531">
        <v>0.9375</v>
      </c>
      <c r="F3531" t="str">
        <f>I3531&amp;" "&amp;J3531&amp;" "&amp;K3531&amp;" "&amp;L3531&amp;" "&amp;M3531&amp;" "&amp;N3531</f>
        <v>Mary Pat Sjostrom   Budget</v>
      </c>
      <c r="G3531" t="s">
        <f>TEXT(D3531,"mmm dd")</f>
        <v>29</v>
      </c>
      <c r="I3531" t="s">
        <v>410</v>
      </c>
      <c r="J3531" t="s">
        <v>702</v>
      </c>
      <c r="K3531" t="s">
        <v>2106</v>
      </c>
      <c r="N3531" t="s">
        <v>1373</v>
      </c>
    </row>
    <row r="3532" spans="1:23">
      <c r="A3532">
        <v>20</v>
      </c>
      <c r="B3532">
        <v>7</v>
      </c>
      <c r="C3532">
        <v>2022</v>
      </c>
      <c r="D3532" s="3" t="s">
        <f>B3532&amp;"/"&amp;A3532&amp;"/"&amp;C3532</f>
        <v>3033</v>
      </c>
      <c r="E3532">
        <v>0.9375</v>
      </c>
      <c r="F3532" t="str">
        <f>I3532&amp;" "&amp;J3532&amp;" "&amp;K3532&amp;" "&amp;L3532&amp;" "&amp;M3532&amp;" "&amp;N3532</f>
        <v>Mary Pat\  Dale\  &amp;</v>
      </c>
      <c r="G3532" t="s">
        <f>TEXT(D3532,"mmm dd")</f>
        <v>29</v>
      </c>
      <c r="I3532" t="s">
        <v>410</v>
      </c>
      <c r="J3532" t="inlineStr">
        <is>
          <t>Pat\</t>
        </is>
      </c>
      <c r="L3532" t="inlineStr">
        <is>
          <t>Dale\</t>
        </is>
      </c>
      <c r="N3532" t="s">
        <v>73</v>
      </c>
    </row>
    <row r="3533" spans="1:23">
      <c r="A3533">
        <v>21</v>
      </c>
      <c r="B3533">
        <v>7</v>
      </c>
      <c r="C3533">
        <v>2022</v>
      </c>
      <c r="D3533" s="3" t="str">
        <f>B3533&amp;"/"&amp;A3533&amp;"/"&amp;C3533</f>
        <v>7/21/2022</v>
      </c>
      <c r="E3533" t="s">
        <v>42</v>
      </c>
      <c r="F3533" t="str">
        <f>I3533&amp;" "&amp;J3533&amp;" "&amp;K3533&amp;" "&amp;L3533&amp;" "&amp;M3533&amp;" "&amp;N3533</f>
        <v>Stay at Hilton Vacation Club Mystic</v>
      </c>
      <c r="G3533" t="s">
        <f>TEXT(D3533,"mmm dd")</f>
        <v>672</v>
      </c>
      <c r="I3533" t="s">
        <v>2398</v>
      </c>
      <c r="J3533" t="s">
        <v>53</v>
      </c>
      <c r="K3533" t="s">
        <v>1075</v>
      </c>
      <c r="L3533" t="s">
        <v>1666</v>
      </c>
      <c r="M3533" t="s">
        <v>1527</v>
      </c>
      <c r="N3533" t="s">
        <v>3034</v>
      </c>
    </row>
    <row r="3534" spans="1:23">
      <c r="A3534">
        <v>28</v>
      </c>
      <c r="B3534">
        <v>7</v>
      </c>
      <c r="C3534">
        <v>2022</v>
      </c>
      <c r="D3534" s="3" t="str">
        <f>B3534&amp;"/"&amp;A3534&amp;"/"&amp;C3534</f>
        <v>7/28/2022</v>
      </c>
      <c r="E3534">
        <v>0.65625</v>
      </c>
      <c r="F3534" t="str">
        <f>I3534&amp;" "&amp;J3534&amp;" "&amp;K3534&amp;" "&amp;L3534&amp;" "&amp;M3534&amp;" "&amp;N3534</f>
        <v>Friendly Plumber installation   </v>
      </c>
      <c r="G3534" t="s">
        <f>TEXT(D3534,"mmm dd")</f>
        <v>1745</v>
      </c>
      <c r="I3534" t="inlineStr">
        <is>
          <t>Friendly</t>
        </is>
      </c>
      <c r="J3534" t="inlineStr">
        <is>
          <t>Plumber</t>
        </is>
      </c>
      <c r="K3534" t="s">
        <v>1367</v>
      </c>
    </row>
    <row r="3535" spans="1:23">
      <c r="A3535">
        <v>2</v>
      </c>
      <c r="B3535">
        <v>8</v>
      </c>
      <c r="C3535">
        <v>2022</v>
      </c>
      <c r="D3535" s="3" t="str">
        <f>B3535&amp;"/"&amp;A3535&amp;"/"&amp;C3535</f>
        <v>8/2/2022</v>
      </c>
      <c r="E3535">
        <v>0.875</v>
      </c>
      <c r="F3535" t="str">
        <f>I3535&amp;" "&amp;J3535&amp;" "&amp;K3535&amp;" "&amp;L3535&amp;" "&amp;M3535&amp;" "&amp;N3535</f>
        <v>DON’T Call Murray   </v>
      </c>
      <c r="G3535" t="s">
        <f>TEXT(D3535,"mmm dd")</f>
        <v>724</v>
      </c>
      <c r="I3535" t="inlineStr">
        <is>
          <t>DON’T</t>
        </is>
      </c>
      <c r="J3535" t="s">
        <v>1028</v>
      </c>
      <c r="K3535" t="s">
        <v>1008</v>
      </c>
    </row>
    <row r="3536" spans="1:23">
      <c r="A3536">
        <v>8</v>
      </c>
      <c r="B3536">
        <v>8</v>
      </c>
      <c r="C3536">
        <v>2022</v>
      </c>
      <c r="D3536" s="3" t="str">
        <f>B3536&amp;"/"&amp;A3536&amp;"/"&amp;C3536</f>
        <v>8/8/2022</v>
      </c>
      <c r="E3536">
        <v>0.75</v>
      </c>
      <c r="F3536" t="str">
        <f>I3536&amp;" "&amp;J3536&amp;" "&amp;K3536&amp;" "&amp;L3536&amp;" "&amp;M3536&amp;" "&amp;N3536</f>
        <v>Linda Serepca (Zoom)   </v>
      </c>
      <c r="G3536" t="s">
        <f>TEXT(D3536,"mmm dd")</f>
        <v>1366</v>
      </c>
      <c r="I3536" t="s">
        <v>2890</v>
      </c>
      <c r="J3536" t="s">
        <v>2891</v>
      </c>
      <c r="K3536" t="inlineStr">
        <is>
          <t>(Zoom)</t>
        </is>
      </c>
    </row>
    <row r="3537" spans="1:23">
      <c r="A3537">
        <v>16</v>
      </c>
      <c r="B3537">
        <v>8</v>
      </c>
      <c r="C3537">
        <v>2022</v>
      </c>
      <c r="D3537" s="3" t="str">
        <f>B3537&amp;"/"&amp;A3537&amp;"/"&amp;C3537</f>
        <v>8/16/2022</v>
      </c>
      <c r="E3537">
        <v>0.75</v>
      </c>
      <c r="F3537" t="str">
        <f>I3537&amp;" "&amp;J3537&amp;" "&amp;K3537&amp;" "&amp;L3537&amp;" "&amp;M3537&amp;" "&amp;N3537</f>
        <v>Mary Pat   Pay off</v>
      </c>
      <c r="G3537" t="s">
        <f>TEXT(D3537,"mmm dd")</f>
        <v>784</v>
      </c>
      <c r="I3537" t="s">
        <v>410</v>
      </c>
      <c r="J3537" t="s">
        <v>702</v>
      </c>
      <c r="M3537" t="s">
        <v>2100</v>
      </c>
      <c r="N3537" t="s">
        <v>1511</v>
      </c>
      <c r="O3537" t="s">
        <v>440</v>
      </c>
    </row>
    <row r="3538" spans="1:23">
      <c r="A3538">
        <v>23</v>
      </c>
      <c r="B3538">
        <v>8</v>
      </c>
      <c r="C3538">
        <v>2022</v>
      </c>
      <c r="D3538" s="3" t="s">
        <f>B3538&amp;"/"&amp;A3538&amp;"/"&amp;C3538</f>
        <v>3035</v>
      </c>
      <c r="E3538">
        <v>1.0173611111111112</v>
      </c>
      <c r="F3538" t="str">
        <f>I3538&amp;" "&amp;J3538&amp;" "&amp;K3538&amp;" "&amp;L3538&amp;" "&amp;M3538&amp;" "&amp;N3538</f>
        <v>Flight to Cincinnati (DL 1542) </v>
      </c>
      <c r="G3538" t="s">
        <f>TEXT(D3538,"mmm dd")</f>
        <v>828</v>
      </c>
      <c r="I3538" t="s">
        <v>2365</v>
      </c>
      <c r="J3538" t="s">
        <v>449</v>
      </c>
      <c r="K3538" t="inlineStr">
        <is>
          <t>Cincinnati</t>
        </is>
      </c>
      <c r="L3538" t="s">
        <v>2591</v>
      </c>
      <c r="M3538" t="inlineStr">
        <is>
          <t>1542)</t>
        </is>
      </c>
    </row>
    <row r="3539" spans="1:23">
      <c r="A3539">
        <v>23</v>
      </c>
      <c r="B3539">
        <v>8</v>
      </c>
      <c r="C3539">
        <v>2022</v>
      </c>
      <c r="D3539" s="3" t="s">
        <f>B3539&amp;"/"&amp;A3539&amp;"/"&amp;C3539</f>
        <v>3035</v>
      </c>
      <c r="E3539">
        <v>0.87083333333333335</v>
      </c>
      <c r="F3539" t="str">
        <f>I3539&amp;" "&amp;J3539&amp;" "&amp;K3539&amp;" "&amp;L3539&amp;" "&amp;M3539&amp;" "&amp;N3539</f>
        <v>Flight to Atlanta (DL 2150) </v>
      </c>
      <c r="G3539" t="s">
        <f>TEXT(D3539,"mmm dd")</f>
        <v>828</v>
      </c>
      <c r="I3539" t="s">
        <v>2365</v>
      </c>
      <c r="J3539" t="s">
        <v>449</v>
      </c>
      <c r="K3539" t="s">
        <v>2369</v>
      </c>
      <c r="L3539" t="s">
        <v>2591</v>
      </c>
      <c r="M3539" t="inlineStr">
        <is>
          <t>2150)</t>
        </is>
      </c>
    </row>
    <row r="3540" spans="1:23">
      <c r="A3540">
        <v>25</v>
      </c>
      <c r="B3540">
        <v>8</v>
      </c>
      <c r="C3540">
        <v>2022</v>
      </c>
      <c r="D3540" s="3" t="str">
        <f>B3540&amp;"/"&amp;A3540&amp;"/"&amp;C3540</f>
        <v>8/25/2022</v>
      </c>
      <c r="E3540">
        <v>0.83333333333333337</v>
      </c>
      <c r="F3540" t="str">
        <f>I3540&amp;" "&amp;J3540&amp;" "&amp;K3540&amp;" "&amp;L3540&amp;" "&amp;M3540&amp;" "&amp;N3540</f>
        <v>Lunch with Shraders   </v>
      </c>
      <c r="G3540" t="s">
        <f>TEXT(D3540,"mmm dd")</f>
        <v>2046</v>
      </c>
      <c r="I3540" t="s">
        <v>813</v>
      </c>
      <c r="J3540" t="s">
        <v>755</v>
      </c>
      <c r="K3540" t="inlineStr">
        <is>
          <t>Shraders</t>
        </is>
      </c>
      <c r="O3540" t="s">
        <v>537</v>
      </c>
    </row>
    <row r="3541" spans="1:23">
      <c r="A3541">
        <v>27</v>
      </c>
      <c r="B3541">
        <v>8</v>
      </c>
      <c r="C3541">
        <v>2022</v>
      </c>
      <c r="D3541" s="3" t="s">
        <f>B3541&amp;"/"&amp;A3541&amp;"/"&amp;C3541</f>
        <v>3036</v>
      </c>
      <c r="E3541">
        <v>0.87152777777777779</v>
      </c>
      <c r="F3541" t="str">
        <f>I3541&amp;" "&amp;J3541&amp;" "&amp;K3541&amp;" "&amp;L3541&amp;" "&amp;M3541&amp;" "&amp;N3541</f>
        <v>Flight to Tampa (DL 2790) </v>
      </c>
      <c r="G3541" t="s">
        <f>TEXT(D3541,"mmm dd")</f>
        <v>1374</v>
      </c>
      <c r="I3541" t="s">
        <v>2365</v>
      </c>
      <c r="J3541" t="s">
        <v>449</v>
      </c>
      <c r="K3541" t="s">
        <v>3037</v>
      </c>
      <c r="L3541" t="s">
        <v>2591</v>
      </c>
      <c r="M3541" t="inlineStr">
        <is>
          <t>2790)</t>
        </is>
      </c>
    </row>
    <row r="3542" spans="1:23">
      <c r="A3542">
        <v>27</v>
      </c>
      <c r="B3542">
        <v>8</v>
      </c>
      <c r="C3542">
        <v>2022</v>
      </c>
      <c r="D3542" s="3" t="s">
        <f>B3542&amp;"/"&amp;A3542&amp;"/"&amp;C3542</f>
        <v>3036</v>
      </c>
      <c r="E3542">
        <v>0.75763888888888886</v>
      </c>
      <c r="F3542" t="str">
        <f>I3542&amp;" "&amp;J3542&amp;" "&amp;K3542&amp;" "&amp;L3542&amp;" "&amp;M3542&amp;" "&amp;N3542</f>
        <v>Flight to Atlanta (DL 2585) </v>
      </c>
      <c r="G3542" t="s">
        <f>TEXT(D3542,"mmm dd")</f>
        <v>1374</v>
      </c>
      <c r="I3542" t="s">
        <v>2365</v>
      </c>
      <c r="J3542" t="s">
        <v>449</v>
      </c>
      <c r="K3542" t="s">
        <v>2369</v>
      </c>
      <c r="L3542" t="s">
        <v>2591</v>
      </c>
      <c r="M3542" t="s">
        <v>2656</v>
      </c>
    </row>
    <row r="3543" spans="1:23">
      <c r="A3543">
        <v>31</v>
      </c>
      <c r="B3543">
        <v>8</v>
      </c>
      <c r="C3543">
        <v>2022</v>
      </c>
      <c r="D3543" s="3" t="str">
        <f>B3543&amp;"/"&amp;A3543&amp;"/"&amp;C3543</f>
        <v>8/31/2022</v>
      </c>
      <c r="E3543">
        <v>1.0520833333333333</v>
      </c>
      <c r="F3543" t="s">
        <f>I3543&amp;" "&amp;J3543&amp;" "&amp;K3543&amp;" "&amp;L3543&amp;" "&amp;M3543&amp;" "&amp;N3543</f>
        <v>3038</v>
      </c>
      <c r="G3543" t="s">
        <f>TEXT(D3543,"mmm dd")</f>
        <v>2061</v>
      </c>
      <c r="I3543" t="s">
        <v>2850</v>
      </c>
      <c r="J3543" t="s">
        <v>802</v>
      </c>
      <c r="K3543" t="s">
        <v>755</v>
      </c>
      <c r="L3543" t="s">
        <v>2847</v>
      </c>
    </row>
    <row r="3544" spans="1:23">
      <c r="A3544">
        <v>6</v>
      </c>
      <c r="B3544">
        <v>9</v>
      </c>
      <c r="C3544">
        <v>2022</v>
      </c>
      <c r="D3544" s="3" t="s">
        <f>B3544&amp;"/"&amp;A3544&amp;"/"&amp;C3544</f>
        <v>3039</v>
      </c>
      <c r="E3544">
        <v>0.75</v>
      </c>
      <c r="F3544" t="str">
        <f>I3544&amp;" "&amp;J3544&amp;" "&amp;K3544&amp;" "&amp;L3544&amp;" "&amp;M3544&amp;" "&amp;N3544</f>
        <v>Linda Serepca Zoom   </v>
      </c>
      <c r="G3544" t="s">
        <f>TEXT(D3544,"mmm dd")</f>
        <v>860</v>
      </c>
      <c r="I3544" t="s">
        <v>2890</v>
      </c>
      <c r="J3544" t="s">
        <v>2891</v>
      </c>
      <c r="K3544" t="s">
        <v>2712</v>
      </c>
    </row>
    <row r="3545" spans="1:23">
      <c r="A3545">
        <v>6</v>
      </c>
      <c r="B3545">
        <v>9</v>
      </c>
      <c r="C3545">
        <v>2022</v>
      </c>
      <c r="D3545" s="3" t="s">
        <f>B3545&amp;"/"&amp;A3545&amp;"/"&amp;C3545</f>
        <v>3039</v>
      </c>
      <c r="E3545">
        <v>0.83333333333333337</v>
      </c>
      <c r="F3545" t="str">
        <f>I3545&amp;" "&amp;J3545&amp;" "&amp;K3545&amp;" "&amp;L3545&amp;" "&amp;M3545&amp;" "&amp;N3545</f>
        <v>Refrigerator repair    </v>
      </c>
      <c r="G3545" t="s">
        <f>TEXT(D3545,"mmm dd")</f>
        <v>860</v>
      </c>
      <c r="I3545" t="inlineStr">
        <is>
          <t>Refrigerator</t>
        </is>
      </c>
      <c r="J3545" t="s">
        <v>2104</v>
      </c>
    </row>
    <row r="3546" spans="1:23">
      <c r="A3546">
        <v>7</v>
      </c>
      <c r="B3546">
        <v>9</v>
      </c>
      <c r="C3546">
        <v>2022</v>
      </c>
      <c r="D3546" s="3" t="s">
        <f>B3546&amp;"/"&amp;A3546&amp;"/"&amp;C3546</f>
        <v>3040</v>
      </c>
      <c r="E3546">
        <v>0.95833333333333337</v>
      </c>
      <c r="F3546" t="str">
        <f>I3546&amp;" "&amp;J3546&amp;" "&amp;K3546&amp;" "&amp;L3546&amp;" "&amp;M3546&amp;" "&amp;N3546</f>
        <v>Lokey Kia service   </v>
      </c>
      <c r="G3546" t="s">
        <f>TEXT(D3546,"mmm dd")</f>
        <v>1381</v>
      </c>
      <c r="I3546" t="s">
        <v>3041</v>
      </c>
      <c r="J3546" t="s">
        <v>1370</v>
      </c>
      <c r="K3546" t="s">
        <v>427</v>
      </c>
    </row>
    <row r="3547" spans="1:23">
      <c r="A3547">
        <v>7</v>
      </c>
      <c r="B3547">
        <v>9</v>
      </c>
      <c r="C3547">
        <v>2022</v>
      </c>
      <c r="D3547" s="3" t="s">
        <f>B3547&amp;"/"&amp;A3547&amp;"/"&amp;C3547</f>
        <v>3040</v>
      </c>
      <c r="E3547">
        <v>0.78125</v>
      </c>
      <c r="F3547" t="str">
        <f>I3547&amp;" "&amp;J3547&amp;" "&amp;K3547&amp;" "&amp;L3547&amp;" "&amp;M3547&amp;" "&amp;N3547</f>
        <v>Dermatology for Dale (Screening)  </v>
      </c>
      <c r="G3547" t="s">
        <f>TEXT(D3547,"mmm dd")</f>
        <v>1381</v>
      </c>
      <c r="I3547" t="s">
        <v>2716</v>
      </c>
      <c r="J3547" t="s">
        <v>439</v>
      </c>
      <c r="K3547" t="s">
        <v>1316</v>
      </c>
      <c r="L3547" t="inlineStr">
        <is>
          <t>(Screening)</t>
        </is>
      </c>
    </row>
    <row r="3548" spans="1:23">
      <c r="A3548">
        <v>9</v>
      </c>
      <c r="B3548">
        <v>9</v>
      </c>
      <c r="C3548">
        <v>2022</v>
      </c>
      <c r="D3548" s="3" t="str">
        <f>B3548&amp;"/"&amp;A3548&amp;"/"&amp;C3548</f>
        <v>9/9/2022</v>
      </c>
      <c r="E3548">
        <v>0.8125</v>
      </c>
      <c r="F3548" t="str">
        <f>I3548&amp;" "&amp;J3548&amp;" "&amp;K3548&amp;" "&amp;L3548&amp;" "&amp;M3548&amp;" "&amp;N3548</f>
        <v>Dr. Praag Patel (cardiologist)  </v>
      </c>
      <c r="G3548" t="s">
        <f>TEXT(D3548,"mmm dd")</f>
        <v>2341</v>
      </c>
      <c r="I3548" t="s">
        <v>847</v>
      </c>
      <c r="J3548" t="inlineStr">
        <is>
          <t>Praag</t>
        </is>
      </c>
      <c r="K3548" t="s">
        <v>3042</v>
      </c>
      <c r="L3548" t="s">
        <v>2954</v>
      </c>
    </row>
    <row r="3549" spans="1:23">
      <c r="A3549">
        <v>10</v>
      </c>
      <c r="B3549">
        <v>9</v>
      </c>
      <c r="C3549">
        <v>2022</v>
      </c>
      <c r="D3549" s="3" t="str">
        <f>B3549&amp;"/"&amp;A3549&amp;"/"&amp;C3549</f>
        <v>9/10/2022</v>
      </c>
      <c r="E3549">
        <v>0.58333333333333337</v>
      </c>
      <c r="F3549" t="str">
        <f>I3549&amp;" "&amp;J3549&amp;" "&amp;K3549&amp;" "&amp;L3549&amp;" "&amp;M3549&amp;" "&amp;N3549</f>
        <v>Tai chi    </v>
      </c>
      <c r="G3549" t="s">
        <f>TEXT(D3549,"mmm dd")</f>
        <v>1382</v>
      </c>
      <c r="I3549" t="inlineStr">
        <is>
          <t>Tai</t>
        </is>
      </c>
      <c r="J3549" t="inlineStr">
        <is>
          <t>chi</t>
        </is>
      </c>
    </row>
    <row r="3550" spans="1:23">
      <c r="A3550">
        <v>13</v>
      </c>
      <c r="B3550">
        <v>9</v>
      </c>
      <c r="C3550">
        <v>2022</v>
      </c>
      <c r="D3550" s="3" t="str">
        <f>B3550&amp;"/"&amp;A3550&amp;"/"&amp;C3550</f>
        <v>9/13/2022</v>
      </c>
      <c r="E3550">
        <v>0.77083333333333337</v>
      </c>
      <c r="F3550" t="str">
        <f>I3550&amp;" "&amp;J3550&amp;" "&amp;K3550&amp;" "&amp;L3550&amp;" "&amp;M3550&amp;" "&amp;N3550</f>
        <v>Dr. Margaret Basil   </v>
      </c>
      <c r="G3550" t="s">
        <f>TEXT(D3550,"mmm dd")</f>
        <v>866</v>
      </c>
      <c r="I3550" t="s">
        <v>847</v>
      </c>
      <c r="J3550" t="s">
        <v>1732</v>
      </c>
      <c r="K3550" t="s">
        <v>528</v>
      </c>
    </row>
    <row r="3551" spans="1:23">
      <c r="A3551">
        <v>14</v>
      </c>
      <c r="B3551">
        <v>9</v>
      </c>
      <c r="C3551">
        <v>2022</v>
      </c>
      <c r="D3551" s="3" t="str">
        <f>B3551&amp;"/"&amp;A3551&amp;"/"&amp;C3551</f>
        <v>9/14/2022</v>
      </c>
      <c r="E3551">
        <v>0.77083333333333337</v>
      </c>
      <c r="F3551" t="s">
        <f>I3551&amp;" "&amp;J3551&amp;" "&amp;K3551&amp;" "&amp;L3551&amp;" "&amp;M3551&amp;" "&amp;N3551</f>
        <v>1825</v>
      </c>
      <c r="G3551" t="s">
        <f>TEXT(D3551,"mmm dd")</f>
        <v>1390</v>
      </c>
      <c r="I3551" t="s">
        <v>1826</v>
      </c>
    </row>
    <row r="3552" spans="1:23">
      <c r="A3552">
        <v>15</v>
      </c>
      <c r="B3552">
        <v>9</v>
      </c>
      <c r="C3552">
        <v>2022</v>
      </c>
      <c r="D3552" s="3" t="str">
        <f>B3552&amp;"/"&amp;A3552&amp;"/"&amp;C3552</f>
        <v>9/15/2022</v>
      </c>
      <c r="E3552">
        <v>0.64583333333333337</v>
      </c>
      <c r="F3552" t="str">
        <f>I3552&amp;" "&amp;J3552&amp;" "&amp;K3552&amp;" "&amp;L3552&amp;" "&amp;M3552&amp;" "&amp;N3552</f>
        <v>Stress test Baycare   </v>
      </c>
      <c r="G3552" t="s">
        <f>TEXT(D3552,"mmm dd")</f>
        <v>1391</v>
      </c>
      <c r="I3552" t="s">
        <v>2237</v>
      </c>
      <c r="J3552" t="s">
        <v>768</v>
      </c>
      <c r="K3552" t="s">
        <v>3043</v>
      </c>
    </row>
    <row r="3553" spans="1:23">
      <c r="A3553">
        <v>18</v>
      </c>
      <c r="B3553">
        <v>9</v>
      </c>
      <c r="C3553">
        <v>2022</v>
      </c>
      <c r="D3553" s="3" t="s">
        <f>B3553&amp;"/"&amp;A3553&amp;"/"&amp;C3553</f>
        <v>3044</v>
      </c>
      <c r="E3553" t="s">
        <v>42</v>
      </c>
      <c r="F3553" t="str">
        <f>I3553&amp;" "&amp;J3553&amp;" "&amp;K3553&amp;" "&amp;L3553&amp;" "&amp;M3553&amp;" "&amp;N3553</f>
        <v>Ken Burns US,&amp;,Holocaust   </v>
      </c>
      <c r="G3553" t="s">
        <f>TEXT(D3553,"mmm dd")</f>
        <v>875</v>
      </c>
      <c r="I3553" t="s">
        <v>2442</v>
      </c>
      <c r="J3553" t="inlineStr">
        <is>
          <t>Burns</t>
        </is>
      </c>
      <c r="K3553" t="inlineStr">
        <is>
          <t>US,&amp;,Holocaust</t>
        </is>
      </c>
    </row>
    <row r="3554" spans="1:23">
      <c r="A3554">
        <v>18</v>
      </c>
      <c r="B3554">
        <v>9</v>
      </c>
      <c r="C3554">
        <v>2022</v>
      </c>
      <c r="D3554" s="3" t="s">
        <f>B3554&amp;"/"&amp;A3554&amp;"/"&amp;C3554</f>
        <v>3044</v>
      </c>
      <c r="E3554">
        <v>1.0625</v>
      </c>
      <c r="F3554" t="str">
        <f>I3554&amp;" "&amp;J3554&amp;" "&amp;K3554&amp;" "&amp;L3554&amp;" "&amp;M3554&amp;" "&amp;N3554</f>
        <v>Reservation at Mystic Fish  </v>
      </c>
      <c r="G3554" t="s">
        <f>TEXT(D3554,"mmm dd")</f>
        <v>875</v>
      </c>
      <c r="I3554" t="s">
        <v>2785</v>
      </c>
      <c r="J3554" t="s">
        <v>53</v>
      </c>
      <c r="K3554" t="s">
        <v>3034</v>
      </c>
      <c r="L3554" t="inlineStr">
        <is>
          <t>Fish</t>
        </is>
      </c>
    </row>
    <row r="3555" spans="1:23">
      <c r="A3555">
        <v>22</v>
      </c>
      <c r="B3555">
        <v>9</v>
      </c>
      <c r="C3555">
        <v>2022</v>
      </c>
      <c r="D3555" s="3" t="s">
        <f>B3555&amp;"/"&amp;A3555&amp;"/"&amp;C3555</f>
        <v>3045</v>
      </c>
      <c r="E3555">
        <v>0.92708333333333337</v>
      </c>
      <c r="F3555" t="str">
        <f>I3555&amp;" "&amp;J3555&amp;" "&amp;K3555&amp;" "&amp;L3555&amp;" "&amp;M3555&amp;" "&amp;N3555</f>
        <v>Echocardiogram Baycare    </v>
      </c>
      <c r="G3555" t="s">
        <f>TEXT(D3555,"mmm dd")</f>
        <v>2088</v>
      </c>
      <c r="I3555" t="inlineStr">
        <is>
          <t>Echocardiogram</t>
        </is>
      </c>
      <c r="J3555" t="s">
        <v>3043</v>
      </c>
    </row>
    <row r="3556" spans="1:23">
      <c r="A3556">
        <v>22</v>
      </c>
      <c r="B3556">
        <v>9</v>
      </c>
      <c r="C3556">
        <v>2022</v>
      </c>
      <c r="D3556" s="3" t="s">
        <f>B3556&amp;"/"&amp;A3556&amp;"/"&amp;C3556</f>
        <v>3045</v>
      </c>
      <c r="E3556">
        <v>0.70833333333333337</v>
      </c>
      <c r="F3556" t="str">
        <f>I3556&amp;" "&amp;J3556&amp;" "&amp;K3556&amp;" "&amp;L3556&amp;" "&amp;M3556&amp;" "&amp;N3556</f>
        <v>Fasting labs at Countryside  </v>
      </c>
      <c r="G3556" t="s">
        <f>TEXT(D3556,"mmm dd")</f>
        <v>2088</v>
      </c>
      <c r="I3556" t="inlineStr">
        <is>
          <t>Fasting</t>
        </is>
      </c>
      <c r="J3556" t="s">
        <v>3046</v>
      </c>
      <c r="K3556" t="s">
        <v>53</v>
      </c>
      <c r="L3556" t="inlineStr">
        <is>
          <t>Countryside</t>
        </is>
      </c>
    </row>
    <row r="3557" spans="1:23">
      <c r="A3557">
        <v>23</v>
      </c>
      <c r="B3557">
        <v>9</v>
      </c>
      <c r="C3557">
        <v>2022</v>
      </c>
      <c r="D3557" s="3" t="str">
        <f>B3557&amp;"/"&amp;A3557&amp;"/"&amp;C3557</f>
        <v>9/23/2022</v>
      </c>
      <c r="E3557">
        <v>1.0416666666666667</v>
      </c>
      <c r="F3557" t="str">
        <f>I3557&amp;" "&amp;J3557&amp;" "&amp;K3557&amp;" "&amp;L3557&amp;" "&amp;M3557&amp;" "&amp;N3557</f>
        <v>Hebraic Program    </v>
      </c>
      <c r="G3557" t="s">
        <f>TEXT(D3557,"mmm dd")</f>
        <v>892</v>
      </c>
      <c r="I3557" t="inlineStr">
        <is>
          <t>Hebraic</t>
        </is>
      </c>
      <c r="J3557" t="inlineStr">
        <is>
          <t>Program</t>
        </is>
      </c>
    </row>
    <row r="3558" spans="1:23">
      <c r="A3558">
        <v>25</v>
      </c>
      <c r="B3558">
        <v>9</v>
      </c>
      <c r="C3558">
        <v>2022</v>
      </c>
      <c r="D3558" s="3" t="str">
        <f>B3558&amp;"/"&amp;A3558&amp;"/"&amp;C3558</f>
        <v>9/25/2022</v>
      </c>
      <c r="E3558">
        <v>0.70833333333333337</v>
      </c>
      <c r="F3558" t="s">
        <f>I3558&amp;" "&amp;J3558&amp;" "&amp;K3558&amp;" "&amp;L3558&amp;" "&amp;M3558&amp;" "&amp;N3558</f>
        <v>1840</v>
      </c>
      <c r="G3558" t="s">
        <f>TEXT(D3558,"mmm dd")</f>
        <v>1393</v>
      </c>
      <c r="I3558" t="s">
        <v>1273</v>
      </c>
    </row>
    <row r="3559" spans="1:23">
      <c r="A3559">
        <v>26</v>
      </c>
      <c r="B3559">
        <v>9</v>
      </c>
      <c r="C3559">
        <v>2022</v>
      </c>
      <c r="D3559" s="3" t="str">
        <f>B3559&amp;"/"&amp;A3559&amp;"/"&amp;C3559</f>
        <v>9/26/2022</v>
      </c>
      <c r="E3559" t="s">
        <v>42</v>
      </c>
      <c r="F3559" t="str">
        <f>I3559&amp;" "&amp;J3559&amp;" "&amp;K3559&amp;" "&amp;L3559&amp;" "&amp;M3559&amp;" "&amp;N3559</f>
        <v>Rosh Hashanah    </v>
      </c>
      <c r="G3559" t="s">
        <f>TEXT(D3559,"mmm dd")</f>
        <v>895</v>
      </c>
      <c r="I3559" t="inlineStr">
        <is>
          <t>Rosh</t>
        </is>
      </c>
      <c r="J3559" t="inlineStr">
        <is>
          <t>Hashanah</t>
        </is>
      </c>
    </row>
    <row r="3560" spans="1:23">
      <c r="A3560">
        <v>3</v>
      </c>
      <c r="B3560">
        <v>10</v>
      </c>
      <c r="C3560">
        <v>2022</v>
      </c>
      <c r="D3560" s="3" t="str">
        <f>B3560&amp;"/"&amp;A3560&amp;"/"&amp;C3560</f>
        <v>10/3/2022</v>
      </c>
      <c r="E3560">
        <v>0.70833333333333337</v>
      </c>
      <c r="F3560" t="str">
        <f>I3560&amp;" "&amp;J3560&amp;" "&amp;K3560&amp;" "&amp;L3560&amp;" "&amp;M3560&amp;" "&amp;N3560</f>
        <v>Call eye doctor   </v>
      </c>
      <c r="G3560" t="s">
        <f>TEXT(D3560,"mmm dd")</f>
        <v>920</v>
      </c>
      <c r="I3560" t="s">
        <v>1028</v>
      </c>
      <c r="J3560" t="s">
        <v>1923</v>
      </c>
      <c r="K3560" t="s">
        <v>1354</v>
      </c>
    </row>
    <row r="3561" spans="1:23">
      <c r="A3561">
        <v>4</v>
      </c>
      <c r="B3561">
        <v>10</v>
      </c>
      <c r="C3561">
        <v>2022</v>
      </c>
      <c r="D3561" s="3" t="s">
        <f>B3561&amp;"/"&amp;A3561&amp;"/"&amp;C3561</f>
        <v>3047</v>
      </c>
      <c r="E3561">
        <v>0.83333333333333337</v>
      </c>
      <c r="F3561" t="str">
        <f>I3561&amp;" "&amp;J3561&amp;" "&amp;K3561&amp;" "&amp;L3561&amp;" "&amp;M3561&amp;" "&amp;N3561</f>
        <v>Patel cardiology    </v>
      </c>
      <c r="G3561" t="s">
        <f>TEXT(D3561,"mmm dd")</f>
        <v>2111</v>
      </c>
      <c r="I3561" t="s">
        <v>3042</v>
      </c>
      <c r="J3561" t="inlineStr">
        <is>
          <t>cardiology</t>
        </is>
      </c>
    </row>
    <row r="3562" spans="1:23">
      <c r="A3562">
        <v>4</v>
      </c>
      <c r="B3562">
        <v>10</v>
      </c>
      <c r="C3562">
        <v>2022</v>
      </c>
      <c r="D3562" s="3" t="s">
        <f>B3562&amp;"/"&amp;A3562&amp;"/"&amp;C3562</f>
        <v>3047</v>
      </c>
      <c r="E3562">
        <v>1.0625</v>
      </c>
      <c r="F3562" t="str">
        <f>I3562&amp;" "&amp;J3562&amp;" "&amp;K3562&amp;" "&amp;L3562&amp;" "&amp;M3562&amp;" "&amp;N3562</f>
        <v>Reservation at Bon Appetit Restaurant &amp;</v>
      </c>
      <c r="G3562" t="s">
        <f>TEXT(D3562,"mmm dd")</f>
        <v>2111</v>
      </c>
      <c r="I3562" t="s">
        <v>2785</v>
      </c>
      <c r="J3562" t="s">
        <v>53</v>
      </c>
      <c r="K3562" t="inlineStr">
        <is>
          <t>Bon</t>
        </is>
      </c>
      <c r="L3562" t="inlineStr">
        <is>
          <t>Appetit</t>
        </is>
      </c>
      <c r="M3562" t="inlineStr">
        <is>
          <t>Restaurant</t>
        </is>
      </c>
      <c r="N3562" t="s">
        <v>73</v>
      </c>
    </row>
    <row r="3563" spans="1:23">
      <c r="A3563">
        <v>5</v>
      </c>
      <c r="B3563">
        <v>10</v>
      </c>
      <c r="C3563">
        <v>2022</v>
      </c>
      <c r="D3563" s="3" t="str">
        <f>B3563&amp;"/"&amp;A3563&amp;"/"&amp;C3563</f>
        <v>10/5/2022</v>
      </c>
      <c r="E3563" t="s">
        <v>42</v>
      </c>
      <c r="F3563" t="s">
        <f>I3563&amp;" "&amp;J3563&amp;" "&amp;K3563&amp;" "&amp;L3563&amp;" "&amp;M3563&amp;" "&amp;N3563</f>
        <v>2093</v>
      </c>
      <c r="G3563" t="s">
        <f>TEXT(D3563,"mmm dd")</f>
        <v>1612</v>
      </c>
      <c r="I3563" t="s">
        <v>2094</v>
      </c>
      <c r="J3563" t="s">
        <v>2095</v>
      </c>
    </row>
    <row r="3564" spans="1:23">
      <c r="A3564">
        <v>6</v>
      </c>
      <c r="B3564">
        <v>10</v>
      </c>
      <c r="C3564">
        <v>2022</v>
      </c>
      <c r="D3564" s="3" t="str">
        <f>B3564&amp;"/"&amp;A3564&amp;"/"&amp;C3564</f>
        <v>10/6/2022</v>
      </c>
      <c r="E3564">
        <v>0.85416666666666663</v>
      </c>
      <c r="F3564" t="s">
        <f>I3564&amp;" "&amp;J3564&amp;" "&amp;K3564&amp;" "&amp;L3564&amp;" "&amp;M3564&amp;" "&amp;N3564</f>
        <v>2889</v>
      </c>
      <c r="G3564" t="s">
        <f>TEXT(D3564,"mmm dd")</f>
        <v>1615</v>
      </c>
      <c r="I3564" t="s">
        <v>2890</v>
      </c>
      <c r="J3564" t="s">
        <v>2891</v>
      </c>
    </row>
    <row r="3565" spans="1:23">
      <c r="A3565">
        <v>12</v>
      </c>
      <c r="B3565">
        <v>10</v>
      </c>
      <c r="C3565">
        <v>2022</v>
      </c>
      <c r="D3565" s="3" t="str">
        <f>B3565&amp;"/"&amp;A3565&amp;"/"&amp;C3565</f>
        <v>10/12/2022</v>
      </c>
      <c r="E3565">
        <v>0.72916666666666663</v>
      </c>
      <c r="F3565" t="s">
        <f>I3565&amp;" "&amp;J3565&amp;" "&amp;K3565&amp;" "&amp;L3565&amp;" "&amp;M3565&amp;" "&amp;N3565</f>
        <v>3048</v>
      </c>
      <c r="G3565" t="s">
        <f>TEXT(D3565,"mmm dd")</f>
        <v>1619</v>
      </c>
      <c r="I3565" t="s">
        <v>2783</v>
      </c>
      <c r="J3565" t="s">
        <v>1948</v>
      </c>
    </row>
    <row r="3566" spans="1:23">
      <c r="A3566">
        <v>14</v>
      </c>
      <c r="B3566">
        <v>10</v>
      </c>
      <c r="C3566">
        <v>2022</v>
      </c>
      <c r="D3566" s="3" t="str">
        <f>B3566&amp;"/"&amp;A3566&amp;"/"&amp;C3566</f>
        <v>10/14/2022</v>
      </c>
      <c r="E3566">
        <v>0.91666666666666663</v>
      </c>
      <c r="F3566" t="str">
        <f>I3566&amp;" "&amp;J3566&amp;" "&amp;K3566&amp;" "&amp;L3566&amp;" "&amp;M3566&amp;" "&amp;N3566</f>
        <v>Audiologist (Gardner)    </v>
      </c>
      <c r="G3566" t="s">
        <f>TEXT(D3566,"mmm dd")</f>
        <v>938</v>
      </c>
      <c r="I3566" t="inlineStr">
        <is>
          <t>Audiologist</t>
        </is>
      </c>
      <c r="J3566" t="inlineStr">
        <is>
          <t>(Gardner)</t>
        </is>
      </c>
    </row>
    <row r="3567" spans="1:23">
      <c r="A3567">
        <v>19</v>
      </c>
      <c r="B3567">
        <v>10</v>
      </c>
      <c r="C3567">
        <v>2022</v>
      </c>
      <c r="D3567" s="3" t="str">
        <f>B3567&amp;"/"&amp;A3567&amp;"/"&amp;C3567</f>
        <v>10/19/2022</v>
      </c>
      <c r="E3567">
        <v>0.875</v>
      </c>
      <c r="F3567" t="str">
        <f>I3567&amp;" "&amp;J3567&amp;" "&amp;K3567&amp;" "&amp;L3567&amp;" "&amp;M3567&amp;" "&amp;N3567</f>
        <v>Phone call with Dabney  </v>
      </c>
      <c r="G3567" t="s">
        <f>TEXT(D3567,"mmm dd")</f>
        <v>1626</v>
      </c>
      <c r="I3567" t="s">
        <v>1987</v>
      </c>
      <c r="J3567" t="s">
        <v>418</v>
      </c>
      <c r="K3567" t="s">
        <v>755</v>
      </c>
      <c r="L3567" t="s">
        <v>2797</v>
      </c>
    </row>
    <row r="3568" spans="1:23">
      <c r="A3568">
        <v>20</v>
      </c>
      <c r="B3568">
        <v>10</v>
      </c>
      <c r="C3568">
        <v>2022</v>
      </c>
      <c r="D3568" s="3" t="str">
        <f>B3568&amp;"/"&amp;A3568&amp;"/"&amp;C3568</f>
        <v>10/20/2022</v>
      </c>
      <c r="E3568">
        <v>0.79166666666666663</v>
      </c>
      <c r="F3568" t="str">
        <f>I3568&amp;" "&amp;J3568&amp;" "&amp;K3568&amp;" "&amp;L3568&amp;" "&amp;M3568&amp;" "&amp;N3568</f>
        <v>Healing service St Alfred's  </v>
      </c>
      <c r="G3568" t="s">
        <f>TEXT(D3568,"mmm dd")</f>
        <v>1408</v>
      </c>
      <c r="I3568" t="s">
        <v>855</v>
      </c>
      <c r="J3568" t="s">
        <v>427</v>
      </c>
      <c r="K3568" t="s">
        <v>1796</v>
      </c>
      <c r="L3568" t="s">
        <v>3049</v>
      </c>
    </row>
    <row r="3569" spans="1:23">
      <c r="A3569">
        <v>21</v>
      </c>
      <c r="B3569">
        <v>10</v>
      </c>
      <c r="C3569">
        <v>2022</v>
      </c>
      <c r="D3569" s="3" t="str">
        <f>B3569&amp;"/"&amp;A3569&amp;"/"&amp;C3569</f>
        <v>10/21/2022</v>
      </c>
      <c r="E3569">
        <v>0.8125</v>
      </c>
      <c r="F3569" t="s">
        <f>I3569&amp;" "&amp;J3569&amp;" "&amp;K3569&amp;" "&amp;L3569&amp;" "&amp;M3569&amp;" "&amp;N3569</f>
        <v>2975</v>
      </c>
      <c r="G3569" t="s">
        <f>TEXT(D3569,"mmm dd")</f>
        <v>1629</v>
      </c>
      <c r="I3569" t="s">
        <v>2813</v>
      </c>
      <c r="J3569" t="s">
        <v>2897</v>
      </c>
      <c r="K3569" t="s">
        <v>2419</v>
      </c>
    </row>
    <row r="3570" spans="1:23">
      <c r="A3570">
        <v>27</v>
      </c>
      <c r="B3570">
        <v>10</v>
      </c>
      <c r="C3570">
        <v>2022</v>
      </c>
      <c r="D3570" s="3" t="str">
        <f>B3570&amp;"/"&amp;A3570&amp;"/"&amp;C3570</f>
        <v>10/27/2022</v>
      </c>
      <c r="E3570">
        <v>0.625</v>
      </c>
      <c r="F3570" t="s">
        <f>I3570&amp;" "&amp;J3570&amp;" "&amp;K3570&amp;" "&amp;L3570&amp;" "&amp;M3570&amp;" "&amp;N3570</f>
        <v>3050</v>
      </c>
      <c r="G3570" t="s">
        <f>TEXT(D3570,"mmm dd")</f>
        <v>1781</v>
      </c>
      <c r="I3570" t="s">
        <v>855</v>
      </c>
      <c r="J3570" t="s">
        <v>1774</v>
      </c>
    </row>
    <row r="3571" spans="1:23">
      <c r="A3571">
        <v>28</v>
      </c>
      <c r="B3571">
        <v>10</v>
      </c>
      <c r="C3571">
        <v>2022</v>
      </c>
      <c r="D3571" s="3" t="s">
        <f>B3571&amp;"/"&amp;A3571&amp;"/"&amp;C3571</f>
        <v>3051</v>
      </c>
      <c r="E3571">
        <v>0.70833333333333337</v>
      </c>
      <c r="F3571" t="s">
        <f>I3571&amp;" "&amp;J3571&amp;" "&amp;K3571&amp;" "&amp;L3571&amp;" "&amp;M3571&amp;" "&amp;N3571</f>
        <v>3052</v>
      </c>
      <c r="G3571" t="s">
        <f>TEXT(D3571,"mmm dd")</f>
        <v>959</v>
      </c>
      <c r="I3571" t="s">
        <v>3053</v>
      </c>
      <c r="J3571" t="s">
        <v>3054</v>
      </c>
    </row>
    <row r="3572" spans="1:23">
      <c r="A3572">
        <v>28</v>
      </c>
      <c r="B3572">
        <v>10</v>
      </c>
      <c r="C3572">
        <v>2022</v>
      </c>
      <c r="D3572" s="3" t="s">
        <f>B3572&amp;"/"&amp;A3572&amp;"/"&amp;C3572</f>
        <v>3051</v>
      </c>
      <c r="E3572">
        <v>0.875</v>
      </c>
      <c r="F3572" t="s">
        <f>I3572&amp;" "&amp;J3572&amp;" "&amp;K3572&amp;" "&amp;L3572&amp;" "&amp;M3572&amp;" "&amp;N3572</f>
        <v>1825</v>
      </c>
      <c r="G3572" t="s">
        <f>TEXT(D3572,"mmm dd")</f>
        <v>959</v>
      </c>
      <c r="I3572" t="s">
        <v>1826</v>
      </c>
    </row>
    <row r="3573" spans="1:23">
      <c r="A3573">
        <v>2</v>
      </c>
      <c r="B3573">
        <v>11</v>
      </c>
      <c r="C3573">
        <v>2022</v>
      </c>
      <c r="D3573" s="3" t="str">
        <f>B3573&amp;"/"&amp;A3573&amp;"/"&amp;C3573</f>
        <v>11/2/2022</v>
      </c>
      <c r="E3573">
        <v>0.70833333333333337</v>
      </c>
      <c r="F3573" t="str">
        <f>I3573&amp;" "&amp;J3573&amp;" "&amp;K3573&amp;" "&amp;L3573&amp;" "&amp;M3573&amp;" "&amp;N3573</f>
        <v>Pick up golf tag  </v>
      </c>
      <c r="G3573" t="s">
        <f>TEXT(D3573,"mmm dd")</f>
        <v>32</v>
      </c>
      <c r="I3573" t="s">
        <v>806</v>
      </c>
      <c r="J3573" t="s">
        <v>807</v>
      </c>
      <c r="K3573" t="s">
        <v>1004</v>
      </c>
      <c r="L3573" t="inlineStr">
        <is>
          <t>tag</t>
        </is>
      </c>
    </row>
    <row r="3574" spans="1:23">
      <c r="A3574">
        <v>9</v>
      </c>
      <c r="B3574">
        <v>11</v>
      </c>
      <c r="C3574">
        <v>2022</v>
      </c>
      <c r="D3574" s="3" t="str">
        <f>B3574&amp;"/"&amp;A3574&amp;"/"&amp;C3574</f>
        <v>11/9/2022</v>
      </c>
      <c r="E3574" t="s">
        <v>42</v>
      </c>
      <c r="F3574" t="str">
        <f>I3574&amp;" "&amp;J3574&amp;" "&amp;K3574&amp;" "&amp;L3574&amp;" "&amp;M3574&amp;" "&amp;N3574</f>
        <v>Julian to Florida   </v>
      </c>
      <c r="G3574" t="s">
        <f>TEXT(D3574,"mmm dd")</f>
        <v>1421</v>
      </c>
      <c r="I3574" t="s">
        <v>284</v>
      </c>
      <c r="J3574" t="s">
        <v>449</v>
      </c>
      <c r="K3574" t="s">
        <v>1649</v>
      </c>
    </row>
    <row r="3575" spans="1:23">
      <c r="A3575">
        <v>12</v>
      </c>
      <c r="B3575">
        <v>11</v>
      </c>
      <c r="C3575">
        <v>2022</v>
      </c>
      <c r="D3575" s="3" t="s">
        <f>B3575&amp;"/"&amp;A3575&amp;"/"&amp;C3575</f>
        <v>3055</v>
      </c>
      <c r="E3575">
        <v>0.75</v>
      </c>
      <c r="F3575" t="str">
        <f>I3575&amp;" "&amp;J3575&amp;" "&amp;K3575&amp;" "&amp;L3575&amp;" "&amp;M3575&amp;" "&amp;N3575</f>
        <v>Crystal River Preserve   </v>
      </c>
      <c r="G3575" t="s">
        <f>TEXT(D3575,"mmm dd")</f>
        <v>993</v>
      </c>
      <c r="I3575" t="s">
        <v>2825</v>
      </c>
      <c r="J3575" t="s">
        <v>2000</v>
      </c>
      <c r="K3575" t="inlineStr">
        <is>
          <t>Preserve</t>
        </is>
      </c>
      <c r="O3575" t="s">
        <v>372</v>
      </c>
      <c r="P3575" t="inlineStr">
        <is>
          <t>Middle</t>
        </is>
      </c>
      <c r="Q3575" t="s">
        <v>451</v>
      </c>
    </row>
    <row r="3576" spans="1:23">
      <c r="A3576">
        <v>12</v>
      </c>
      <c r="B3576">
        <v>11</v>
      </c>
      <c r="C3576">
        <v>2022</v>
      </c>
      <c r="D3576" s="3" t="s">
        <f>B3576&amp;"/"&amp;A3576&amp;"/"&amp;C3576</f>
        <v>3055</v>
      </c>
      <c r="E3576">
        <v>0.95833333333333337</v>
      </c>
      <c r="F3576" t="str">
        <f>I3576&amp;" "&amp;J3576&amp;" "&amp;K3576&amp;" "&amp;L3576&amp;" "&amp;M3576&amp;" "&amp;N3576</f>
        <v>Dinner with Abell cousins  </v>
      </c>
      <c r="G3576" t="s">
        <f>TEXT(D3576,"mmm dd")</f>
        <v>993</v>
      </c>
      <c r="I3576" t="s">
        <v>838</v>
      </c>
      <c r="J3576" t="s">
        <v>755</v>
      </c>
      <c r="K3576" t="inlineStr">
        <is>
          <t>Abell</t>
        </is>
      </c>
      <c r="L3576" t="inlineStr">
        <is>
          <t>cousins</t>
        </is>
      </c>
    </row>
    <row r="3577" spans="1:23">
      <c r="A3577">
        <v>17</v>
      </c>
      <c r="B3577">
        <v>11</v>
      </c>
      <c r="C3577">
        <v>2022</v>
      </c>
      <c r="D3577" s="3" t="s">
        <f>B3577&amp;"/"&amp;A3577&amp;"/"&amp;C3577</f>
        <v>3056</v>
      </c>
      <c r="E3577">
        <v>0.75</v>
      </c>
      <c r="F3577" t="s">
        <f>I3577&amp;" "&amp;J3577&amp;" "&amp;K3577&amp;" "&amp;L3577&amp;" "&amp;M3577&amp;" "&amp;N3577</f>
        <v>2889</v>
      </c>
      <c r="G3577" t="s">
        <f>TEXT(D3577,"mmm dd")</f>
        <v>1019</v>
      </c>
      <c r="I3577" t="s">
        <v>2890</v>
      </c>
      <c r="J3577" t="s">
        <v>2891</v>
      </c>
    </row>
    <row r="3578" spans="1:23">
      <c r="A3578">
        <v>17</v>
      </c>
      <c r="B3578">
        <v>11</v>
      </c>
      <c r="C3578">
        <v>2022</v>
      </c>
      <c r="D3578" s="3" t="s">
        <f>B3578&amp;"/"&amp;A3578&amp;"/"&amp;C3578</f>
        <v>3056</v>
      </c>
      <c r="E3578">
        <v>0.65625</v>
      </c>
      <c r="F3578" t="str">
        <f>I3578&amp;" "&amp;J3578&amp;" "&amp;K3578&amp;" "&amp;L3578&amp;" "&amp;M3578&amp;" "&amp;N3578</f>
        <v>Harbor Ophthalmology    </v>
      </c>
      <c r="G3578" t="s">
        <f>TEXT(D3578,"mmm dd")</f>
        <v>1019</v>
      </c>
      <c r="I3578" t="s">
        <v>1730</v>
      </c>
      <c r="J3578" t="inlineStr">
        <is>
          <t>Ophthalmology</t>
        </is>
      </c>
    </row>
    <row r="3579" spans="1:23">
      <c r="A3579">
        <v>18</v>
      </c>
      <c r="B3579">
        <v>11</v>
      </c>
      <c r="C3579">
        <v>2022</v>
      </c>
      <c r="D3579" s="3" t="str">
        <f>B3579&amp;"/"&amp;A3579&amp;"/"&amp;C3579</f>
        <v>11/18/2022</v>
      </c>
      <c r="E3579">
        <v>0.91666666666666663</v>
      </c>
      <c r="F3579" t="s">
        <f>I3579&amp;" "&amp;J3579&amp;" "&amp;K3579&amp;" "&amp;L3579&amp;" "&amp;M3579&amp;" "&amp;N3579</f>
        <v>3057</v>
      </c>
      <c r="G3579" t="s">
        <f>TEXT(D3579,"mmm dd")</f>
        <v>1024</v>
      </c>
      <c r="I3579" t="s">
        <v>3053</v>
      </c>
      <c r="J3579" t="s">
        <v>3058</v>
      </c>
    </row>
    <row r="3580" spans="1:23">
      <c r="A3580">
        <v>21</v>
      </c>
      <c r="B3580">
        <v>11</v>
      </c>
      <c r="C3580">
        <v>2022</v>
      </c>
      <c r="D3580" s="3" t="str">
        <f>B3580&amp;"/"&amp;A3580&amp;"/"&amp;C3580</f>
        <v>11/21/2022</v>
      </c>
      <c r="E3580">
        <v>1</v>
      </c>
      <c r="F3580" t="str">
        <f>I3580&amp;" "&amp;J3580&amp;" "&amp;K3580&amp;" "&amp;L3580&amp;" "&amp;M3580&amp;" "&amp;N3580</f>
        <v>Golf PNP Practice   Procedure</v>
      </c>
      <c r="G3580" t="s">
        <f>TEXT(D3580,"mmm dd")</f>
        <v>2146</v>
      </c>
      <c r="I3580" t="s">
        <v>1021</v>
      </c>
      <c r="J3580" t="inlineStr">
        <is>
          <t>PNP</t>
        </is>
      </c>
      <c r="K3580" t="inlineStr">
        <is>
          <t>Practice</t>
        </is>
      </c>
      <c r="N3580" t="inlineStr">
        <is>
          <t>Procedure</t>
        </is>
      </c>
    </row>
    <row r="3581" spans="1:23">
      <c r="A3581">
        <v>22</v>
      </c>
      <c r="B3581">
        <v>11</v>
      </c>
      <c r="C3581">
        <v>2022</v>
      </c>
      <c r="D3581" s="3" t="s">
        <f>B3581&amp;"/"&amp;A3581&amp;"/"&amp;C3581</f>
        <v>3059</v>
      </c>
      <c r="E3581">
        <v>0.72916666666666663</v>
      </c>
      <c r="F3581" t="s">
        <f>I3581&amp;" "&amp;J3581&amp;" "&amp;K3581&amp;" "&amp;L3581&amp;" "&amp;M3581&amp;" "&amp;N3581</f>
        <v>3060</v>
      </c>
      <c r="G3581" t="s">
        <f>TEXT(D3581,"mmm dd")</f>
        <v>1428</v>
      </c>
      <c r="I3581" t="s">
        <v>847</v>
      </c>
      <c r="J3581" t="s">
        <v>2683</v>
      </c>
      <c r="K3581" t="s">
        <v>3061</v>
      </c>
    </row>
    <row r="3582" spans="1:23">
      <c r="A3582">
        <v>22</v>
      </c>
      <c r="B3582">
        <v>11</v>
      </c>
      <c r="C3582">
        <v>2022</v>
      </c>
      <c r="D3582" s="3" t="s">
        <f>B3582&amp;"/"&amp;A3582&amp;"/"&amp;C3582</f>
        <v>3059</v>
      </c>
      <c r="E3582">
        <v>0.64583333333333337</v>
      </c>
      <c r="F3582" t="str">
        <f>I3582&amp;" "&amp;J3582&amp;" "&amp;K3582&amp;" "&amp;L3582&amp;" "&amp;M3582&amp;" "&amp;N3582</f>
        <v>Take health department info  </v>
      </c>
      <c r="G3582" t="s">
        <f>TEXT(D3582,"mmm dd")</f>
        <v>1428</v>
      </c>
      <c r="I3582" t="s">
        <v>821</v>
      </c>
      <c r="J3582" t="inlineStr">
        <is>
          <t>health</t>
        </is>
      </c>
      <c r="K3582" t="s">
        <v>2610</v>
      </c>
      <c r="L3582" t="inlineStr">
        <is>
          <t>info</t>
        </is>
      </c>
    </row>
    <row r="3583" spans="1:23">
      <c r="A3583">
        <v>23</v>
      </c>
      <c r="B3583">
        <v>11</v>
      </c>
      <c r="C3583">
        <v>2022</v>
      </c>
      <c r="D3583" s="3" t="str">
        <f>B3583&amp;"/"&amp;A3583&amp;"/"&amp;C3583</f>
        <v>11/23/2022</v>
      </c>
      <c r="E3583">
        <v>0.66666666666666663</v>
      </c>
      <c r="F3583" t="str">
        <f>I3583&amp;" "&amp;J3583&amp;" "&amp;K3583&amp;" "&amp;L3583&amp;" "&amp;M3583&amp;" "&amp;N3583</f>
        <v>Kia servicing   Michelle </v>
      </c>
      <c r="G3583" t="s">
        <f>TEXT(D3583,"mmm dd")</f>
        <v>1035</v>
      </c>
      <c r="I3583" t="s">
        <v>1370</v>
      </c>
      <c r="J3583" t="s">
        <v>3021</v>
      </c>
      <c r="M3583" t="inlineStr">
        <is>
          <t>Michelle</t>
        </is>
      </c>
    </row>
    <row r="3584" spans="1:23">
      <c r="A3584">
        <v>6</v>
      </c>
      <c r="B3584">
        <v>12</v>
      </c>
      <c r="C3584">
        <v>2022</v>
      </c>
      <c r="D3584" s="3" t="s">
        <f>B3584&amp;"/"&amp;A3584&amp;"/"&amp;C3584</f>
        <v>3062</v>
      </c>
      <c r="E3584">
        <v>0.63541666666666663</v>
      </c>
      <c r="F3584" t="str">
        <f>I3584&amp;" "&amp;J3584&amp;" "&amp;K3584&amp;" "&amp;L3584&amp;" "&amp;M3584&amp;" "&amp;N3584</f>
        <v>Eye laser cleaning   </v>
      </c>
      <c r="G3584" t="s">
        <f>TEXT(D3584,"mmm dd")</f>
        <v>1445</v>
      </c>
      <c r="I3584" t="s">
        <v>1910</v>
      </c>
      <c r="J3584" t="inlineStr">
        <is>
          <t>laser</t>
        </is>
      </c>
      <c r="K3584" t="s">
        <v>2035</v>
      </c>
    </row>
    <row r="3585" spans="1:23">
      <c r="A3585">
        <v>6</v>
      </c>
      <c r="B3585">
        <v>12</v>
      </c>
      <c r="C3585">
        <v>2022</v>
      </c>
      <c r="D3585" s="3" t="s">
        <f>B3585&amp;"/"&amp;A3585&amp;"/"&amp;C3585</f>
        <v>3062</v>
      </c>
      <c r="E3585">
        <v>0.95833333333333337</v>
      </c>
      <c r="F3585" t="str">
        <f>I3585&amp;" "&amp;J3585&amp;" "&amp;K3585&amp;" "&amp;L3585&amp;" "&amp;M3585&amp;" "&amp;N3585</f>
        <v>anne freeman attorney phone call </v>
      </c>
      <c r="G3585" t="s">
        <f>TEXT(D3585,"mmm dd")</f>
        <v>1445</v>
      </c>
      <c r="I3585" t="inlineStr">
        <is>
          <t>anne</t>
        </is>
      </c>
      <c r="J3585" t="inlineStr">
        <is>
          <t>freeman</t>
        </is>
      </c>
      <c r="K3585" t="inlineStr">
        <is>
          <t>attorney</t>
        </is>
      </c>
      <c r="L3585" t="s">
        <v>417</v>
      </c>
      <c r="M3585" t="s">
        <v>418</v>
      </c>
    </row>
    <row r="3586" spans="1:23">
      <c r="A3586">
        <v>7</v>
      </c>
      <c r="B3586">
        <v>12</v>
      </c>
      <c r="C3586">
        <v>2022</v>
      </c>
      <c r="D3586" s="3" t="str">
        <f>B3586&amp;"/"&amp;A3586&amp;"/"&amp;C3586</f>
        <v>12/7/2022</v>
      </c>
      <c r="E3586">
        <v>1</v>
      </c>
      <c r="F3586" t="str">
        <f>I3586&amp;" "&amp;J3586&amp;" "&amp;K3586&amp;" "&amp;L3586&amp;" "&amp;M3586&amp;" "&amp;N3586</f>
        <v>Fellowship group meeting in church library</v>
      </c>
      <c r="G3586" t="s">
        <f>TEXT(D3586,"mmm dd")</f>
        <v>1447</v>
      </c>
      <c r="I3586" t="s">
        <v>825</v>
      </c>
      <c r="J3586" t="s">
        <v>110</v>
      </c>
      <c r="K3586" t="s">
        <v>842</v>
      </c>
      <c r="L3586" t="s">
        <v>372</v>
      </c>
      <c r="M3586" t="s">
        <v>1912</v>
      </c>
      <c r="N3586" t="s">
        <v>1100</v>
      </c>
    </row>
    <row r="3587" spans="1:23">
      <c r="A3587">
        <v>8</v>
      </c>
      <c r="B3587">
        <v>12</v>
      </c>
      <c r="C3587">
        <v>2022</v>
      </c>
      <c r="D3587" s="3" t="str">
        <f>B3587&amp;"/"&amp;A3587&amp;"/"&amp;C3587</f>
        <v>12/8/2022</v>
      </c>
      <c r="E3587">
        <v>0.75</v>
      </c>
      <c r="F3587" t="str">
        <f>I3587&amp;" "&amp;J3587&amp;" "&amp;K3587&amp;" "&amp;L3587&amp;" "&amp;M3587&amp;" "&amp;N3587</f>
        <v>Bible study    </v>
      </c>
      <c r="G3587" t="s">
        <f>TEXT(D3587,"mmm dd")</f>
        <v>2154</v>
      </c>
      <c r="I3587" t="s">
        <v>856</v>
      </c>
      <c r="J3587" t="inlineStr">
        <is>
          <t>study</t>
        </is>
      </c>
    </row>
    <row r="3588" spans="1:23">
      <c r="A3588">
        <v>13</v>
      </c>
      <c r="B3588">
        <v>12</v>
      </c>
      <c r="C3588">
        <v>2022</v>
      </c>
      <c r="D3588" s="3" t="str">
        <f>B3588&amp;"/"&amp;A3588&amp;"/"&amp;C3588</f>
        <v>12/13/2022</v>
      </c>
      <c r="E3588">
        <v>0.83333333333333337</v>
      </c>
      <c r="F3588" t="s">
        <f>I3588&amp;" "&amp;J3588&amp;" "&amp;K3588&amp;" "&amp;L3588&amp;" "&amp;M3588&amp;" "&amp;N3588</f>
        <v>3063</v>
      </c>
      <c r="G3588" t="s">
        <f>TEXT(D3588,"mmm dd")</f>
        <v>1071</v>
      </c>
      <c r="I3588" t="s">
        <v>3064</v>
      </c>
      <c r="J3588" t="s">
        <v>439</v>
      </c>
      <c r="K3588" t="s">
        <v>440</v>
      </c>
    </row>
    <row r="3589" spans="1:23">
      <c r="A3589">
        <v>14</v>
      </c>
      <c r="B3589">
        <v>12</v>
      </c>
      <c r="C3589">
        <v>2022</v>
      </c>
      <c r="D3589" s="3" t="str">
        <f>B3589&amp;"/"&amp;A3589&amp;"/"&amp;C3589</f>
        <v>12/14/2022</v>
      </c>
      <c r="E3589">
        <v>0.6875</v>
      </c>
      <c r="F3589" t="str">
        <f>I3589&amp;" "&amp;J3589&amp;" "&amp;K3589&amp;" "&amp;L3589&amp;" "&amp;M3589&amp;" "&amp;N3589</f>
        <v>Follow up eye doctor  </v>
      </c>
      <c r="G3589" t="s">
        <f>TEXT(D3589,"mmm dd")</f>
        <v>1079</v>
      </c>
      <c r="I3589" t="s">
        <v>2624</v>
      </c>
      <c r="J3589" t="s">
        <v>807</v>
      </c>
      <c r="K3589" t="s">
        <v>1923</v>
      </c>
      <c r="L3589" t="s">
        <v>1354</v>
      </c>
    </row>
    <row r="3590" spans="1:23">
      <c r="A3590">
        <v>15</v>
      </c>
      <c r="B3590">
        <v>12</v>
      </c>
      <c r="C3590">
        <v>2022</v>
      </c>
      <c r="D3590" s="3" t="str">
        <f>B3590&amp;"/"&amp;A3590&amp;"/"&amp;C3590</f>
        <v>12/15/2022</v>
      </c>
      <c r="E3590">
        <v>0.91666666666666663</v>
      </c>
      <c r="F3590" t="str">
        <f>I3590&amp;" "&amp;J3590&amp;" "&amp;K3590&amp;" "&amp;L3590&amp;" "&amp;M3590&amp;" "&amp;N3590</f>
        <v>Dr Basil for Dale  </v>
      </c>
      <c r="G3590" t="s">
        <f>TEXT(D3590,"mmm dd")</f>
        <v>1088</v>
      </c>
      <c r="I3590" t="s">
        <v>1791</v>
      </c>
      <c r="J3590" t="s">
        <v>528</v>
      </c>
      <c r="K3590" t="s">
        <v>439</v>
      </c>
      <c r="L3590" t="s">
        <v>1316</v>
      </c>
    </row>
    <row r="3591" spans="1:23">
      <c r="A3591">
        <v>19</v>
      </c>
      <c r="B3591">
        <v>12</v>
      </c>
      <c r="C3591">
        <v>2022</v>
      </c>
      <c r="D3591" s="3" t="s">
        <f>B3591&amp;"/"&amp;A3591&amp;"/"&amp;C3591</f>
        <v>3065</v>
      </c>
      <c r="E3591">
        <v>0.72916666666666663</v>
      </c>
      <c r="F3591" t="str">
        <f>I3591&amp;" "&amp;J3591&amp;" "&amp;K3591&amp;" "&amp;L3591&amp;" "&amp;M3591&amp;" "&amp;N3591</f>
        <v>Meet with Bp. Douglas Sharfe </v>
      </c>
      <c r="G3591" t="s">
        <f>TEXT(D3591,"mmm dd")</f>
        <v>1114</v>
      </c>
      <c r="I3591" t="s">
        <v>300</v>
      </c>
      <c r="J3591" t="s">
        <v>755</v>
      </c>
      <c r="K3591" t="s">
        <v>2515</v>
      </c>
      <c r="L3591" t="inlineStr">
        <is>
          <t>Douglas</t>
        </is>
      </c>
      <c r="M3591" t="inlineStr">
        <is>
          <t>Sharfe</t>
        </is>
      </c>
    </row>
    <row r="3592" spans="1:23">
      <c r="A3592">
        <v>19</v>
      </c>
      <c r="B3592">
        <v>12</v>
      </c>
      <c r="C3592">
        <v>2022</v>
      </c>
      <c r="D3592" s="3" t="s">
        <f>B3592&amp;"/"&amp;A3592&amp;"/"&amp;C3592</f>
        <v>3065</v>
      </c>
      <c r="E3592">
        <v>0.95833333333333337</v>
      </c>
      <c r="F3592" t="s">
        <f>I3592&amp;" "&amp;J3592&amp;" "&amp;K3592&amp;" "&amp;L3592&amp;" "&amp;M3592&amp;" "&amp;N3592</f>
        <v>2889</v>
      </c>
      <c r="G3592" t="s">
        <f>TEXT(D3592,"mmm dd")</f>
        <v>1114</v>
      </c>
      <c r="I3592" t="s">
        <v>2890</v>
      </c>
      <c r="J3592" t="s">
        <v>2891</v>
      </c>
    </row>
    <row r="3593" spans="1:23">
      <c r="A3593">
        <v>22</v>
      </c>
      <c r="B3593">
        <v>12</v>
      </c>
      <c r="C3593">
        <v>2022</v>
      </c>
      <c r="D3593" s="3" t="s">
        <f>B3593&amp;"/"&amp;A3593&amp;"/"&amp;C3593</f>
        <v>3066</v>
      </c>
      <c r="E3593">
        <v>0.625</v>
      </c>
      <c r="F3593" t="str">
        <f>I3593&amp;" "&amp;J3593&amp;" "&amp;K3593&amp;" "&amp;L3593&amp;" "&amp;M3593&amp;" "&amp;N3593</f>
        <v>mass     </v>
      </c>
      <c r="G3593" t="s">
        <f>TEXT(D3593,"mmm dd")</f>
        <v>1670</v>
      </c>
      <c r="I3593" t="s">
        <v>1774</v>
      </c>
    </row>
    <row r="3594" spans="1:23">
      <c r="A3594">
        <v>22</v>
      </c>
      <c r="B3594">
        <v>12</v>
      </c>
      <c r="C3594">
        <v>2022</v>
      </c>
      <c r="D3594" s="3" t="s">
        <f>B3594&amp;"/"&amp;A3594&amp;"/"&amp;C3594</f>
        <v>3066</v>
      </c>
      <c r="E3594">
        <v>0.88541666666666663</v>
      </c>
      <c r="F3594" t="str">
        <f>I3594&amp;" "&amp;J3594&amp;" "&amp;K3594&amp;" "&amp;L3594&amp;" "&amp;M3594&amp;" "&amp;N3594</f>
        <v>Lunch with clergy?? confirm  </v>
      </c>
      <c r="G3594" t="s">
        <f>TEXT(D3594,"mmm dd")</f>
        <v>1670</v>
      </c>
      <c r="I3594" t="s">
        <v>813</v>
      </c>
      <c r="J3594" t="s">
        <v>755</v>
      </c>
      <c r="K3594" t="inlineStr">
        <is>
          <t>clergy??</t>
        </is>
      </c>
      <c r="L3594" t="s">
        <v>2004</v>
      </c>
    </row>
    <row r="3595" spans="1:23">
      <c r="A3595">
        <v>23</v>
      </c>
      <c r="B3595">
        <v>12</v>
      </c>
      <c r="C3595">
        <v>2022</v>
      </c>
      <c r="D3595" s="3" t="str">
        <f>B3595&amp;"/"&amp;A3595&amp;"/"&amp;C3595</f>
        <v>12/23/2022</v>
      </c>
      <c r="E3595">
        <v>1.0833333333333333</v>
      </c>
      <c r="F3595" t="str">
        <f>I3595&amp;" "&amp;J3595&amp;" "&amp;K3595&amp;" "&amp;L3595&amp;" "&amp;M3595&amp;" "&amp;N3595</f>
        <v>   Cocktails with Judges</v>
      </c>
      <c r="G3595" t="s">
        <f>TEXT(D3595,"mmm dd")</f>
        <v>1129</v>
      </c>
      <c r="L3595" t="inlineStr">
        <is>
          <t>Cocktails</t>
        </is>
      </c>
      <c r="M3595" t="s">
        <v>755</v>
      </c>
      <c r="N3595" t="s">
        <v>2847</v>
      </c>
    </row>
    <row r="3596" spans="1:23">
      <c r="A3596">
        <v>25</v>
      </c>
      <c r="B3596">
        <v>12</v>
      </c>
      <c r="C3596">
        <v>2022</v>
      </c>
      <c r="D3596" s="3" t="str">
        <f>B3596&amp;"/"&amp;A3596&amp;"/"&amp;C3596</f>
        <v>12/25/2022</v>
      </c>
      <c r="E3596">
        <v>0.22916666666666666</v>
      </c>
      <c r="F3596" t="s">
        <f>I3596&amp;" "&amp;J3596&amp;" "&amp;K3596&amp;" "&amp;L3596&amp;" "&amp;M3596&amp;" "&amp;N3596</f>
        <v>1840</v>
      </c>
      <c r="G3596" t="s">
        <f>TEXT(D3596,"mmm dd")</f>
        <v>1468</v>
      </c>
      <c r="I3596" t="s">
        <v>1273</v>
      </c>
    </row>
    <row r="3597" spans="1:23">
      <c r="A3597">
        <v>30</v>
      </c>
      <c r="B3597">
        <v>12</v>
      </c>
      <c r="C3597">
        <v>2022</v>
      </c>
      <c r="D3597" s="3" t="str">
        <f>B3597&amp;"/"&amp;A3597&amp;"/"&amp;C3597</f>
        <v>12/30/2022</v>
      </c>
      <c r="E3597" t="s">
        <v>42</v>
      </c>
      <c r="F3597" t="str">
        <f>I3597&amp;" "&amp;J3597&amp;" "&amp;K3597&amp;" "&amp;L3597&amp;" "&amp;M3597&amp;" "&amp;N3597</f>
        <v>Champagne and scotch   </v>
      </c>
      <c r="G3597" t="s">
        <f>TEXT(D3597,"mmm dd")</f>
        <v>38</v>
      </c>
      <c r="I3597" t="inlineStr">
        <is>
          <t>Champagne</t>
        </is>
      </c>
      <c r="J3597" t="s">
        <v>135</v>
      </c>
      <c r="K3597" t="inlineStr">
        <is>
          <t>scotch</t>
        </is>
      </c>
    </row>
    <row r="3598" spans="1:23">
      <c r="A3598">
        <v>8</v>
      </c>
      <c r="B3598">
        <v>3</v>
      </c>
      <c r="C3598">
        <v>2023</v>
      </c>
      <c r="D3598" s="3" t="str">
        <f>B3598&amp;"/"&amp;A3598&amp;"/"&amp;C3598</f>
        <v>3/8/2023</v>
      </c>
      <c r="E3598">
        <v>0.625</v>
      </c>
      <c r="F3598" t="str">
        <f>I3598&amp;" "&amp;J3598&amp;" "&amp;K3598&amp;" "&amp;L3598&amp;" "&amp;M3598&amp;" "&amp;N3598</f>
        <v>Passport pickup    </v>
      </c>
      <c r="G3598" t="s">
        <f>TEXT(D3598,"mmm dd")</f>
        <v>1542</v>
      </c>
      <c r="I3598" t="inlineStr">
        <is>
          <t>Passport</t>
        </is>
      </c>
      <c r="J3598" t="s">
        <v>3014</v>
      </c>
    </row>
    <row r="3599" spans="1:23">
      <c r="A3599">
        <v>9</v>
      </c>
      <c r="B3599">
        <v>3</v>
      </c>
      <c r="C3599">
        <v>2023</v>
      </c>
      <c r="D3599" s="3" t="str">
        <f>B3599&amp;"/"&amp;A3599&amp;"/"&amp;C3599</f>
        <v>3/9/2023</v>
      </c>
      <c r="E3599">
        <v>0.69791666666666663</v>
      </c>
      <c r="F3599" t="str">
        <f>I3599&amp;" "&amp;J3599&amp;" "&amp;K3599&amp;" "&amp;L3599&amp;" "&amp;M3599&amp;" "&amp;N3599</f>
        <v>Mariner recognition    </v>
      </c>
      <c r="G3599" t="s">
        <f>TEXT(D3599,"mmm dd")</f>
        <v>1545</v>
      </c>
      <c r="I3599" t="inlineStr">
        <is>
          <t>Mariner</t>
        </is>
      </c>
      <c r="J3599" t="inlineStr">
        <is>
          <t>recognition</t>
        </is>
      </c>
    </row>
    <row r="3600" spans="1:23">
      <c r="A3600">
        <v>11</v>
      </c>
      <c r="B3600">
        <v>3</v>
      </c>
      <c r="C3600">
        <v>2023</v>
      </c>
      <c r="D3600" s="3" t="str">
        <f>B3600&amp;"/"&amp;A3600&amp;"/"&amp;C3600</f>
        <v>3/11/2023</v>
      </c>
      <c r="E3600">
        <v>1</v>
      </c>
      <c r="F3600" t="str">
        <f>I3600&amp;" "&amp;J3600&amp;" "&amp;K3600&amp;" "&amp;L3600&amp;" "&amp;M3600&amp;" "&amp;N3600</f>
        <v>Dinner at Pinnacle   </v>
      </c>
      <c r="G3600" t="s">
        <f>TEXT(D3600,"mmm dd")</f>
        <v>1550</v>
      </c>
      <c r="I3600" t="s">
        <v>838</v>
      </c>
      <c r="J3600" t="s">
        <v>53</v>
      </c>
      <c r="K3600" t="inlineStr">
        <is>
          <t>Pinnacle</t>
        </is>
      </c>
    </row>
    <row r="3601" spans="1:23">
      <c r="A3601">
        <v>16</v>
      </c>
      <c r="B3601">
        <v>3</v>
      </c>
      <c r="C3601">
        <v>2023</v>
      </c>
      <c r="D3601" s="3" t="str">
        <f>B3601&amp;"/"&amp;A3601&amp;"/"&amp;C3601</f>
        <v>3/16/2023</v>
      </c>
      <c r="E3601">
        <v>0.83333333333333337</v>
      </c>
      <c r="F3601" t="str">
        <f>I3601&amp;" "&amp;J3601&amp;" "&amp;K3601&amp;" "&amp;L3601&amp;" "&amp;M3601&amp;" "&amp;N3601</f>
        <v>Wine tasting at Crows Nest </v>
      </c>
      <c r="G3601" t="s">
        <f>TEXT(D3601,"mmm dd")</f>
        <v>1554</v>
      </c>
      <c r="I3601" t="inlineStr">
        <is>
          <t>Wine</t>
        </is>
      </c>
      <c r="J3601" t="inlineStr">
        <is>
          <t>tasting</t>
        </is>
      </c>
      <c r="K3601" t="s">
        <v>53</v>
      </c>
      <c r="L3601" t="inlineStr">
        <is>
          <t>Crows</t>
        </is>
      </c>
      <c r="M3601" t="inlineStr">
        <is>
          <t>Nest</t>
        </is>
      </c>
    </row>
    <row r="3602" spans="1:23">
      <c r="A3602">
        <v>18</v>
      </c>
      <c r="B3602">
        <v>3</v>
      </c>
      <c r="C3602">
        <v>2023</v>
      </c>
      <c r="D3602" s="3" t="str">
        <f>B3602&amp;"/"&amp;A3602&amp;"/"&amp;C3602</f>
        <v>3/18/2023</v>
      </c>
      <c r="E3602">
        <v>0.91666666666666663</v>
      </c>
      <c r="F3602" t="str">
        <f>I3602&amp;" "&amp;J3602&amp;" "&amp;K3602&amp;" "&amp;L3602&amp;" "&amp;M3602&amp;" "&amp;N3602</f>
        <v>Call to restart trash service </v>
      </c>
      <c r="G3602" t="s">
        <f>TEXT(D3602,"mmm dd")</f>
        <v>1251</v>
      </c>
      <c r="I3602" t="s">
        <v>1028</v>
      </c>
      <c r="J3602" t="s">
        <v>449</v>
      </c>
      <c r="K3602" t="inlineStr">
        <is>
          <t>restart</t>
        </is>
      </c>
      <c r="L3602" t="s">
        <v>2163</v>
      </c>
      <c r="M3602" t="s">
        <v>427</v>
      </c>
    </row>
    <row r="3603" spans="1:23">
      <c r="A3603">
        <v>19</v>
      </c>
      <c r="B3603">
        <v>3</v>
      </c>
      <c r="C3603">
        <v>2023</v>
      </c>
      <c r="D3603" s="3" t="s">
        <f>B3603&amp;"/"&amp;A3603&amp;"/"&amp;C3603</f>
        <v>3067</v>
      </c>
      <c r="E3603">
        <v>0.875</v>
      </c>
      <c r="F3603" t="str">
        <f>I3603&amp;" "&amp;J3603&amp;" "&amp;K3603&amp;" "&amp;L3603&amp;" "&amp;M3603&amp;" "&amp;N3603</f>
        <v>Call Kevin Plue   </v>
      </c>
      <c r="G3603" t="s">
        <f>TEXT(D3603,"mmm dd")</f>
        <v>1254</v>
      </c>
      <c r="I3603" t="s">
        <v>1028</v>
      </c>
      <c r="J3603" t="s">
        <v>1516</v>
      </c>
      <c r="K3603" t="inlineStr">
        <is>
          <t>Plue</t>
        </is>
      </c>
    </row>
    <row r="3604" spans="1:23">
      <c r="A3604">
        <v>19</v>
      </c>
      <c r="B3604">
        <v>3</v>
      </c>
      <c r="C3604">
        <v>2023</v>
      </c>
      <c r="D3604" s="3" t="s">
        <f>B3604&amp;"/"&amp;A3604&amp;"/"&amp;C3604</f>
        <v>3067</v>
      </c>
      <c r="E3604">
        <v>0.54166666666666663</v>
      </c>
      <c r="F3604" t="s">
        <f>I3604&amp;" "&amp;J3604&amp;" "&amp;K3604&amp;" "&amp;L3604&amp;" "&amp;M3604&amp;" "&amp;N3604</f>
        <v>1840</v>
      </c>
      <c r="G3604" t="s">
        <f>TEXT(D3604,"mmm dd")</f>
        <v>1254</v>
      </c>
      <c r="I3604" t="s">
        <v>1273</v>
      </c>
    </row>
    <row r="3605" spans="1:23">
      <c r="A3605">
        <v>22</v>
      </c>
      <c r="B3605">
        <v>3</v>
      </c>
      <c r="C3605">
        <v>2023</v>
      </c>
      <c r="D3605" s="3" t="str">
        <f>B3605&amp;"/"&amp;A3605&amp;"/"&amp;C3605</f>
        <v>3/22/2023</v>
      </c>
      <c r="E3605">
        <v>0.72916666666666663</v>
      </c>
      <c r="F3605" t="s">
        <f>I3605&amp;" "&amp;J3605&amp;" "&amp;K3605&amp;" "&amp;L3605&amp;" "&amp;M3605&amp;" "&amp;N3605</f>
        <v>3048</v>
      </c>
      <c r="G3605" t="s">
        <f>TEXT(D3605,"mmm dd")</f>
        <v>1886</v>
      </c>
      <c r="I3605" t="s">
        <v>2783</v>
      </c>
      <c r="J3605" t="s">
        <v>1948</v>
      </c>
    </row>
    <row r="3606" spans="1:23">
      <c r="A3606">
        <v>23</v>
      </c>
      <c r="B3606">
        <v>3</v>
      </c>
      <c r="C3606">
        <v>2023</v>
      </c>
      <c r="D3606" s="3" t="s">
        <f>B3606&amp;"/"&amp;A3606&amp;"/"&amp;C3606</f>
        <v>3068</v>
      </c>
      <c r="E3606">
        <v>0.84375</v>
      </c>
      <c r="F3606" t="str">
        <f>I3606&amp;" "&amp;J3606&amp;" "&amp;K3606&amp;" "&amp;L3606&amp;" "&amp;M3606&amp;" "&amp;N3606</f>
        <v>Clergy luncheon at Ozone Blue </v>
      </c>
      <c r="G3606" t="s">
        <f>TEXT(D3606,"mmm dd")</f>
        <v>1888</v>
      </c>
      <c r="I3606" t="s">
        <v>46</v>
      </c>
      <c r="J3606" t="s">
        <v>1014</v>
      </c>
      <c r="K3606" t="s">
        <v>53</v>
      </c>
      <c r="L3606" t="inlineStr">
        <is>
          <t>Ozone</t>
        </is>
      </c>
      <c r="M3606" t="inlineStr">
        <is>
          <t>Blue</t>
        </is>
      </c>
    </row>
    <row r="3607" spans="1:23">
      <c r="A3607">
        <v>23</v>
      </c>
      <c r="B3607">
        <v>3</v>
      </c>
      <c r="C3607">
        <v>2023</v>
      </c>
      <c r="D3607" s="3" t="s">
        <f>B3607&amp;"/"&amp;A3607&amp;"/"&amp;C3607</f>
        <v>3068</v>
      </c>
      <c r="E3607">
        <v>0.79166666666666663</v>
      </c>
      <c r="F3607" t="s">
        <f>I3607&amp;" "&amp;J3607&amp;" "&amp;K3607&amp;" "&amp;L3607&amp;" "&amp;M3607&amp;" "&amp;N3607</f>
        <v>3050</v>
      </c>
      <c r="G3607" t="s">
        <f>TEXT(D3607,"mmm dd")</f>
        <v>1888</v>
      </c>
      <c r="I3607" t="s">
        <v>855</v>
      </c>
      <c r="J3607" t="s">
        <v>1774</v>
      </c>
    </row>
    <row r="3608" spans="1:23">
      <c r="A3608">
        <v>23</v>
      </c>
      <c r="B3608">
        <v>3</v>
      </c>
      <c r="C3608">
        <v>2023</v>
      </c>
      <c r="D3608" s="3" t="s">
        <f>B3608&amp;"/"&amp;A3608&amp;"/"&amp;C3608</f>
        <v>3068</v>
      </c>
      <c r="E3608">
        <v>0.875</v>
      </c>
      <c r="F3608" t="str">
        <f>I3608&amp;" "&amp;J3608&amp;" "&amp;K3608&amp;" "&amp;L3608&amp;" "&amp;M3608&amp;" "&amp;N3608</f>
        <v>Mary Pat Sjostrom   Update</v>
      </c>
      <c r="G3608" t="s">
        <f>TEXT(D3608,"mmm dd")</f>
        <v>1888</v>
      </c>
      <c r="I3608" t="s">
        <v>410</v>
      </c>
      <c r="J3608" t="s">
        <v>702</v>
      </c>
      <c r="K3608" t="s">
        <v>2106</v>
      </c>
      <c r="N3608" t="s">
        <v>2798</v>
      </c>
    </row>
    <row r="3609" spans="1:23">
      <c r="A3609">
        <v>24</v>
      </c>
      <c r="B3609">
        <v>3</v>
      </c>
      <c r="C3609">
        <v>2023</v>
      </c>
      <c r="D3609" s="3" t="str">
        <f>B3609&amp;"/"&amp;A3609&amp;"/"&amp;C3609</f>
        <v>3/24/2023</v>
      </c>
      <c r="E3609">
        <v>1.0833333333333333</v>
      </c>
      <c r="F3609" t="s">
        <f>I3609&amp;" "&amp;J3609&amp;" "&amp;K3609&amp;" "&amp;L3609&amp;" "&amp;M3609&amp;" "&amp;N3609</f>
        <v>3038</v>
      </c>
      <c r="G3609" t="s">
        <f>TEXT(D3609,"mmm dd")</f>
        <v>1265</v>
      </c>
      <c r="I3609" t="s">
        <v>2850</v>
      </c>
      <c r="J3609" t="s">
        <v>802</v>
      </c>
      <c r="K3609" t="s">
        <v>755</v>
      </c>
      <c r="L3609" t="s">
        <v>2847</v>
      </c>
    </row>
    <row r="3610" spans="1:23">
      <c r="A3610">
        <v>25</v>
      </c>
      <c r="B3610">
        <v>3</v>
      </c>
      <c r="C3610">
        <v>2023</v>
      </c>
      <c r="D3610" s="3" t="str">
        <f>B3610&amp;"/"&amp;A3610&amp;"/"&amp;C3610</f>
        <v>3/25/2023</v>
      </c>
      <c r="E3610">
        <v>0.97916666666666663</v>
      </c>
      <c r="F3610" t="s">
        <f>I3610&amp;" "&amp;J3610&amp;" "&amp;K3610&amp;" "&amp;L3610&amp;" "&amp;M3610&amp;" "&amp;N3610</f>
        <v>3069</v>
      </c>
      <c r="G3610" t="s">
        <f>TEXT(D3610,"mmm dd")</f>
        <v>1559</v>
      </c>
      <c r="I3610" t="s">
        <v>1273</v>
      </c>
      <c r="L3610" t="s">
        <v>1316</v>
      </c>
    </row>
    <row r="3611" spans="1:23">
      <c r="A3611">
        <v>26</v>
      </c>
      <c r="B3611">
        <v>3</v>
      </c>
      <c r="C3611">
        <v>2023</v>
      </c>
      <c r="D3611" s="3" t="s">
        <f>B3611&amp;"/"&amp;A3611&amp;"/"&amp;C3611</f>
        <v>3070</v>
      </c>
      <c r="E3611">
        <v>0.75</v>
      </c>
      <c r="F3611" t="str">
        <f>I3611&amp;" "&amp;J3611&amp;" "&amp;K3611&amp;" "&amp;L3611&amp;" "&amp;M3611&amp;" "&amp;N3611</f>
        <v>Clergy coffee hour   </v>
      </c>
      <c r="G3611" t="s">
        <f>TEXT(D3611,"mmm dd")</f>
        <v>1560</v>
      </c>
      <c r="I3611" t="s">
        <v>46</v>
      </c>
      <c r="J3611" t="inlineStr">
        <is>
          <t>coffee</t>
        </is>
      </c>
      <c r="K3611" t="s">
        <v>802</v>
      </c>
    </row>
    <row r="3612" spans="1:23">
      <c r="A3612">
        <v>26</v>
      </c>
      <c r="B3612">
        <v>3</v>
      </c>
      <c r="C3612">
        <v>2023</v>
      </c>
      <c r="D3612" s="3" t="s">
        <f>B3612&amp;"/"&amp;A3612&amp;"/"&amp;C3612</f>
        <v>3070</v>
      </c>
      <c r="E3612">
        <v>0.52083333333333337</v>
      </c>
      <c r="F3612" t="s">
        <f>I3612&amp;" "&amp;J3612&amp;" "&amp;K3612&amp;" "&amp;L3612&amp;" "&amp;M3612&amp;" "&amp;N3612</f>
        <v>3069</v>
      </c>
      <c r="G3612" t="s">
        <f>TEXT(D3612,"mmm dd")</f>
        <v>1560</v>
      </c>
      <c r="I3612" t="s">
        <v>1273</v>
      </c>
      <c r="L3612" t="s">
        <v>1316</v>
      </c>
    </row>
    <row r="3613" spans="1:23">
      <c r="A3613">
        <v>28</v>
      </c>
      <c r="B3613">
        <v>3</v>
      </c>
      <c r="C3613">
        <v>2023</v>
      </c>
      <c r="D3613" s="3" t="str">
        <f>B3613&amp;"/"&amp;A3613&amp;"/"&amp;C3613</f>
        <v>3/28/2023</v>
      </c>
      <c r="E3613">
        <v>0.79166666666666663</v>
      </c>
      <c r="F3613" t="str">
        <f>I3613&amp;" "&amp;J3613&amp;" "&amp;K3613&amp;" "&amp;L3613&amp;" "&amp;M3613&amp;" "&amp;N3613</f>
        <v>Harpsichord recital    </v>
      </c>
      <c r="G3613" t="s">
        <f>TEXT(D3613,"mmm dd")</f>
        <v>1562</v>
      </c>
      <c r="I3613" t="inlineStr">
        <is>
          <t>Harpsichord</t>
        </is>
      </c>
      <c r="J3613" t="s">
        <v>1817</v>
      </c>
    </row>
    <row r="3614" spans="1:23">
      <c r="A3614">
        <v>30</v>
      </c>
      <c r="B3614">
        <v>3</v>
      </c>
      <c r="C3614">
        <v>2023</v>
      </c>
      <c r="D3614" s="3" t="str">
        <f>B3614&amp;"/"&amp;A3614&amp;"/"&amp;C3614</f>
        <v>3/30/2023</v>
      </c>
      <c r="E3614">
        <v>0.625</v>
      </c>
      <c r="F3614" t="s">
        <f>I3614&amp;" "&amp;J3614&amp;" "&amp;K3614&amp;" "&amp;L3614&amp;" "&amp;M3614&amp;" "&amp;N3614</f>
        <v>3071</v>
      </c>
      <c r="G3614" t="s">
        <f>TEXT(D3614,"mmm dd")</f>
        <v>1900</v>
      </c>
      <c r="I3614" t="s">
        <v>855</v>
      </c>
      <c r="J3614" t="s">
        <v>1273</v>
      </c>
    </row>
    <row r="3615" spans="1:23">
      <c r="A3615">
        <v>31</v>
      </c>
      <c r="B3615">
        <v>3</v>
      </c>
      <c r="C3615">
        <v>2023</v>
      </c>
      <c r="D3615" s="3" t="str">
        <f>B3615&amp;"/"&amp;A3615&amp;"/"&amp;C3615</f>
        <v>3/31/2023</v>
      </c>
      <c r="E3615">
        <v>1.0625</v>
      </c>
      <c r="F3615" t="str">
        <f>I3615&amp;" "&amp;J3615&amp;" "&amp;K3615&amp;" "&amp;L3615&amp;" "&amp;M3615&amp;" "&amp;N3615</f>
        <v>Farewell to next door neighbors </v>
      </c>
      <c r="G3615" t="s">
        <f>TEXT(D3615,"mmm dd")</f>
        <v>1267</v>
      </c>
      <c r="I3615" t="s">
        <v>1945</v>
      </c>
      <c r="J3615" t="s">
        <v>449</v>
      </c>
      <c r="K3615" t="inlineStr">
        <is>
          <t>next</t>
        </is>
      </c>
      <c r="L3615" t="inlineStr">
        <is>
          <t>door</t>
        </is>
      </c>
      <c r="M3615" t="inlineStr">
        <is>
          <t>neighbors</t>
        </is>
      </c>
    </row>
    <row r="3616" spans="1:23">
      <c r="A3616">
        <v>6</v>
      </c>
      <c r="B3616">
        <v>4</v>
      </c>
      <c r="C3616">
        <v>2023</v>
      </c>
      <c r="D3616" s="3" t="str">
        <f>B3616&amp;"/"&amp;A3616&amp;"/"&amp;C3616</f>
        <v>4/6/2023</v>
      </c>
      <c r="E3616">
        <v>1.0625</v>
      </c>
      <c r="F3616" t="s">
        <f>I3616&amp;" "&amp;J3616&amp;" "&amp;K3616&amp;" "&amp;L3616&amp;" "&amp;M3616&amp;" "&amp;N3616</f>
        <v>1907</v>
      </c>
      <c r="G3616" t="s">
        <f>TEXT(D3616,"mmm dd")</f>
        <v>118</v>
      </c>
      <c r="I3616" t="s">
        <v>1564</v>
      </c>
      <c r="J3616" t="s">
        <v>1908</v>
      </c>
    </row>
    <row r="3617" spans="1:23">
      <c r="A3617">
        <v>7</v>
      </c>
      <c r="B3617">
        <v>4</v>
      </c>
      <c r="C3617">
        <v>2023</v>
      </c>
      <c r="D3617" s="3" t="str">
        <f>B3617&amp;"/"&amp;A3617&amp;"/"&amp;C3617</f>
        <v>4/7/2023</v>
      </c>
      <c r="E3617">
        <v>0.79166666666666663</v>
      </c>
      <c r="F3617" t="s">
        <f>I3617&amp;" "&amp;J3617&amp;" "&amp;K3617&amp;" "&amp;L3617&amp;" "&amp;M3617&amp;" "&amp;N3617</f>
        <v>1909</v>
      </c>
      <c r="G3617" t="s">
        <f>TEXT(D3617,"mmm dd")</f>
        <v>125</v>
      </c>
      <c r="I3617" t="s">
        <v>1268</v>
      </c>
      <c r="J3617" t="s">
        <v>512</v>
      </c>
    </row>
    <row r="3618" spans="1:23">
      <c r="A3618">
        <v>9</v>
      </c>
      <c r="B3618">
        <v>4</v>
      </c>
      <c r="C3618">
        <v>2023</v>
      </c>
      <c r="D3618" s="3" t="str">
        <f>B3618&amp;"/"&amp;A3618&amp;"/"&amp;C3618</f>
        <v>4/9/2023</v>
      </c>
      <c r="E3618">
        <v>0.125</v>
      </c>
      <c r="F3618" t="s">
        <f>I3618&amp;" "&amp;J3618&amp;" "&amp;K3618&amp;" "&amp;L3618&amp;" "&amp;M3618&amp;" "&amp;N3618</f>
        <v>3016</v>
      </c>
      <c r="G3618" t="s">
        <f>TEXT(D3618,"mmm dd")</f>
        <v>147</v>
      </c>
      <c r="I3618" t="s">
        <v>1568</v>
      </c>
      <c r="J3618" t="s">
        <v>2511</v>
      </c>
    </row>
    <row r="3619" spans="1:23">
      <c r="A3619">
        <v>11</v>
      </c>
      <c r="B3619">
        <v>4</v>
      </c>
      <c r="C3619">
        <v>2023</v>
      </c>
      <c r="D3619" s="3" t="str">
        <f>B3619&amp;"/"&amp;A3619&amp;"/"&amp;C3619</f>
        <v>4/11/2023</v>
      </c>
      <c r="E3619">
        <v>0.83333333333333337</v>
      </c>
      <c r="F3619" t="s">
        <f>I3619&amp;" "&amp;J3619&amp;" "&amp;K3619&amp;" "&amp;L3619&amp;" "&amp;M3619&amp;" "&amp;N3619</f>
        <v>3072</v>
      </c>
      <c r="G3619" t="s">
        <f>TEXT(D3619,"mmm dd")</f>
        <v>161</v>
      </c>
      <c r="I3619" t="s">
        <v>1791</v>
      </c>
      <c r="J3619" t="s">
        <v>3042</v>
      </c>
    </row>
    <row r="3620" spans="1:23">
      <c r="A3620">
        <v>14</v>
      </c>
      <c r="B3620">
        <v>4</v>
      </c>
      <c r="C3620">
        <v>2023</v>
      </c>
      <c r="D3620" s="3" t="str">
        <f>B3620&amp;"/"&amp;A3620&amp;"/"&amp;C3620</f>
        <v>4/14/2023</v>
      </c>
      <c r="E3620">
        <v>0.77083333333333337</v>
      </c>
      <c r="F3620" t="str">
        <f>I3620&amp;" "&amp;J3620&amp;" "&amp;K3620&amp;" "&amp;L3620&amp;" "&amp;M3620&amp;" "&amp;N3620</f>
        <v>Bill's Auto repair for AC </v>
      </c>
      <c r="G3620" t="s">
        <f>TEXT(D3620,"mmm dd")</f>
        <v>1576</v>
      </c>
      <c r="I3620" t="s">
        <v>1507</v>
      </c>
      <c r="J3620" t="inlineStr">
        <is>
          <t>Auto</t>
        </is>
      </c>
      <c r="K3620" t="s">
        <v>2104</v>
      </c>
      <c r="L3620" t="s">
        <v>439</v>
      </c>
      <c r="M3620" t="inlineStr">
        <is>
          <t>AC</t>
        </is>
      </c>
    </row>
    <row r="3621" spans="1:23">
      <c r="A3621">
        <v>15</v>
      </c>
      <c r="B3621">
        <v>4</v>
      </c>
      <c r="C3621">
        <v>2023</v>
      </c>
      <c r="D3621" s="3" t="str">
        <f>B3621&amp;"/"&amp;A3621&amp;"/"&amp;C3621</f>
        <v>4/15/2023</v>
      </c>
      <c r="E3621">
        <v>0.97916666666666663</v>
      </c>
      <c r="F3621" t="s">
        <f>I3621&amp;" "&amp;J3621&amp;" "&amp;K3621&amp;" "&amp;L3621&amp;" "&amp;M3621&amp;" "&amp;N3621</f>
        <v>1840</v>
      </c>
      <c r="G3621" t="s">
        <f>TEXT(D3621,"mmm dd")</f>
        <v>179</v>
      </c>
      <c r="I3621" t="s">
        <v>1273</v>
      </c>
    </row>
    <row r="3622" spans="1:23">
      <c r="A3622">
        <v>16</v>
      </c>
      <c r="B3622">
        <v>4</v>
      </c>
      <c r="C3622">
        <v>2023</v>
      </c>
      <c r="D3622" s="3" t="str">
        <f>B3622&amp;"/"&amp;A3622&amp;"/"&amp;C3622</f>
        <v>4/16/2023</v>
      </c>
      <c r="E3622">
        <v>0.52083333333333337</v>
      </c>
      <c r="F3622" t="s">
        <f>I3622&amp;" "&amp;J3622&amp;" "&amp;K3622&amp;" "&amp;L3622&amp;" "&amp;M3622&amp;" "&amp;N3622</f>
        <v>1840</v>
      </c>
      <c r="G3622" t="s">
        <f>TEXT(D3622,"mmm dd")</f>
        <v>184</v>
      </c>
      <c r="I3622" t="s">
        <v>1273</v>
      </c>
    </row>
    <row r="3623" spans="1:23">
      <c r="A3623">
        <v>17</v>
      </c>
      <c r="B3623">
        <v>4</v>
      </c>
      <c r="C3623">
        <v>2023</v>
      </c>
      <c r="D3623" s="3" t="str">
        <f>B3623&amp;"/"&amp;A3623&amp;"/"&amp;C3623</f>
        <v>4/17/2023</v>
      </c>
      <c r="E3623">
        <v>0.69791666666666663</v>
      </c>
      <c r="F3623" t="s">
        <f>I3623&amp;" "&amp;J3623&amp;" "&amp;K3623&amp;" "&amp;L3623&amp;" "&amp;M3623&amp;" "&amp;N3623</f>
        <v>3073</v>
      </c>
      <c r="G3623" t="s">
        <f>TEXT(D3623,"mmm dd")</f>
        <v>187</v>
      </c>
      <c r="I3623" t="s">
        <v>1791</v>
      </c>
      <c r="J3623" t="s">
        <v>528</v>
      </c>
    </row>
    <row r="3624" spans="1:23">
      <c r="A3624">
        <v>18</v>
      </c>
      <c r="B3624">
        <v>4</v>
      </c>
      <c r="C3624">
        <v>2023</v>
      </c>
      <c r="D3624" s="3" t="str">
        <f>B3624&amp;"/"&amp;A3624&amp;"/"&amp;C3624</f>
        <v>4/18/2023</v>
      </c>
      <c r="E3624" t="s">
        <v>42</v>
      </c>
      <c r="F3624" t="str">
        <f>I3624&amp;" "&amp;J3624&amp;" "&amp;K3624&amp;" "&amp;L3624&amp;" "&amp;M3624&amp;" "&amp;N3624</f>
        <v>Travel for Wedding   </v>
      </c>
      <c r="G3624" t="s">
        <f>TEXT(D3624,"mmm dd")</f>
        <v>193</v>
      </c>
      <c r="I3624" t="s">
        <v>1971</v>
      </c>
      <c r="J3624" t="s">
        <v>439</v>
      </c>
      <c r="K3624" t="s">
        <v>526</v>
      </c>
    </row>
    <row r="3625" spans="1:23">
      <c r="A3625">
        <v>25</v>
      </c>
      <c r="B3625">
        <v>4</v>
      </c>
      <c r="C3625">
        <v>2023</v>
      </c>
      <c r="D3625" s="3" t="str">
        <f>B3625&amp;"/"&amp;A3625&amp;"/"&amp;C3625</f>
        <v>4/25/2023</v>
      </c>
      <c r="E3625">
        <v>0.77083333333333337</v>
      </c>
      <c r="F3625" t="s">
        <f>I3625&amp;" "&amp;J3625&amp;" "&amp;K3625&amp;" "&amp;L3625&amp;" "&amp;M3625&amp;" "&amp;N3625</f>
        <v>2889</v>
      </c>
      <c r="G3625" t="s">
        <f>TEXT(D3625,"mmm dd")</f>
        <v>227</v>
      </c>
      <c r="I3625" t="s">
        <v>2890</v>
      </c>
      <c r="J3625" t="s">
        <v>2891</v>
      </c>
    </row>
    <row r="3626" spans="1:23">
      <c r="A3626">
        <v>1</v>
      </c>
      <c r="B3626">
        <v>5</v>
      </c>
      <c r="C3626">
        <v>2023</v>
      </c>
      <c r="D3626" s="3" t="str">
        <f>B3626&amp;"/"&amp;A3626&amp;"/"&amp;C3626</f>
        <v>5/1/2023</v>
      </c>
      <c r="E3626">
        <v>0.63541666666666663</v>
      </c>
      <c r="F3626" t="str">
        <f>I3626&amp;" "&amp;J3626&amp;" "&amp;K3626&amp;" "&amp;L3626&amp;" "&amp;M3626&amp;" "&amp;N3626</f>
        <v>Baycare Lab work   </v>
      </c>
      <c r="G3626" t="s">
        <f>TEXT(D3626,"mmm dd")</f>
        <v>249</v>
      </c>
      <c r="I3626" t="s">
        <v>3043</v>
      </c>
      <c r="J3626" t="s">
        <v>2597</v>
      </c>
      <c r="K3626" t="s">
        <v>990</v>
      </c>
    </row>
    <row r="3627" spans="1:23">
      <c r="A3627">
        <v>2</v>
      </c>
      <c r="B3627">
        <v>5</v>
      </c>
      <c r="C3627">
        <v>2023</v>
      </c>
      <c r="D3627" s="3" t="str">
        <f>B3627&amp;"/"&amp;A3627&amp;"/"&amp;C3627</f>
        <v>5/2/2023</v>
      </c>
      <c r="E3627">
        <v>0.6875</v>
      </c>
      <c r="F3627" t="str">
        <f>I3627&amp;" "&amp;J3627&amp;" "&amp;K3627&amp;" "&amp;L3627&amp;" "&amp;M3627&amp;" "&amp;N3627</f>
        <v>Lokey Kia servicing   </v>
      </c>
      <c r="G3627" t="s">
        <f>TEXT(D3627,"mmm dd")</f>
        <v>256</v>
      </c>
      <c r="I3627" t="s">
        <v>3041</v>
      </c>
      <c r="J3627" t="s">
        <v>1370</v>
      </c>
      <c r="K3627" t="s">
        <v>3021</v>
      </c>
    </row>
    <row r="3628" spans="1:23">
      <c r="A3628">
        <v>3</v>
      </c>
      <c r="B3628">
        <v>5</v>
      </c>
      <c r="C3628">
        <v>2023</v>
      </c>
      <c r="D3628" s="3" t="str">
        <f>B3628&amp;"/"&amp;A3628&amp;"/"&amp;C3628</f>
        <v>5/3/2023</v>
      </c>
      <c r="E3628">
        <v>0.72916666666666663</v>
      </c>
      <c r="F3628" t="s">
        <f>I3628&amp;" "&amp;J3628&amp;" "&amp;K3628&amp;" "&amp;L3628&amp;" "&amp;M3628&amp;" "&amp;N3628</f>
        <v>2951</v>
      </c>
      <c r="G3628" t="s">
        <f>TEXT(D3628,"mmm dd")</f>
        <v>262</v>
      </c>
      <c r="I3628" t="s">
        <v>2716</v>
      </c>
    </row>
    <row r="3629" spans="1:23">
      <c r="A3629">
        <v>5</v>
      </c>
      <c r="B3629">
        <v>5</v>
      </c>
      <c r="C3629">
        <v>2023</v>
      </c>
      <c r="D3629" s="3" t="str">
        <f>B3629&amp;"/"&amp;A3629&amp;"/"&amp;C3629</f>
        <v>5/5/2023</v>
      </c>
      <c r="E3629">
        <v>0.78125</v>
      </c>
      <c r="F3629" t="str">
        <f>I3629&amp;" "&amp;J3629&amp;" "&amp;K3629&amp;" "&amp;L3629&amp;" "&amp;M3629&amp;" "&amp;N3629</f>
        <v>mysafe home inspection   </v>
      </c>
      <c r="G3629" t="s">
        <f>TEXT(D3629,"mmm dd")</f>
        <v>2212</v>
      </c>
      <c r="I3629" t="inlineStr">
        <is>
          <t>mysafe</t>
        </is>
      </c>
      <c r="J3629" t="s">
        <v>549</v>
      </c>
      <c r="K3629" t="inlineStr">
        <is>
          <t>inspection</t>
        </is>
      </c>
    </row>
    <row r="3630" spans="1:23">
      <c r="A3630">
        <v>6</v>
      </c>
      <c r="B3630">
        <v>5</v>
      </c>
      <c r="C3630">
        <v>2023</v>
      </c>
      <c r="D3630" s="3" t="str">
        <f>B3630&amp;"/"&amp;A3630&amp;"/"&amp;C3630</f>
        <v>5/6/2023</v>
      </c>
      <c r="E3630">
        <v>1</v>
      </c>
      <c r="F3630" t="str">
        <f>I3630&amp;" "&amp;J3630&amp;" "&amp;K3630&amp;" "&amp;L3630&amp;" "&amp;M3630&amp;" "&amp;N3630</f>
        <v>Preach St. Alfreds   </v>
      </c>
      <c r="G3630" t="s">
        <f>TEXT(D3630,"mmm dd")</f>
        <v>277</v>
      </c>
      <c r="I3630" t="s">
        <v>2441</v>
      </c>
      <c r="J3630" t="s">
        <v>218</v>
      </c>
      <c r="K3630" t="inlineStr">
        <is>
          <t>Alfreds</t>
        </is>
      </c>
    </row>
    <row r="3631" spans="1:23">
      <c r="A3631">
        <v>7</v>
      </c>
      <c r="B3631">
        <v>5</v>
      </c>
      <c r="C3631">
        <v>2023</v>
      </c>
      <c r="D3631" s="3" t="str">
        <f>B3631&amp;"/"&amp;A3631&amp;"/"&amp;C3631</f>
        <v>5/7/2023</v>
      </c>
      <c r="E3631">
        <v>0.54166666666666663</v>
      </c>
      <c r="F3631" t="str">
        <f>I3631&amp;" "&amp;J3631&amp;" "&amp;K3631&amp;" "&amp;L3631&amp;" "&amp;M3631&amp;" "&amp;N3631</f>
        <v>Preach at Mass   </v>
      </c>
      <c r="G3631" t="s">
        <f>TEXT(D3631,"mmm dd")</f>
        <v>279</v>
      </c>
      <c r="I3631" t="s">
        <v>2441</v>
      </c>
      <c r="J3631" t="s">
        <v>53</v>
      </c>
      <c r="K3631" t="s">
        <v>1273</v>
      </c>
    </row>
    <row r="3632" spans="1:23">
      <c r="A3632">
        <v>23</v>
      </c>
      <c r="B3632">
        <v>5</v>
      </c>
      <c r="C3632">
        <v>2023</v>
      </c>
      <c r="D3632" s="3" t="s">
        <f>B3632&amp;"/"&amp;A3632&amp;"/"&amp;C3632</f>
        <v>3074</v>
      </c>
      <c r="E3632">
        <v>0.70833333333333337</v>
      </c>
      <c r="F3632" t="str">
        <f>I3632&amp;" "&amp;J3632&amp;" "&amp;K3632&amp;" "&amp;L3632&amp;" "&amp;M3632&amp;" "&amp;N3632</f>
        <v>Dr m irvin   </v>
      </c>
      <c r="G3632" t="s">
        <f>TEXT(D3632,"mmm dd")</f>
        <v>360</v>
      </c>
      <c r="I3632" t="s">
        <v>1791</v>
      </c>
      <c r="J3632" t="inlineStr">
        <is>
          <t>m</t>
        </is>
      </c>
      <c r="K3632" t="inlineStr">
        <is>
          <t>irvin</t>
        </is>
      </c>
    </row>
    <row r="3633" spans="1:23">
      <c r="A3633">
        <v>23</v>
      </c>
      <c r="B3633">
        <v>5</v>
      </c>
      <c r="C3633">
        <v>2023</v>
      </c>
      <c r="D3633" s="3" t="s">
        <f>B3633&amp;"/"&amp;A3633&amp;"/"&amp;C3633</f>
        <v>3074</v>
      </c>
      <c r="E3633" t="s">
        <v>42</v>
      </c>
      <c r="F3633" t="s">
        <f>I3633&amp;" "&amp;J3633&amp;" "&amp;K3633&amp;" "&amp;L3633&amp;" "&amp;M3633&amp;" "&amp;N3633</f>
        <v>3075</v>
      </c>
      <c r="G3633" t="s">
        <f>TEXT(D3633,"mmm dd")</f>
        <v>360</v>
      </c>
      <c r="I3633" t="inlineStr">
        <is>
          <t>Laura</t>
        </is>
      </c>
      <c r="J3633" t="inlineStr">
        <is>
          <t>Guttierez</t>
        </is>
      </c>
      <c r="K3633" t="s">
        <v>319</v>
      </c>
    </row>
    <row r="3634" spans="1:23">
      <c r="A3634">
        <v>24</v>
      </c>
      <c r="B3634">
        <v>5</v>
      </c>
      <c r="C3634">
        <v>2023</v>
      </c>
      <c r="D3634" s="3" t="str">
        <f>B3634&amp;"/"&amp;A3634&amp;"/"&amp;C3634</f>
        <v>5/24/2023</v>
      </c>
      <c r="E3634">
        <v>0.76041666666666663</v>
      </c>
      <c r="F3634" t="s">
        <f>I3634&amp;" "&amp;J3634&amp;" "&amp;K3634&amp;" "&amp;L3634&amp;" "&amp;M3634&amp;" "&amp;N3634</f>
        <v>3057</v>
      </c>
      <c r="G3634" t="s">
        <f>TEXT(D3634,"mmm dd")</f>
        <v>367</v>
      </c>
      <c r="I3634" t="s">
        <v>3053</v>
      </c>
      <c r="J3634" t="s">
        <v>3058</v>
      </c>
    </row>
    <row r="3635" spans="1:23">
      <c r="A3635">
        <v>25</v>
      </c>
      <c r="B3635">
        <v>5</v>
      </c>
      <c r="C3635">
        <v>2023</v>
      </c>
      <c r="D3635" s="3" t="str">
        <f>B3635&amp;"/"&amp;A3635&amp;"/"&amp;C3635</f>
        <v>5/25/2023</v>
      </c>
      <c r="E3635">
        <v>0.70833333333333337</v>
      </c>
      <c r="F3635" t="s">
        <f>I3635&amp;" "&amp;J3635&amp;" "&amp;K3635&amp;" "&amp;L3635&amp;" "&amp;M3635&amp;" "&amp;N3635</f>
        <v>2889</v>
      </c>
      <c r="G3635" t="s">
        <f>TEXT(D3635,"mmm dd")</f>
        <v>380</v>
      </c>
      <c r="I3635" t="s">
        <v>2890</v>
      </c>
      <c r="J3635" t="s">
        <v>2891</v>
      </c>
    </row>
    <row r="3636" spans="1:23">
      <c r="A3636">
        <v>27</v>
      </c>
      <c r="B3636">
        <v>5</v>
      </c>
      <c r="C3636">
        <v>2023</v>
      </c>
      <c r="D3636" s="3" t="str">
        <f>B3636&amp;"/"&amp;A3636&amp;"/"&amp;C3636</f>
        <v>5/27/2023</v>
      </c>
      <c r="E3636">
        <v>0.79166666666666663</v>
      </c>
      <c r="F3636" t="str">
        <f>I3636&amp;" "&amp;J3636&amp;" "&amp;K3636&amp;" "&amp;L3636&amp;" "&amp;M3636&amp;" "&amp;N3636</f>
        <v>Window World   estimate </v>
      </c>
      <c r="G3636" t="s">
        <f>TEXT(D3636,"mmm dd")</f>
        <v>391</v>
      </c>
      <c r="I3636" t="inlineStr">
        <is>
          <t>Window</t>
        </is>
      </c>
      <c r="J3636" t="s">
        <v>2253</v>
      </c>
      <c r="M3636" t="s">
        <v>2805</v>
      </c>
    </row>
    <row r="3637" spans="1:23">
      <c r="A3637">
        <v>30</v>
      </c>
      <c r="B3637">
        <v>5</v>
      </c>
      <c r="C3637">
        <v>2023</v>
      </c>
      <c r="D3637" s="3" t="str">
        <f>B3637&amp;"/"&amp;A3637&amp;"/"&amp;C3637</f>
        <v>5/30/2023</v>
      </c>
      <c r="E3637">
        <v>0.875</v>
      </c>
      <c r="F3637" t="str">
        <f>I3637&amp;" "&amp;J3637&amp;" "&amp;K3637&amp;" "&amp;L3637&amp;" "&amp;M3637&amp;" "&amp;N3637</f>
        <v>Armortech window est.   </v>
      </c>
      <c r="G3637" t="s">
        <f>TEXT(D3637,"mmm dd")</f>
        <v>402</v>
      </c>
      <c r="I3637" t="inlineStr">
        <is>
          <t>Armortech</t>
        </is>
      </c>
      <c r="J3637" t="s">
        <v>1963</v>
      </c>
      <c r="K3637" t="inlineStr">
        <is>
          <t>est.</t>
        </is>
      </c>
    </row>
    <row r="3638" spans="1:23">
      <c r="A3638">
        <v>1</v>
      </c>
      <c r="B3638">
        <v>6</v>
      </c>
      <c r="C3638">
        <v>2023</v>
      </c>
      <c r="D3638" s="3" t="str">
        <f>B3638&amp;"/"&amp;A3638&amp;"/"&amp;C3638</f>
        <v>6/1/2023</v>
      </c>
      <c r="E3638">
        <v>0.79166666666666663</v>
      </c>
      <c r="F3638" t="str">
        <f>I3638&amp;" "&amp;J3638&amp;" "&amp;K3638&amp;" "&amp;L3638&amp;" "&amp;M3638&amp;" "&amp;N3638</f>
        <v>Bozarth windows &amp; doors  </v>
      </c>
      <c r="G3638" t="s">
        <f>TEXT(D3638,"mmm dd")</f>
        <v>421</v>
      </c>
      <c r="I3638" t="s">
        <v>3076</v>
      </c>
      <c r="J3638" t="s">
        <v>3077</v>
      </c>
      <c r="K3638" t="s">
        <v>73</v>
      </c>
      <c r="L3638" t="inlineStr">
        <is>
          <t>doors</t>
        </is>
      </c>
    </row>
    <row r="3639" spans="1:23">
      <c r="A3639">
        <v>5</v>
      </c>
      <c r="B3639">
        <v>6</v>
      </c>
      <c r="C3639">
        <v>2023</v>
      </c>
      <c r="D3639" s="3" t="str">
        <f>B3639&amp;"/"&amp;A3639&amp;"/"&amp;C3639</f>
        <v>6/5/2023</v>
      </c>
      <c r="E3639">
        <v>0.70833333333333337</v>
      </c>
      <c r="F3639" t="str">
        <f>I3639&amp;" "&amp;J3639&amp;" "&amp;K3639&amp;" "&amp;L3639&amp;" "&amp;M3639&amp;" "&amp;N3639</f>
        <v>Affordable windows    </v>
      </c>
      <c r="G3639" t="s">
        <f>TEXT(D3639,"mmm dd")</f>
        <v>446</v>
      </c>
      <c r="I3639" t="inlineStr">
        <is>
          <t>Affordable</t>
        </is>
      </c>
      <c r="J3639" t="s">
        <v>3077</v>
      </c>
    </row>
    <row r="3640" spans="1:23">
      <c r="A3640">
        <v>6</v>
      </c>
      <c r="B3640">
        <v>6</v>
      </c>
      <c r="C3640">
        <v>2023</v>
      </c>
      <c r="D3640" s="3" t="str">
        <f>B3640&amp;"/"&amp;A3640&amp;"/"&amp;C3640</f>
        <v>6/6/2023</v>
      </c>
      <c r="E3640">
        <v>0.625</v>
      </c>
      <c r="F3640" t="str">
        <f>I3640&amp;" "&amp;J3640&amp;" "&amp;K3640&amp;" "&amp;L3640&amp;" "&amp;M3640&amp;" "&amp;N3640</f>
        <v>Organ delivered    </v>
      </c>
      <c r="G3640" t="s">
        <f>TEXT(D3640,"mmm dd")</f>
        <v>462</v>
      </c>
      <c r="I3640" t="inlineStr">
        <is>
          <t>Organ</t>
        </is>
      </c>
      <c r="J3640" t="inlineStr">
        <is>
          <t>delivered</t>
        </is>
      </c>
    </row>
    <row r="3641" spans="1:23">
      <c r="A3641">
        <v>9</v>
      </c>
      <c r="B3641">
        <v>6</v>
      </c>
      <c r="C3641">
        <v>2023</v>
      </c>
      <c r="D3641" s="3" t="str">
        <f>B3641&amp;"/"&amp;A3641&amp;"/"&amp;C3641</f>
        <v>6/9/2023</v>
      </c>
      <c r="E3641">
        <v>0.70833333333333337</v>
      </c>
      <c r="F3641" t="str">
        <f>I3641&amp;" "&amp;J3641&amp;" "&amp;K3641&amp;" "&amp;L3641&amp;" "&amp;M3641&amp;" "&amp;N3641</f>
        <v>Meet Peter re Sunday  </v>
      </c>
      <c r="G3641" t="s">
        <f>TEXT(D3641,"mmm dd")</f>
        <v>467</v>
      </c>
      <c r="I3641" t="s">
        <v>300</v>
      </c>
      <c r="J3641" t="s">
        <v>604</v>
      </c>
      <c r="K3641" t="s">
        <v>594</v>
      </c>
      <c r="L3641" t="s">
        <v>341</v>
      </c>
    </row>
    <row r="3642" spans="1:23">
      <c r="A3642">
        <v>10</v>
      </c>
      <c r="B3642">
        <v>6</v>
      </c>
      <c r="C3642">
        <v>2023</v>
      </c>
      <c r="D3642" s="3" t="str">
        <f>B3642&amp;"/"&amp;A3642&amp;"/"&amp;C3642</f>
        <v>6/10/2023</v>
      </c>
      <c r="E3642">
        <v>1</v>
      </c>
      <c r="F3642" t="str">
        <f>I3642&amp;" "&amp;J3642&amp;" "&amp;K3642&amp;" "&amp;L3642&amp;" "&amp;M3642&amp;" "&amp;N3642</f>
        <v>Celebrate at St Alfred's  </v>
      </c>
      <c r="G3642" t="s">
        <f>TEXT(D3642,"mmm dd")</f>
        <v>475</v>
      </c>
      <c r="I3642" t="s">
        <v>3078</v>
      </c>
      <c r="J3642" t="s">
        <v>53</v>
      </c>
      <c r="K3642" t="s">
        <v>1796</v>
      </c>
      <c r="L3642" t="s">
        <v>3049</v>
      </c>
    </row>
    <row r="3643" spans="1:23">
      <c r="A3643">
        <v>11</v>
      </c>
      <c r="B3643">
        <v>6</v>
      </c>
      <c r="C3643">
        <v>2023</v>
      </c>
      <c r="D3643" s="3" t="s">
        <f>B3643&amp;"/"&amp;A3643&amp;"/"&amp;C3643</f>
        <v>3079</v>
      </c>
      <c r="E3643">
        <v>0.54166666666666663</v>
      </c>
      <c r="F3643" t="s">
        <f>I3643&amp;" "&amp;J3643&amp;" "&amp;K3643&amp;" "&amp;L3643&amp;" "&amp;M3643&amp;" "&amp;N3643</f>
        <v>1840</v>
      </c>
      <c r="G3643" t="s">
        <f>TEXT(D3643,"mmm dd")</f>
        <v>487</v>
      </c>
      <c r="I3643" t="s">
        <v>1273</v>
      </c>
    </row>
    <row r="3644" spans="1:23">
      <c r="A3644">
        <v>11</v>
      </c>
      <c r="B3644">
        <v>6</v>
      </c>
      <c r="C3644">
        <v>2023</v>
      </c>
      <c r="D3644" s="3" t="s">
        <f>B3644&amp;"/"&amp;A3644&amp;"/"&amp;C3644</f>
        <v>3079</v>
      </c>
      <c r="E3644">
        <v>0.54166666666666663</v>
      </c>
      <c r="F3644" t="s">
        <f>I3644&amp;" "&amp;J3644&amp;" "&amp;K3644&amp;" "&amp;L3644&amp;" "&amp;M3644&amp;" "&amp;N3644</f>
        <v>1840</v>
      </c>
      <c r="G3644" t="s">
        <f>TEXT(D3644,"mmm dd")</f>
        <v>487</v>
      </c>
      <c r="I3644" t="s">
        <v>1273</v>
      </c>
    </row>
    <row r="3645" spans="1:23">
      <c r="A3645">
        <v>13</v>
      </c>
      <c r="B3645">
        <v>6</v>
      </c>
      <c r="C3645">
        <v>2023</v>
      </c>
      <c r="D3645" s="3" t="s">
        <f>B3645&amp;"/"&amp;A3645&amp;"/"&amp;C3645</f>
        <v>3080</v>
      </c>
      <c r="E3645">
        <v>0.79166666666666663</v>
      </c>
      <c r="F3645" t="s">
        <f>I3645&amp;" "&amp;J3645&amp;" "&amp;K3645&amp;" "&amp;L3645&amp;" "&amp;M3645&amp;" "&amp;N3645</f>
        <v>3063</v>
      </c>
      <c r="G3645" t="s">
        <f>TEXT(D3645,"mmm dd")</f>
        <v>511</v>
      </c>
      <c r="I3645" t="s">
        <v>3064</v>
      </c>
      <c r="J3645" t="s">
        <v>439</v>
      </c>
      <c r="K3645" t="s">
        <v>440</v>
      </c>
    </row>
    <row r="3646" spans="1:23">
      <c r="A3646">
        <v>13</v>
      </c>
      <c r="B3646">
        <v>6</v>
      </c>
      <c r="C3646">
        <v>2023</v>
      </c>
      <c r="D3646" s="3" t="s">
        <f>B3646&amp;"/"&amp;A3646&amp;"/"&amp;C3646</f>
        <v>3080</v>
      </c>
      <c r="E3646">
        <v>0.85416666666666663</v>
      </c>
      <c r="F3646" t="str">
        <f>I3646&amp;" "&amp;J3646&amp;" "&amp;K3646&amp;" "&amp;L3646&amp;" "&amp;M3646&amp;" "&amp;N3646</f>
        <v>Pick up X ray order </v>
      </c>
      <c r="G3646" t="s">
        <f>TEXT(D3646,"mmm dd")</f>
        <v>511</v>
      </c>
      <c r="I3646" t="s">
        <v>806</v>
      </c>
      <c r="J3646" t="s">
        <v>807</v>
      </c>
      <c r="K3646" t="inlineStr">
        <is>
          <t>X</t>
        </is>
      </c>
      <c r="L3646" t="inlineStr">
        <is>
          <t>ray</t>
        </is>
      </c>
      <c r="M3646" t="inlineStr">
        <is>
          <t>order</t>
        </is>
      </c>
    </row>
    <row r="3647" spans="1:23">
      <c r="A3647">
        <v>14</v>
      </c>
      <c r="B3647">
        <v>6</v>
      </c>
      <c r="C3647">
        <v>2023</v>
      </c>
      <c r="D3647" s="3" t="s">
        <f>B3647&amp;"/"&amp;A3647&amp;"/"&amp;C3647</f>
        <v>3081</v>
      </c>
      <c r="E3647">
        <v>0.75</v>
      </c>
      <c r="F3647" t="s">
        <f>I3647&amp;" "&amp;J3647&amp;" "&amp;K3647&amp;" "&amp;L3647&amp;" "&amp;M3647&amp;" "&amp;N3647</f>
        <v>2951</v>
      </c>
      <c r="G3647" t="s">
        <f>TEXT(D3647,"mmm dd")</f>
        <v>524</v>
      </c>
      <c r="I3647" t="s">
        <v>2716</v>
      </c>
    </row>
    <row r="3648" spans="1:23">
      <c r="A3648">
        <v>14</v>
      </c>
      <c r="B3648">
        <v>6</v>
      </c>
      <c r="C3648">
        <v>2023</v>
      </c>
      <c r="D3648" s="3" t="s">
        <f>B3648&amp;"/"&amp;A3648&amp;"/"&amp;C3648</f>
        <v>3081</v>
      </c>
      <c r="E3648" t="s">
        <v>42</v>
      </c>
      <c r="F3648" t="s">
        <f>I3648&amp;" "&amp;J3648&amp;" "&amp;K3648&amp;" "&amp;L3648&amp;" "&amp;M3648&amp;" "&amp;N3648</f>
        <v>3082</v>
      </c>
      <c r="G3648" t="s">
        <f>TEXT(D3648,"mmm dd")</f>
        <v>524</v>
      </c>
      <c r="I3648" t="s">
        <v>1992</v>
      </c>
      <c r="J3648" t="s">
        <v>73</v>
      </c>
      <c r="K3648" t="inlineStr">
        <is>
          <t>Lee's</t>
        </is>
      </c>
      <c r="L3648" t="s">
        <v>2994</v>
      </c>
      <c r="M3648">
        <v>-2008</v>
      </c>
    </row>
    <row r="3649" spans="1:23">
      <c r="A3649">
        <v>17</v>
      </c>
      <c r="B3649">
        <v>6</v>
      </c>
      <c r="C3649">
        <v>2023</v>
      </c>
      <c r="D3649" s="3" t="str">
        <f>B3649&amp;"/"&amp;A3649&amp;"/"&amp;C3649</f>
        <v>6/17/2023</v>
      </c>
      <c r="E3649">
        <v>0.66666666666666663</v>
      </c>
      <c r="F3649" t="str">
        <f>I3649&amp;" "&amp;J3649&amp;" "&amp;K3649&amp;" "&amp;L3649&amp;" "&amp;M3649&amp;" "&amp;N3649</f>
        <v>Honeymoon island walk   </v>
      </c>
      <c r="G3649" t="s">
        <f>TEXT(D3649,"mmm dd")</f>
        <v>556</v>
      </c>
      <c r="I3649" t="inlineStr">
        <is>
          <t>Honeymoon</t>
        </is>
      </c>
      <c r="J3649" t="s">
        <v>2023</v>
      </c>
      <c r="K3649" t="s">
        <v>973</v>
      </c>
    </row>
    <row r="3650" spans="1:23">
      <c r="A3650">
        <v>18</v>
      </c>
      <c r="B3650">
        <v>6</v>
      </c>
      <c r="C3650">
        <v>2023</v>
      </c>
      <c r="D3650" s="3" t="str">
        <f>B3650&amp;"/"&amp;A3650&amp;"/"&amp;C3650</f>
        <v>6/18/2023</v>
      </c>
      <c r="E3650">
        <v>0.54166666666666663</v>
      </c>
      <c r="F3650" t="s">
        <f>I3650&amp;" "&amp;J3650&amp;" "&amp;K3650&amp;" "&amp;L3650&amp;" "&amp;M3650&amp;" "&amp;N3650</f>
        <v>1840</v>
      </c>
      <c r="G3650" t="s">
        <f>TEXT(D3650,"mmm dd")</f>
        <v>558</v>
      </c>
      <c r="I3650" t="s">
        <v>1273</v>
      </c>
    </row>
    <row r="3651" spans="1:23">
      <c r="A3651">
        <v>20</v>
      </c>
      <c r="B3651">
        <v>6</v>
      </c>
      <c r="C3651">
        <v>2023</v>
      </c>
      <c r="D3651" s="3" t="str">
        <f>B3651&amp;"/"&amp;A3651&amp;"/"&amp;C3651</f>
        <v>6/20/2023</v>
      </c>
      <c r="E3651">
        <v>0.8125</v>
      </c>
      <c r="F3651" t="str">
        <f>I3651&amp;" "&amp;J3651&amp;" "&amp;K3651&amp;" "&amp;L3651&amp;" "&amp;M3651&amp;" "&amp;N3651</f>
        <v>Fellowship meeting    </v>
      </c>
      <c r="G3651" t="s">
        <f>TEXT(D3651,"mmm dd")</f>
        <v>566</v>
      </c>
      <c r="I3651" t="s">
        <v>825</v>
      </c>
      <c r="J3651" t="s">
        <v>842</v>
      </c>
    </row>
    <row r="3652" spans="1:23">
      <c r="A3652">
        <v>22</v>
      </c>
      <c r="B3652">
        <v>6</v>
      </c>
      <c r="C3652">
        <v>2023</v>
      </c>
      <c r="D3652" s="3" t="s">
        <f>B3652&amp;"/"&amp;A3652&amp;"/"&amp;C3652</f>
        <v>3083</v>
      </c>
      <c r="E3652">
        <v>0.72916666666666663</v>
      </c>
      <c r="F3652" t="str">
        <f>I3652&amp;" "&amp;J3652&amp;" "&amp;K3652&amp;" "&amp;L3652&amp;" "&amp;M3652&amp;" "&amp;N3652</f>
        <v>Linda Serepca (canceled)   </v>
      </c>
      <c r="G3652" t="s">
        <f>TEXT(D3652,"mmm dd")</f>
        <v>574</v>
      </c>
      <c r="I3652" t="s">
        <v>2890</v>
      </c>
      <c r="J3652" t="s">
        <v>2891</v>
      </c>
      <c r="K3652" t="inlineStr">
        <is>
          <t>(canceled)</t>
        </is>
      </c>
    </row>
    <row r="3653" spans="1:23">
      <c r="A3653">
        <v>22</v>
      </c>
      <c r="B3653">
        <v>6</v>
      </c>
      <c r="C3653">
        <v>2023</v>
      </c>
      <c r="D3653" s="3" t="s">
        <f>B3653&amp;"/"&amp;A3653&amp;"/"&amp;C3653</f>
        <v>3083</v>
      </c>
      <c r="E3653">
        <v>0.8125</v>
      </c>
      <c r="F3653" t="s">
        <f>I3653&amp;" "&amp;J3653&amp;" "&amp;K3653&amp;" "&amp;L3653&amp;" "&amp;M3653&amp;" "&amp;N3653</f>
        <v>3084</v>
      </c>
      <c r="G3653" t="s">
        <f>TEXT(D3653,"mmm dd")</f>
        <v>574</v>
      </c>
      <c r="I3653" t="s">
        <v>46</v>
      </c>
      <c r="J3653" t="s">
        <v>440</v>
      </c>
    </row>
    <row r="3654" spans="1:23">
      <c r="A3654">
        <v>24</v>
      </c>
      <c r="B3654">
        <v>6</v>
      </c>
      <c r="C3654">
        <v>2023</v>
      </c>
      <c r="D3654" s="3" t="str">
        <f>B3654&amp;"/"&amp;A3654&amp;"/"&amp;C3654</f>
        <v>6/24/2023</v>
      </c>
      <c r="E3654">
        <v>1</v>
      </c>
      <c r="F3654" t="s">
        <f>I3654&amp;" "&amp;J3654&amp;" "&amp;K3654&amp;" "&amp;L3654&amp;" "&amp;M3654&amp;" "&amp;N3654</f>
        <v>3085</v>
      </c>
      <c r="G3654" t="s">
        <f>TEXT(D3654,"mmm dd")</f>
        <v>583</v>
      </c>
      <c r="I3654" t="s">
        <v>3078</v>
      </c>
      <c r="J3654" t="s">
        <v>1796</v>
      </c>
      <c r="K3654" t="s">
        <v>3049</v>
      </c>
    </row>
    <row r="3655" spans="1:23">
      <c r="A3655">
        <v>25</v>
      </c>
      <c r="B3655">
        <v>6</v>
      </c>
      <c r="C3655">
        <v>2023</v>
      </c>
      <c r="D3655" s="3" t="str">
        <f>B3655&amp;"/"&amp;A3655&amp;"/"&amp;C3655</f>
        <v>6/25/2023</v>
      </c>
      <c r="E3655">
        <v>0.70833333333333337</v>
      </c>
      <c r="F3655" t="s">
        <f>I3655&amp;" "&amp;J3655&amp;" "&amp;K3655&amp;" "&amp;L3655&amp;" "&amp;M3655&amp;" "&amp;N3655</f>
        <v>3085</v>
      </c>
      <c r="G3655" t="s">
        <f>TEXT(D3655,"mmm dd")</f>
        <v>589</v>
      </c>
      <c r="I3655" t="s">
        <v>3078</v>
      </c>
      <c r="J3655" t="s">
        <v>1796</v>
      </c>
      <c r="K3655" t="s">
        <v>3049</v>
      </c>
    </row>
    <row r="3656" spans="1:23">
      <c r="A3656">
        <v>26</v>
      </c>
      <c r="B3656">
        <v>6</v>
      </c>
      <c r="C3656">
        <v>2023</v>
      </c>
      <c r="D3656" s="3" t="s">
        <f>B3656&amp;"/"&amp;A3656&amp;"/"&amp;C3656</f>
        <v>3086</v>
      </c>
      <c r="E3656">
        <v>0.58333333333333337</v>
      </c>
      <c r="F3656" t="str">
        <f>I3656&amp;" "&amp;J3656&amp;" "&amp;K3656&amp;" "&amp;L3656&amp;" "&amp;M3656&amp;" "&amp;N3656</f>
        <v>Fly to Hawaii   </v>
      </c>
      <c r="G3656" t="s">
        <f>TEXT(D3656,"mmm dd")</f>
        <v>1335</v>
      </c>
      <c r="I3656" t="s">
        <v>519</v>
      </c>
      <c r="J3656" t="s">
        <v>449</v>
      </c>
      <c r="K3656" t="s">
        <v>1274</v>
      </c>
    </row>
    <row r="3657" spans="1:23">
      <c r="A3657">
        <v>26</v>
      </c>
      <c r="B3657">
        <v>6</v>
      </c>
      <c r="C3657">
        <v>2023</v>
      </c>
      <c r="D3657" s="3" t="s">
        <f>B3657&amp;"/"&amp;A3657&amp;"/"&amp;C3657</f>
        <v>3086</v>
      </c>
      <c r="E3657">
        <v>1.0520833333333333</v>
      </c>
      <c r="F3657" t="str">
        <f>I3657&amp;" "&amp;J3657&amp;" "&amp;K3657&amp;" "&amp;L3657&amp;" "&amp;M3657&amp;" "&amp;N3657</f>
        <v>Flight to Kauai (DL 351) </v>
      </c>
      <c r="G3657" t="s">
        <f>TEXT(D3657,"mmm dd")</f>
        <v>1335</v>
      </c>
      <c r="I3657" t="s">
        <v>2365</v>
      </c>
      <c r="J3657" t="s">
        <v>449</v>
      </c>
      <c r="K3657" t="s">
        <v>1385</v>
      </c>
      <c r="L3657" t="s">
        <v>2591</v>
      </c>
      <c r="M3657" t="inlineStr">
        <is>
          <t>351)</t>
        </is>
      </c>
    </row>
    <row r="3658" spans="1:23">
      <c r="A3658">
        <v>26</v>
      </c>
      <c r="B3658">
        <v>6</v>
      </c>
      <c r="C3658">
        <v>2023</v>
      </c>
      <c r="D3658" s="3" t="s">
        <f>B3658&amp;"/"&amp;A3658&amp;"/"&amp;C3658</f>
        <v>3086</v>
      </c>
      <c r="E3658">
        <v>0.59513888888888888</v>
      </c>
      <c r="F3658" t="str">
        <f>I3658&amp;" "&amp;J3658&amp;" "&amp;K3658&amp;" "&amp;L3658&amp;" "&amp;M3658&amp;" "&amp;N3658</f>
        <v>Flight to Los Angeles (DL 775)</v>
      </c>
      <c r="G3658" t="s">
        <f>TEXT(D3658,"mmm dd")</f>
        <v>1335</v>
      </c>
      <c r="I3658" t="s">
        <v>2365</v>
      </c>
      <c r="J3658" t="s">
        <v>449</v>
      </c>
      <c r="K3658" t="s">
        <v>3087</v>
      </c>
      <c r="L3658" t="s">
        <v>3088</v>
      </c>
      <c r="M3658" t="s">
        <v>2591</v>
      </c>
      <c r="N3658" t="inlineStr">
        <is>
          <t>775)</t>
        </is>
      </c>
    </row>
    <row r="3659" spans="1:23">
      <c r="A3659">
        <v>6</v>
      </c>
      <c r="B3659">
        <v>7</v>
      </c>
      <c r="C3659">
        <v>2023</v>
      </c>
      <c r="D3659" s="3" t="str">
        <f>B3659&amp;"/"&amp;A3659&amp;"/"&amp;C3659</f>
        <v>7/6/2023</v>
      </c>
      <c r="E3659" t="s">
        <v>42</v>
      </c>
      <c r="F3659" t="str">
        <f>I3659&amp;" "&amp;J3659&amp;" "&amp;K3659&amp;" "&amp;L3659&amp;" "&amp;M3659&amp;" "&amp;N3659</f>
        <v>Fly to Honolulu   </v>
      </c>
      <c r="G3659" t="s">
        <f>TEXT(D3659,"mmm dd")</f>
        <v>22</v>
      </c>
      <c r="I3659" t="s">
        <v>519</v>
      </c>
      <c r="J3659" t="s">
        <v>449</v>
      </c>
      <c r="K3659" t="s">
        <v>609</v>
      </c>
    </row>
    <row r="3660" spans="1:23">
      <c r="A3660">
        <v>7</v>
      </c>
      <c r="B3660">
        <v>7</v>
      </c>
      <c r="C3660">
        <v>2023</v>
      </c>
      <c r="D3660" s="3" t="s">
        <f>B3660&amp;"/"&amp;A3660&amp;"/"&amp;C3660</f>
        <v>3089</v>
      </c>
      <c r="E3660">
        <v>0.9375</v>
      </c>
      <c r="F3660" t="str">
        <f>I3660&amp;" "&amp;J3660&amp;" "&amp;K3660&amp;" "&amp;L3660&amp;" "&amp;M3660&amp;" "&amp;N3660</f>
        <v>Terry McCandliss Dowdell   </v>
      </c>
      <c r="G3660" t="s">
        <f>TEXT(D3660,"mmm dd")</f>
        <v>24</v>
      </c>
      <c r="I3660" t="s">
        <v>1917</v>
      </c>
      <c r="J3660" t="s">
        <v>2633</v>
      </c>
      <c r="K3660" t="s">
        <v>2634</v>
      </c>
    </row>
    <row r="3661" spans="1:23">
      <c r="A3661">
        <v>7</v>
      </c>
      <c r="B3661">
        <v>7</v>
      </c>
      <c r="C3661">
        <v>2023</v>
      </c>
      <c r="D3661" s="3" t="s">
        <f>B3661&amp;"/"&amp;A3661&amp;"/"&amp;C3661</f>
        <v>3089</v>
      </c>
      <c r="E3661">
        <v>0.15625</v>
      </c>
      <c r="F3661" t="str">
        <f>I3661&amp;" "&amp;J3661&amp;" "&amp;K3661&amp;" "&amp;L3661&amp;" "&amp;M3661&amp;" "&amp;N3661</f>
        <v>Flight to Honolulu (HA 294) </v>
      </c>
      <c r="G3661" t="s">
        <f>TEXT(D3661,"mmm dd")</f>
        <v>24</v>
      </c>
      <c r="I3661" t="s">
        <v>2365</v>
      </c>
      <c r="J3661" t="s">
        <v>449</v>
      </c>
      <c r="K3661" t="s">
        <v>609</v>
      </c>
      <c r="L3661" t="s">
        <v>2649</v>
      </c>
      <c r="M3661" t="inlineStr">
        <is>
          <t>294)</t>
        </is>
      </c>
    </row>
    <row r="3662" spans="1:23">
      <c r="A3662">
        <v>8</v>
      </c>
      <c r="B3662">
        <v>7</v>
      </c>
      <c r="C3662">
        <v>2023</v>
      </c>
      <c r="D3662" s="3" t="str">
        <f>B3662&amp;"/"&amp;A3662&amp;"/"&amp;C3662</f>
        <v>7/8/2023</v>
      </c>
      <c r="E3662">
        <v>0.96875</v>
      </c>
      <c r="F3662" t="str">
        <f>I3662&amp;" "&amp;J3662&amp;" "&amp;K3662&amp;" "&amp;L3662&amp;" "&amp;M3662&amp;" "&amp;N3662</f>
        <v>Lunch Okutani et al for lunch</v>
      </c>
      <c r="G3662" t="s">
        <f>TEXT(D3662,"mmm dd")</f>
        <v>623</v>
      </c>
      <c r="I3662" t="s">
        <v>813</v>
      </c>
      <c r="J3662" t="s">
        <v>2744</v>
      </c>
      <c r="K3662" t="s">
        <v>1589</v>
      </c>
      <c r="L3662" t="s">
        <v>1590</v>
      </c>
      <c r="M3662" t="s">
        <v>439</v>
      </c>
      <c r="N3662" t="s">
        <v>440</v>
      </c>
    </row>
    <row r="3663" spans="1:23">
      <c r="A3663">
        <v>9</v>
      </c>
      <c r="B3663">
        <v>7</v>
      </c>
      <c r="C3663">
        <v>2023</v>
      </c>
      <c r="D3663" s="3" t="s">
        <f>B3663&amp;"/"&amp;A3663&amp;"/"&amp;C3663</f>
        <v>3090</v>
      </c>
      <c r="E3663">
        <v>1.0729166666666667</v>
      </c>
      <c r="F3663" t="str">
        <f>I3663&amp;" "&amp;J3663&amp;" "&amp;K3663&amp;" "&amp;L3663&amp;" "&amp;M3663&amp;" "&amp;N3663</f>
        <v>Gary   Sr. Grace for</v>
      </c>
      <c r="G3663" t="s">
        <f>TEXT(D3663,"mmm dd")</f>
        <v>625</v>
      </c>
      <c r="I3663" t="s">
        <v>1870</v>
      </c>
      <c r="L3663" t="inlineStr">
        <is>
          <t>Sr.</t>
        </is>
      </c>
      <c r="M3663" t="s">
        <v>2675</v>
      </c>
      <c r="N3663" t="s">
        <v>439</v>
      </c>
    </row>
    <row r="3664" spans="1:23">
      <c r="A3664">
        <v>9</v>
      </c>
      <c r="B3664">
        <v>7</v>
      </c>
      <c r="C3664">
        <v>2023</v>
      </c>
      <c r="D3664" s="3" t="s">
        <f>B3664&amp;"/"&amp;A3664&amp;"/"&amp;C3664</f>
        <v>3090</v>
      </c>
      <c r="E3664">
        <v>0.91666666666666663</v>
      </c>
      <c r="F3664" t="str">
        <f>I3664&amp;" "&amp;J3664&amp;" "&amp;K3664&amp;" "&amp;L3664&amp;" "&amp;M3664&amp;" "&amp;N3664</f>
        <v>Mass at St. Mary's  </v>
      </c>
      <c r="G3664" t="s">
        <f>TEXT(D3664,"mmm dd")</f>
        <v>625</v>
      </c>
      <c r="I3664" t="s">
        <v>1273</v>
      </c>
      <c r="J3664" t="s">
        <v>53</v>
      </c>
      <c r="K3664" t="s">
        <v>218</v>
      </c>
      <c r="L3664" t="s">
        <v>265</v>
      </c>
    </row>
    <row r="3665" spans="1:23">
      <c r="A3665">
        <v>10</v>
      </c>
      <c r="B3665">
        <v>7</v>
      </c>
      <c r="C3665">
        <v>2023</v>
      </c>
      <c r="D3665" s="3" t="str">
        <f>B3665&amp;"/"&amp;A3665&amp;"/"&amp;C3665</f>
        <v>7/10/2023</v>
      </c>
      <c r="E3665">
        <v>1</v>
      </c>
      <c r="F3665" t="str">
        <f>I3665&amp;" "&amp;J3665&amp;" "&amp;K3665&amp;" "&amp;L3665&amp;" "&amp;M3665&amp;" "&amp;N3665</f>
        <v>Lunch with Murray   </v>
      </c>
      <c r="G3665" t="s">
        <f>TEXT(D3665,"mmm dd")</f>
        <v>1712</v>
      </c>
      <c r="I3665" t="s">
        <v>813</v>
      </c>
      <c r="J3665" t="s">
        <v>755</v>
      </c>
      <c r="K3665" t="s">
        <v>1008</v>
      </c>
    </row>
    <row r="3666" spans="1:23">
      <c r="A3666">
        <v>12</v>
      </c>
      <c r="B3666">
        <v>7</v>
      </c>
      <c r="C3666">
        <v>2023</v>
      </c>
      <c r="D3666" s="3" t="s">
        <f>B3666&amp;"/"&amp;A3666&amp;"/"&amp;C3666</f>
        <v>3091</v>
      </c>
      <c r="E3666">
        <v>0.46250000000000002</v>
      </c>
      <c r="F3666" t="str">
        <f>I3666&amp;" "&amp;J3666&amp;" "&amp;K3666&amp;" "&amp;L3666&amp;" "&amp;M3666&amp;" "&amp;N3666</f>
        <v>Flight to Los Angeles (DL 658)</v>
      </c>
      <c r="G3666" t="s">
        <f>TEXT(D3666,"mmm dd")</f>
        <v>638</v>
      </c>
      <c r="I3666" t="s">
        <v>2365</v>
      </c>
      <c r="J3666" t="s">
        <v>449</v>
      </c>
      <c r="K3666" t="s">
        <v>3087</v>
      </c>
      <c r="L3666" t="s">
        <v>3088</v>
      </c>
      <c r="M3666" t="s">
        <v>2591</v>
      </c>
      <c r="N3666" t="inlineStr">
        <is>
          <t>658)</t>
        </is>
      </c>
    </row>
    <row r="3667" spans="1:23">
      <c r="A3667">
        <v>12</v>
      </c>
      <c r="B3667">
        <v>7</v>
      </c>
      <c r="C3667">
        <v>2023</v>
      </c>
      <c r="D3667" s="3" t="s">
        <f>B3667&amp;"/"&amp;A3667&amp;"/"&amp;C3667</f>
        <v>3091</v>
      </c>
      <c r="E3667">
        <v>0.85347222222222219</v>
      </c>
      <c r="F3667" t="str">
        <f>I3667&amp;" "&amp;J3667&amp;" "&amp;K3667&amp;" "&amp;L3667&amp;" "&amp;M3667&amp;" "&amp;N3667</f>
        <v>Flight to Tampa (DL 749) </v>
      </c>
      <c r="G3667" t="s">
        <f>TEXT(D3667,"mmm dd")</f>
        <v>638</v>
      </c>
      <c r="I3667" t="s">
        <v>2365</v>
      </c>
      <c r="J3667" t="s">
        <v>449</v>
      </c>
      <c r="K3667" t="s">
        <v>3037</v>
      </c>
      <c r="L3667" t="s">
        <v>2591</v>
      </c>
      <c r="M3667" t="inlineStr">
        <is>
          <t>749)</t>
        </is>
      </c>
    </row>
    <row r="3668" spans="1:23">
      <c r="A3668">
        <v>15</v>
      </c>
      <c r="B3668">
        <v>7</v>
      </c>
      <c r="C3668">
        <v>2023</v>
      </c>
      <c r="D3668" s="3" t="str">
        <f>B3668&amp;"/"&amp;A3668&amp;"/"&amp;C3668</f>
        <v>7/15/2023</v>
      </c>
      <c r="E3668">
        <v>1</v>
      </c>
      <c r="F3668" t="str">
        <f>I3668&amp;" "&amp;J3668&amp;" "&amp;K3668&amp;" "&amp;L3668&amp;" "&amp;M3668&amp;" "&amp;N3668</f>
        <v>Celebrate and Preach at St Alfred's</v>
      </c>
      <c r="G3668" t="s">
        <f>TEXT(D3668,"mmm dd")</f>
        <v>640</v>
      </c>
      <c r="I3668" t="s">
        <v>3078</v>
      </c>
      <c r="J3668" t="s">
        <v>135</v>
      </c>
      <c r="K3668" t="s">
        <v>2441</v>
      </c>
      <c r="L3668" t="s">
        <v>53</v>
      </c>
      <c r="M3668" t="s">
        <v>1796</v>
      </c>
      <c r="N3668" t="s">
        <v>3049</v>
      </c>
    </row>
    <row r="3669" spans="1:23">
      <c r="A3669">
        <v>16</v>
      </c>
      <c r="B3669">
        <v>7</v>
      </c>
      <c r="C3669">
        <v>2023</v>
      </c>
      <c r="D3669" s="3" t="s">
        <f>B3669&amp;"/"&amp;A3669&amp;"/"&amp;C3669</f>
        <v>3092</v>
      </c>
      <c r="E3669">
        <v>0.70833333333333337</v>
      </c>
      <c r="F3669" t="str">
        <f>I3669&amp;" "&amp;J3669&amp;" "&amp;K3669&amp;" "&amp;L3669&amp;" "&amp;M3669&amp;" "&amp;N3669</f>
        <v>Celebrate and preach at St Alfred's</v>
      </c>
      <c r="G3669" t="s">
        <f>TEXT(D3669,"mmm dd")</f>
        <v>646</v>
      </c>
      <c r="I3669" t="s">
        <v>3078</v>
      </c>
      <c r="J3669" t="s">
        <v>135</v>
      </c>
      <c r="K3669" t="s">
        <v>1360</v>
      </c>
      <c r="L3669" t="s">
        <v>53</v>
      </c>
      <c r="M3669" t="s">
        <v>1796</v>
      </c>
      <c r="N3669" t="s">
        <v>3049</v>
      </c>
    </row>
    <row r="3670" spans="1:23">
      <c r="A3670">
        <v>16</v>
      </c>
      <c r="B3670">
        <v>7</v>
      </c>
      <c r="C3670">
        <v>2023</v>
      </c>
      <c r="D3670" s="3" t="s">
        <f>B3670&amp;"/"&amp;A3670&amp;"/"&amp;C3670</f>
        <v>3092</v>
      </c>
      <c r="E3670">
        <v>0.54166666666666663</v>
      </c>
      <c r="F3670" t="s">
        <f>I3670&amp;" "&amp;J3670&amp;" "&amp;K3670&amp;" "&amp;L3670&amp;" "&amp;M3670&amp;" "&amp;N3670</f>
        <v>1840</v>
      </c>
      <c r="G3670" t="s">
        <f>TEXT(D3670,"mmm dd")</f>
        <v>646</v>
      </c>
      <c r="I3670" t="s">
        <v>1273</v>
      </c>
    </row>
    <row r="3671" spans="1:23">
      <c r="A3671">
        <v>20</v>
      </c>
      <c r="B3671">
        <v>7</v>
      </c>
      <c r="C3671">
        <v>2023</v>
      </c>
      <c r="D3671" s="3" t="str">
        <f>B3671&amp;"/"&amp;A3671&amp;"/"&amp;C3671</f>
        <v>7/20/2023</v>
      </c>
      <c r="E3671">
        <v>0.86805555555555558</v>
      </c>
      <c r="F3671" t="str">
        <f>I3671&amp;" "&amp;J3671&amp;" "&amp;K3671&amp;" "&amp;L3671&amp;" "&amp;M3671&amp;" "&amp;N3671</f>
        <v>Kelly Eden (Dr. Irvin PA) </v>
      </c>
      <c r="G3671" t="s">
        <f>TEXT(D3671,"mmm dd")</f>
        <v>29</v>
      </c>
      <c r="I3671" t="s">
        <v>2318</v>
      </c>
      <c r="J3671" t="s">
        <v>1812</v>
      </c>
      <c r="K3671" t="inlineStr">
        <is>
          <t>(Dr.</t>
        </is>
      </c>
      <c r="L3671" t="s">
        <v>3061</v>
      </c>
      <c r="M3671" t="inlineStr">
        <is>
          <t>PA)</t>
        </is>
      </c>
    </row>
    <row r="3672" spans="1:23">
      <c r="A3672">
        <v>21</v>
      </c>
      <c r="B3672">
        <v>7</v>
      </c>
      <c r="C3672">
        <v>2023</v>
      </c>
      <c r="D3672" s="3" t="s">
        <f>B3672&amp;"/"&amp;A3672&amp;"/"&amp;C3672</f>
        <v>3093</v>
      </c>
      <c r="E3672">
        <v>0.5</v>
      </c>
      <c r="F3672" t="s">
        <f>I3672&amp;" "&amp;J3672&amp;" "&amp;K3672&amp;" "&amp;L3672&amp;" "&amp;M3672&amp;" "&amp;N3672</f>
        <v>3094</v>
      </c>
      <c r="G3672" t="s">
        <f>TEXT(D3672,"mmm dd")</f>
        <v>672</v>
      </c>
      <c r="I3672" t="s">
        <v>1551</v>
      </c>
      <c r="M3672" t="s">
        <v>3095</v>
      </c>
      <c r="N3672" t="s">
        <v>3096</v>
      </c>
    </row>
    <row r="3673" spans="1:23">
      <c r="A3673">
        <v>21</v>
      </c>
      <c r="B3673">
        <v>7</v>
      </c>
      <c r="C3673">
        <v>2023</v>
      </c>
      <c r="D3673" s="3" t="s">
        <f>B3673&amp;"/"&amp;A3673&amp;"/"&amp;C3673</f>
        <v>3093</v>
      </c>
      <c r="E3673">
        <v>0.5</v>
      </c>
      <c r="F3673" t="s">
        <f>I3673&amp;" "&amp;J3673&amp;" "&amp;K3673&amp;" "&amp;L3673&amp;" "&amp;M3673&amp;" "&amp;N3673</f>
        <v>3097</v>
      </c>
      <c r="G3673" t="s">
        <f>TEXT(D3673,"mmm dd")</f>
        <v>672</v>
      </c>
      <c r="I3673" t="s">
        <v>1551</v>
      </c>
    </row>
    <row r="3674" spans="1:23">
      <c r="A3674">
        <v>23</v>
      </c>
      <c r="B3674">
        <v>7</v>
      </c>
      <c r="C3674">
        <v>2023</v>
      </c>
      <c r="D3674" s="3" t="str">
        <f>B3674&amp;"/"&amp;A3674&amp;"/"&amp;C3674</f>
        <v>7/23/2023</v>
      </c>
      <c r="E3674">
        <v>0.54166666666666663</v>
      </c>
      <c r="F3674" t="str">
        <f>I3674&amp;" "&amp;J3674&amp;" "&amp;K3674&amp;" "&amp;L3674&amp;" "&amp;M3674&amp;" "&amp;N3674</f>
        <v>Mass   organ!  </v>
      </c>
      <c r="G3674" t="s">
        <f>TEXT(D3674,"mmm dd")</f>
        <v>681</v>
      </c>
      <c r="I3674" t="s">
        <v>1273</v>
      </c>
      <c r="L3674" t="inlineStr">
        <is>
          <t>organ!</t>
        </is>
      </c>
    </row>
    <row r="3675" spans="1:23">
      <c r="A3675">
        <v>24</v>
      </c>
      <c r="B3675">
        <v>7</v>
      </c>
      <c r="C3675">
        <v>2023</v>
      </c>
      <c r="D3675" s="3" t="str">
        <f>B3675&amp;"/"&amp;A3675&amp;"/"&amp;C3675</f>
        <v>7/24/2023</v>
      </c>
      <c r="E3675">
        <v>0.73958333333333337</v>
      </c>
      <c r="F3675" t="str">
        <f>I3675&amp;" "&amp;J3675&amp;" "&amp;K3675&amp;" "&amp;L3675&amp;" "&amp;M3675&amp;" "&amp;N3675</f>
        <v>Follow up Irvin   </v>
      </c>
      <c r="G3675" t="s">
        <f>TEXT(D3675,"mmm dd")</f>
        <v>684</v>
      </c>
      <c r="I3675" t="s">
        <v>2624</v>
      </c>
      <c r="J3675" t="s">
        <v>807</v>
      </c>
      <c r="K3675" t="s">
        <v>3061</v>
      </c>
    </row>
    <row r="3676" spans="1:23">
      <c r="A3676">
        <v>30</v>
      </c>
      <c r="B3676">
        <v>7</v>
      </c>
      <c r="C3676">
        <v>2023</v>
      </c>
      <c r="D3676" s="3" t="str">
        <f>B3676&amp;"/"&amp;A3676&amp;"/"&amp;C3676</f>
        <v>7/30/2023</v>
      </c>
      <c r="E3676">
        <v>0.53472222222222221</v>
      </c>
      <c r="F3676" t="s">
        <f>I3676&amp;" "&amp;J3676&amp;" "&amp;K3676&amp;" "&amp;L3676&amp;" "&amp;M3676&amp;" "&amp;N3676</f>
        <v>1840</v>
      </c>
      <c r="G3676" t="s">
        <f>TEXT(D3676,"mmm dd")</f>
        <v>709</v>
      </c>
      <c r="I3676" t="s">
        <v>1273</v>
      </c>
    </row>
    <row r="3677" spans="1:23">
      <c r="A3677">
        <v>1</v>
      </c>
      <c r="B3677">
        <v>8</v>
      </c>
      <c r="C3677">
        <v>2023</v>
      </c>
      <c r="D3677" s="3" t="str">
        <f>B3677&amp;"/"&amp;A3677&amp;"/"&amp;C3677</f>
        <v>8/1/2023</v>
      </c>
      <c r="E3677">
        <v>0.875</v>
      </c>
      <c r="F3677" t="s">
        <f>I3677&amp;" "&amp;J3677&amp;" "&amp;K3677&amp;" "&amp;L3677&amp;" "&amp;M3677&amp;" "&amp;N3677</f>
        <v>3073</v>
      </c>
      <c r="G3677" t="s">
        <f>TEXT(D3677,"mmm dd")</f>
        <v>1357</v>
      </c>
      <c r="I3677" t="s">
        <v>1791</v>
      </c>
      <c r="J3677" t="s">
        <v>528</v>
      </c>
    </row>
    <row r="3678" spans="1:23">
      <c r="A3678">
        <v>3</v>
      </c>
      <c r="B3678">
        <v>8</v>
      </c>
      <c r="C3678">
        <v>2023</v>
      </c>
      <c r="D3678" s="3" t="s">
        <f>B3678&amp;"/"&amp;A3678&amp;"/"&amp;C3678</f>
        <v>3098</v>
      </c>
      <c r="E3678">
        <v>0.84375</v>
      </c>
      <c r="F3678" t="s">
        <f>I3678&amp;" "&amp;J3678&amp;" "&amp;K3678&amp;" "&amp;L3678&amp;" "&amp;M3678&amp;" "&amp;N3678</f>
        <v>3084</v>
      </c>
      <c r="G3678" t="s">
        <f>TEXT(D3678,"mmm dd")</f>
        <v>2019</v>
      </c>
      <c r="I3678" t="s">
        <v>46</v>
      </c>
      <c r="J3678" t="s">
        <v>440</v>
      </c>
    </row>
    <row r="3679" spans="1:23">
      <c r="A3679">
        <v>3</v>
      </c>
      <c r="B3679">
        <v>8</v>
      </c>
      <c r="C3679">
        <v>2023</v>
      </c>
      <c r="D3679" s="3" t="s">
        <f>B3679&amp;"/"&amp;A3679&amp;"/"&amp;C3679</f>
        <v>3098</v>
      </c>
      <c r="E3679">
        <v>0.625</v>
      </c>
      <c r="F3679" t="s">
        <f>I3679&amp;" "&amp;J3679&amp;" "&amp;K3679&amp;" "&amp;L3679&amp;" "&amp;M3679&amp;" "&amp;N3679</f>
        <v>3071</v>
      </c>
      <c r="G3679" t="s">
        <f>TEXT(D3679,"mmm dd")</f>
        <v>2019</v>
      </c>
      <c r="I3679" t="s">
        <v>855</v>
      </c>
      <c r="J3679" t="s">
        <v>1273</v>
      </c>
    </row>
    <row r="3680" spans="1:23">
      <c r="A3680">
        <v>4</v>
      </c>
      <c r="B3680">
        <v>8</v>
      </c>
      <c r="C3680">
        <v>2023</v>
      </c>
      <c r="D3680" s="3" t="str">
        <f>B3680&amp;"/"&amp;A3680&amp;"/"&amp;C3680</f>
        <v>8/4/2023</v>
      </c>
      <c r="E3680">
        <v>0.5</v>
      </c>
      <c r="F3680" t="s">
        <f>I3680&amp;" "&amp;J3680&amp;" "&amp;K3680&amp;" "&amp;L3680&amp;" "&amp;M3680&amp;" "&amp;N3680</f>
        <v>3097</v>
      </c>
      <c r="G3680" t="s">
        <f>TEXT(D3680,"mmm dd")</f>
        <v>1603</v>
      </c>
      <c r="I3680" t="s">
        <v>1551</v>
      </c>
    </row>
    <row r="3681" spans="1:23">
      <c r="A3681">
        <v>6</v>
      </c>
      <c r="B3681">
        <v>8</v>
      </c>
      <c r="C3681">
        <v>2023</v>
      </c>
      <c r="D3681" s="3" t="str">
        <f>B3681&amp;"/"&amp;A3681&amp;"/"&amp;C3681</f>
        <v>8/6/2023</v>
      </c>
      <c r="E3681">
        <v>0.54166666666666663</v>
      </c>
      <c r="F3681" t="s">
        <f>I3681&amp;" "&amp;J3681&amp;" "&amp;K3681&amp;" "&amp;L3681&amp;" "&amp;M3681&amp;" "&amp;N3681</f>
        <v>1840</v>
      </c>
      <c r="G3681" t="s">
        <f>TEXT(D3681,"mmm dd")</f>
        <v>1362</v>
      </c>
      <c r="I3681" t="s">
        <v>1273</v>
      </c>
    </row>
    <row r="3682" spans="1:23">
      <c r="A3682">
        <v>8</v>
      </c>
      <c r="B3682">
        <v>8</v>
      </c>
      <c r="C3682">
        <v>2023</v>
      </c>
      <c r="D3682" s="3" t="str">
        <f>B3682&amp;"/"&amp;A3682&amp;"/"&amp;C3682</f>
        <v>8/8/2023</v>
      </c>
      <c r="E3682">
        <v>0.8125</v>
      </c>
      <c r="F3682" t="str">
        <f>I3682&amp;" "&amp;J3682&amp;" "&amp;K3682&amp;" "&amp;L3682&amp;" "&amp;M3682&amp;" "&amp;N3682</f>
        <v>Manny lunch    </v>
      </c>
      <c r="G3682" t="s">
        <f>TEXT(D3682,"mmm dd")</f>
        <v>1366</v>
      </c>
      <c r="I3682" t="s">
        <v>3064</v>
      </c>
      <c r="J3682" t="s">
        <v>440</v>
      </c>
    </row>
    <row r="3683" spans="1:23">
      <c r="A3683">
        <v>13</v>
      </c>
      <c r="B3683">
        <v>8</v>
      </c>
      <c r="C3683">
        <v>2023</v>
      </c>
      <c r="D3683" s="3" t="s">
        <f>B3683&amp;"/"&amp;A3683&amp;"/"&amp;C3683</f>
        <v>3099</v>
      </c>
      <c r="E3683" t="s">
        <v>42</v>
      </c>
      <c r="F3683" t="s">
        <f>I3683&amp;" "&amp;J3683&amp;" "&amp;K3683&amp;" "&amp;L3683&amp;" "&amp;M3683&amp;" "&amp;N3683</f>
        <v>3100</v>
      </c>
      <c r="G3683" t="s">
        <f>TEXT(D3683,"mmm dd")</f>
        <v>754</v>
      </c>
      <c r="I3683" t="s">
        <v>2039</v>
      </c>
      <c r="J3683" t="s">
        <v>2106</v>
      </c>
      <c r="K3683" t="s">
        <v>319</v>
      </c>
      <c r="L3683">
        <v>-1921</v>
      </c>
    </row>
    <row r="3684" spans="1:23">
      <c r="A3684">
        <v>17</v>
      </c>
      <c r="B3684">
        <v>8</v>
      </c>
      <c r="C3684">
        <v>2023</v>
      </c>
      <c r="D3684" s="3" t="str">
        <f>B3684&amp;"/"&amp;A3684&amp;"/"&amp;C3684</f>
        <v>8/17/2023</v>
      </c>
      <c r="E3684">
        <v>0.75</v>
      </c>
      <c r="F3684" t="s">
        <f>I3684&amp;" "&amp;J3684&amp;" "&amp;K3684&amp;" "&amp;L3684&amp;" "&amp;M3684&amp;" "&amp;N3684</f>
        <v>2889</v>
      </c>
      <c r="G3684" t="s">
        <f>TEXT(D3684,"mmm dd")</f>
        <v>793</v>
      </c>
      <c r="I3684" t="s">
        <v>2890</v>
      </c>
      <c r="J3684" t="s">
        <v>2891</v>
      </c>
    </row>
    <row r="3685" spans="1:23">
      <c r="A3685">
        <v>18</v>
      </c>
      <c r="B3685">
        <v>8</v>
      </c>
      <c r="C3685">
        <v>2023</v>
      </c>
      <c r="D3685" s="3" t="str">
        <f>B3685&amp;"/"&amp;A3685&amp;"/"&amp;C3685</f>
        <v>8/18/2023</v>
      </c>
      <c r="E3685">
        <v>1.0208333333333333</v>
      </c>
      <c r="F3685" t="str">
        <f>I3685&amp;" "&amp;J3685&amp;" "&amp;K3685&amp;" "&amp;L3685&amp;" "&amp;M3685&amp;" "&amp;N3685</f>
        <v>Dinner at Ingrams   </v>
      </c>
      <c r="G3685" t="s">
        <f>TEXT(D3685,"mmm dd")</f>
        <v>2041</v>
      </c>
      <c r="I3685" t="s">
        <v>838</v>
      </c>
      <c r="J3685" t="s">
        <v>53</v>
      </c>
      <c r="K3685" t="s">
        <v>3101</v>
      </c>
    </row>
    <row r="3686" spans="1:23">
      <c r="A3686">
        <v>19</v>
      </c>
      <c r="B3686">
        <v>8</v>
      </c>
      <c r="C3686">
        <v>2023</v>
      </c>
      <c r="D3686" s="3" t="s">
        <f>B3686&amp;"/"&amp;A3686&amp;"/"&amp;C3686</f>
        <v>3102</v>
      </c>
      <c r="E3686">
        <v>1</v>
      </c>
      <c r="F3686" t="str">
        <f>I3686&amp;" "&amp;J3686&amp;" "&amp;K3686&amp;" "&amp;L3686&amp;" "&amp;M3686&amp;" "&amp;N3686</f>
        <v>preach St Alfred's   </v>
      </c>
      <c r="G3686" t="s">
        <f>TEXT(D3686,"mmm dd")</f>
        <v>805</v>
      </c>
      <c r="I3686" t="s">
        <v>1360</v>
      </c>
      <c r="J3686" t="s">
        <v>1796</v>
      </c>
      <c r="K3686" t="s">
        <v>3049</v>
      </c>
    </row>
    <row r="3687" spans="1:23">
      <c r="A3687">
        <v>19</v>
      </c>
      <c r="B3687">
        <v>8</v>
      </c>
      <c r="C3687">
        <v>2023</v>
      </c>
      <c r="D3687" s="3" t="s">
        <f>B3687&amp;"/"&amp;A3687&amp;"/"&amp;C3687</f>
        <v>3102</v>
      </c>
      <c r="E3687">
        <v>0.625</v>
      </c>
      <c r="F3687" t="str">
        <f>I3687&amp;" "&amp;J3687&amp;" "&amp;K3687&amp;" "&amp;L3687&amp;" "&amp;M3687&amp;" "&amp;N3687</f>
        <v>Episcopal 101    </v>
      </c>
      <c r="G3687" t="s">
        <f>TEXT(D3687,"mmm dd")</f>
        <v>805</v>
      </c>
      <c r="I3687" t="inlineStr">
        <is>
          <t>Episcopal</t>
        </is>
      </c>
      <c r="J3687">
        <v>101</v>
      </c>
    </row>
    <row r="3688" spans="1:23">
      <c r="A3688">
        <v>20</v>
      </c>
      <c r="B3688">
        <v>8</v>
      </c>
      <c r="C3688">
        <v>2023</v>
      </c>
      <c r="D3688" s="3" t="str">
        <f>B3688&amp;"/"&amp;A3688&amp;"/"&amp;C3688</f>
        <v>8/20/2023</v>
      </c>
      <c r="E3688">
        <v>0.54166666666666663</v>
      </c>
      <c r="F3688" t="str">
        <f>I3688&amp;" "&amp;J3688&amp;" "&amp;K3688&amp;" "&amp;L3688&amp;" "&amp;M3688&amp;" "&amp;N3688</f>
        <v>Mass   Preach  </v>
      </c>
      <c r="G3688" t="s">
        <f>TEXT(D3688,"mmm dd")</f>
        <v>812</v>
      </c>
      <c r="I3688" t="s">
        <v>1273</v>
      </c>
      <c r="L3688" t="s">
        <v>2441</v>
      </c>
    </row>
    <row r="3689" spans="1:23">
      <c r="A3689">
        <v>24</v>
      </c>
      <c r="B3689">
        <v>8</v>
      </c>
      <c r="C3689">
        <v>2023</v>
      </c>
      <c r="D3689" s="3" t="str">
        <f>B3689&amp;"/"&amp;A3689&amp;"/"&amp;C3689</f>
        <v>8/24/2023</v>
      </c>
      <c r="E3689">
        <v>0.625</v>
      </c>
      <c r="F3689" t="str">
        <f>I3689&amp;" "&amp;J3689&amp;" "&amp;K3689&amp;" "&amp;L3689&amp;" "&amp;M3689&amp;" "&amp;N3689</f>
        <v>Healing Mass (Dale covers)  </v>
      </c>
      <c r="G3689" t="s">
        <f>TEXT(D3689,"mmm dd")</f>
        <v>1372</v>
      </c>
      <c r="I3689" t="s">
        <v>855</v>
      </c>
      <c r="J3689" t="s">
        <v>1273</v>
      </c>
      <c r="K3689" t="inlineStr">
        <is>
          <t>(Dale</t>
        </is>
      </c>
      <c r="L3689" t="inlineStr">
        <is>
          <t>covers)</t>
        </is>
      </c>
    </row>
    <row r="3690" spans="1:23">
      <c r="A3690">
        <v>25</v>
      </c>
      <c r="B3690">
        <v>8</v>
      </c>
      <c r="C3690">
        <v>2023</v>
      </c>
      <c r="D3690" s="3" t="str">
        <f>B3690&amp;"/"&amp;A3690&amp;"/"&amp;C3690</f>
        <v>8/25/2023</v>
      </c>
      <c r="E3690">
        <v>0.97916666666666663</v>
      </c>
      <c r="F3690" t="str">
        <f>I3690&amp;" "&amp;J3690&amp;" "&amp;K3690&amp;" "&amp;L3690&amp;" "&amp;M3690&amp;" "&amp;N3690</f>
        <v>Go to Ingrahams   </v>
      </c>
      <c r="G3690" t="s">
        <f>TEXT(D3690,"mmm dd")</f>
        <v>2046</v>
      </c>
      <c r="I3690" t="s">
        <v>1861</v>
      </c>
      <c r="J3690" t="s">
        <v>449</v>
      </c>
      <c r="K3690" t="inlineStr">
        <is>
          <t>Ingrahams</t>
        </is>
      </c>
    </row>
    <row r="3691" spans="1:23">
      <c r="A3691">
        <v>2</v>
      </c>
      <c r="B3691">
        <v>9</v>
      </c>
      <c r="C3691">
        <v>2023</v>
      </c>
      <c r="D3691" s="3" t="s">
        <f>B3691&amp;"/"&amp;A3691&amp;"/"&amp;C3691</f>
        <v>3103</v>
      </c>
      <c r="E3691" t="s">
        <v>42</v>
      </c>
      <c r="F3691" t="s">
        <f>I3691&amp;" "&amp;J3691&amp;" "&amp;K3691&amp;" "&amp;L3691&amp;" "&amp;M3691&amp;" "&amp;N3691</f>
        <v>3085</v>
      </c>
      <c r="G3691" t="s">
        <f>TEXT(D3691,"mmm dd")</f>
        <v>1376</v>
      </c>
      <c r="I3691" t="s">
        <v>3078</v>
      </c>
      <c r="J3691" t="s">
        <v>1796</v>
      </c>
      <c r="K3691" t="s">
        <v>3049</v>
      </c>
    </row>
    <row r="3692" spans="1:23">
      <c r="A3692">
        <v>2</v>
      </c>
      <c r="B3692">
        <v>9</v>
      </c>
      <c r="C3692">
        <v>2023</v>
      </c>
      <c r="D3692" s="3" t="s">
        <f>B3692&amp;"/"&amp;A3692&amp;"/"&amp;C3692</f>
        <v>3103</v>
      </c>
      <c r="E3692">
        <v>1</v>
      </c>
      <c r="F3692" t="str">
        <f>I3692&amp;" "&amp;J3692&amp;" "&amp;K3692&amp;" "&amp;L3692&amp;" "&amp;M3692&amp;" "&amp;N3692</f>
        <v>St. Alfred’s   celebrate </v>
      </c>
      <c r="G3692" t="s">
        <f>TEXT(D3692,"mmm dd")</f>
        <v>1376</v>
      </c>
      <c r="I3692" t="s">
        <v>218</v>
      </c>
      <c r="J3692" t="inlineStr">
        <is>
          <t>Alfred’s</t>
        </is>
      </c>
      <c r="M3692" t="s">
        <v>3104</v>
      </c>
    </row>
    <row r="3693" spans="1:23">
      <c r="A3693">
        <v>2</v>
      </c>
      <c r="B3693">
        <v>9</v>
      </c>
      <c r="C3693">
        <v>2023</v>
      </c>
      <c r="D3693" s="3" t="s">
        <f>B3693&amp;"/"&amp;A3693&amp;"/"&amp;C3693</f>
        <v>3103</v>
      </c>
      <c r="E3693">
        <v>0.16666666666666666</v>
      </c>
      <c r="F3693" t="str">
        <f>I3693&amp;" "&amp;J3693&amp;" "&amp;K3693&amp;" "&amp;L3693&amp;" "&amp;M3693&amp;" "&amp;N3693</f>
        <v>Clergy Conversation Regarding the Maui Fires</v>
      </c>
      <c r="G3693" t="s">
        <f>TEXT(D3693,"mmm dd")</f>
        <v>1376</v>
      </c>
      <c r="I3693" t="s">
        <v>46</v>
      </c>
      <c r="J3693" t="s">
        <v>2932</v>
      </c>
      <c r="K3693" t="inlineStr">
        <is>
          <t>Regarding</t>
        </is>
      </c>
      <c r="L3693" t="s">
        <v>139</v>
      </c>
      <c r="M3693" t="s">
        <v>1186</v>
      </c>
      <c r="N3693" t="inlineStr">
        <is>
          <t>Fires</t>
        </is>
      </c>
    </row>
    <row r="3694" spans="1:23">
      <c r="A3694">
        <v>3</v>
      </c>
      <c r="B3694">
        <v>9</v>
      </c>
      <c r="C3694">
        <v>2023</v>
      </c>
      <c r="D3694" s="3" t="s">
        <f>B3694&amp;"/"&amp;A3694&amp;"/"&amp;C3694</f>
        <v>3105</v>
      </c>
      <c r="E3694">
        <v>1.0416666666666667</v>
      </c>
      <c r="F3694" t="s">
        <f>I3694&amp;" "&amp;J3694&amp;" "&amp;K3694&amp;" "&amp;L3694&amp;" "&amp;M3694&amp;" "&amp;N3694</f>
        <v>3038</v>
      </c>
      <c r="G3694" t="s">
        <f>TEXT(D3694,"mmm dd")</f>
        <v>850</v>
      </c>
      <c r="I3694" t="s">
        <v>2850</v>
      </c>
      <c r="J3694" t="s">
        <v>802</v>
      </c>
      <c r="K3694" t="s">
        <v>755</v>
      </c>
      <c r="L3694" t="s">
        <v>2847</v>
      </c>
    </row>
    <row r="3695" spans="1:23">
      <c r="A3695">
        <v>3</v>
      </c>
      <c r="B3695">
        <v>9</v>
      </c>
      <c r="C3695">
        <v>2023</v>
      </c>
      <c r="D3695" s="3" t="s">
        <f>B3695&amp;"/"&amp;A3695&amp;"/"&amp;C3695</f>
        <v>3105</v>
      </c>
      <c r="E3695">
        <v>0.54166666666666663</v>
      </c>
      <c r="F3695" t="s">
        <f>I3695&amp;" "&amp;J3695&amp;" "&amp;K3695&amp;" "&amp;L3695&amp;" "&amp;M3695&amp;" "&amp;N3695</f>
        <v>3106</v>
      </c>
      <c r="G3695" t="s">
        <f>TEXT(D3695,"mmm dd")</f>
        <v>850</v>
      </c>
      <c r="I3695" t="s">
        <v>1273</v>
      </c>
      <c r="L3695" t="s">
        <v>3104</v>
      </c>
    </row>
    <row r="3696" spans="1:23">
      <c r="A3696">
        <v>6</v>
      </c>
      <c r="B3696">
        <v>9</v>
      </c>
      <c r="C3696">
        <v>2023</v>
      </c>
      <c r="D3696" s="3" t="str">
        <f>B3696&amp;"/"&amp;A3696&amp;"/"&amp;C3696</f>
        <v>9/6/2023</v>
      </c>
      <c r="E3696">
        <v>0.72916666666666663</v>
      </c>
      <c r="F3696" t="s">
        <f>I3696&amp;" "&amp;J3696&amp;" "&amp;K3696&amp;" "&amp;L3696&amp;" "&amp;M3696&amp;" "&amp;N3696</f>
        <v>3107</v>
      </c>
      <c r="G3696" t="s">
        <f>TEXT(D3696,"mmm dd")</f>
        <v>860</v>
      </c>
      <c r="I3696" t="s">
        <v>2783</v>
      </c>
      <c r="J3696" t="s">
        <v>1606</v>
      </c>
    </row>
    <row r="3697" spans="1:23">
      <c r="A3697">
        <v>8</v>
      </c>
      <c r="B3697">
        <v>9</v>
      </c>
      <c r="C3697">
        <v>2023</v>
      </c>
      <c r="D3697" s="3" t="str">
        <f>B3697&amp;"/"&amp;A3697&amp;"/"&amp;C3697</f>
        <v>9/8/2023</v>
      </c>
      <c r="E3697">
        <v>0.5</v>
      </c>
      <c r="F3697" t="s">
        <f>I3697&amp;" "&amp;J3697&amp;" "&amp;K3697&amp;" "&amp;L3697&amp;" "&amp;M3697&amp;" "&amp;N3697</f>
        <v>3097</v>
      </c>
      <c r="G3697" t="s">
        <f>TEXT(D3697,"mmm dd")</f>
        <v>2077</v>
      </c>
      <c r="I3697" t="s">
        <v>1551</v>
      </c>
    </row>
    <row r="3698" spans="1:23">
      <c r="A3698">
        <v>9</v>
      </c>
      <c r="B3698">
        <v>9</v>
      </c>
      <c r="C3698">
        <v>2023</v>
      </c>
      <c r="D3698" s="3" t="s">
        <f>B3698&amp;"/"&amp;A3698&amp;"/"&amp;C3698</f>
        <v>3108</v>
      </c>
      <c r="E3698">
        <v>0.79166666666666663</v>
      </c>
      <c r="F3698" t="str">
        <f>I3698&amp;" "&amp;J3698&amp;" "&amp;K3698&amp;" "&amp;L3698&amp;" "&amp;M3698&amp;" "&amp;N3698</f>
        <v>Re     </v>
      </c>
      <c r="G3698" t="s">
        <f>TEXT(D3698,"mmm dd")</f>
        <v>2341</v>
      </c>
      <c r="I3698" t="inlineStr">
        <is>
          <t>Re</t>
        </is>
      </c>
    </row>
    <row r="3699" spans="1:23">
      <c r="A3699">
        <v>9</v>
      </c>
      <c r="B3699">
        <v>9</v>
      </c>
      <c r="C3699">
        <v>2023</v>
      </c>
      <c r="D3699" s="3" t="s">
        <f>B3699&amp;"/"&amp;A3699&amp;"/"&amp;C3699</f>
        <v>3108</v>
      </c>
      <c r="E3699" t="s">
        <v>42</v>
      </c>
      <c r="F3699" t="str">
        <f>I3699&amp;" "&amp;J3699&amp;" "&amp;K3699&amp;" "&amp;L3699&amp;" "&amp;M3699&amp;" "&amp;N3699</f>
        <v>Preach at Eucharist St. Alfred's </v>
      </c>
      <c r="G3699" t="s">
        <f>TEXT(D3699,"mmm dd")</f>
        <v>2341</v>
      </c>
      <c r="I3699" t="s">
        <v>2441</v>
      </c>
      <c r="J3699" t="s">
        <v>53</v>
      </c>
      <c r="K3699" t="s">
        <v>69</v>
      </c>
      <c r="L3699" t="s">
        <v>218</v>
      </c>
      <c r="M3699" t="s">
        <v>3049</v>
      </c>
    </row>
    <row r="3700" spans="1:23">
      <c r="A3700">
        <v>9</v>
      </c>
      <c r="B3700">
        <v>9</v>
      </c>
      <c r="C3700">
        <v>2023</v>
      </c>
      <c r="D3700" s="3" t="s">
        <f>B3700&amp;"/"&amp;A3700&amp;"/"&amp;C3700</f>
        <v>3108</v>
      </c>
      <c r="E3700">
        <v>1</v>
      </c>
      <c r="F3700" t="s">
        <f>I3700&amp;" "&amp;J3700&amp;" "&amp;K3700&amp;" "&amp;L3700&amp;" "&amp;M3700&amp;" "&amp;N3700</f>
        <v>3109</v>
      </c>
      <c r="G3700" t="s">
        <f>TEXT(D3700,"mmm dd")</f>
        <v>2341</v>
      </c>
      <c r="I3700" t="s">
        <v>1273</v>
      </c>
      <c r="L3700" t="s">
        <v>1360</v>
      </c>
    </row>
    <row r="3701" spans="1:23">
      <c r="A3701">
        <v>11</v>
      </c>
      <c r="B3701">
        <v>9</v>
      </c>
      <c r="C3701">
        <v>2023</v>
      </c>
      <c r="D3701" s="3" t="str">
        <f>B3701&amp;"/"&amp;A3701&amp;"/"&amp;C3701</f>
        <v>9/11/2023</v>
      </c>
      <c r="E3701">
        <v>0.85416666666666663</v>
      </c>
      <c r="F3701" t="str">
        <f>I3701&amp;" "&amp;J3701&amp;" "&amp;K3701&amp;" "&amp;L3701&amp;" "&amp;M3701&amp;" "&amp;N3701</f>
        <v>Bozarth (Alex)    </v>
      </c>
      <c r="G3701" t="s">
        <f>TEXT(D3701,"mmm dd")</f>
        <v>1383</v>
      </c>
      <c r="I3701" t="s">
        <v>3076</v>
      </c>
      <c r="J3701" t="inlineStr">
        <is>
          <t>(Alex)</t>
        </is>
      </c>
    </row>
    <row r="3702" spans="1:23">
      <c r="A3702">
        <v>10</v>
      </c>
      <c r="B3702">
        <v>10</v>
      </c>
      <c r="C3702">
        <v>2023</v>
      </c>
      <c r="D3702" s="3" t="s">
        <f>B3702&amp;"/"&amp;A3702&amp;"/"&amp;C3702</f>
        <v>3110</v>
      </c>
      <c r="E3702">
        <v>0.79166666666666663</v>
      </c>
      <c r="F3702" t="str">
        <f>I3702&amp;" "&amp;J3702&amp;" "&amp;K3702&amp;" "&amp;L3702&amp;" "&amp;M3702&amp;" "&amp;N3702</f>
        <v>Zoom webinar Church Pension Fund </v>
      </c>
      <c r="G3702" t="s">
        <f>TEXT(D3702,"mmm dd")</f>
        <v>1401</v>
      </c>
      <c r="I3702" t="s">
        <v>2712</v>
      </c>
      <c r="J3702" t="inlineStr">
        <is>
          <t>webinar</t>
        </is>
      </c>
      <c r="K3702" t="s">
        <v>964</v>
      </c>
      <c r="L3702" t="inlineStr">
        <is>
          <t>Pension</t>
        </is>
      </c>
      <c r="M3702" t="inlineStr">
        <is>
          <t>Fund</t>
        </is>
      </c>
    </row>
    <row r="3703" spans="1:23">
      <c r="A3703">
        <v>10</v>
      </c>
      <c r="B3703">
        <v>10</v>
      </c>
      <c r="C3703">
        <v>2023</v>
      </c>
      <c r="D3703" s="3" t="s">
        <f>B3703&amp;"/"&amp;A3703&amp;"/"&amp;C3703</f>
        <v>3110</v>
      </c>
      <c r="E3703">
        <v>0.70833333333333337</v>
      </c>
      <c r="F3703" t="s">
        <f>I3703&amp;" "&amp;J3703&amp;" "&amp;K3703&amp;" "&amp;L3703&amp;" "&amp;M3703&amp;" "&amp;N3703</f>
        <v>3111</v>
      </c>
      <c r="G3703" t="s">
        <f>TEXT(D3703,"mmm dd")</f>
        <v>1401</v>
      </c>
      <c r="I3703">
        <v>2024</v>
      </c>
      <c r="J3703" t="s">
        <v>1387</v>
      </c>
      <c r="K3703" t="s">
        <v>3112</v>
      </c>
      <c r="L3703" t="s">
        <v>2582</v>
      </c>
      <c r="M3703" t="s">
        <v>439</v>
      </c>
      <c r="N3703" t="s">
        <v>3113</v>
      </c>
    </row>
    <row r="3704" spans="1:23">
      <c r="A3704">
        <v>10</v>
      </c>
      <c r="B3704">
        <v>10</v>
      </c>
      <c r="C3704">
        <v>2023</v>
      </c>
      <c r="D3704" s="3" t="s">
        <f>B3704&amp;"/"&amp;A3704&amp;"/"&amp;C3704</f>
        <v>3110</v>
      </c>
      <c r="E3704">
        <v>0.875</v>
      </c>
      <c r="F3704" t="s">
        <f>I3704&amp;" "&amp;J3704&amp;" "&amp;K3704&amp;" "&amp;L3704&amp;" "&amp;M3704&amp;" "&amp;N3704</f>
        <v>3111</v>
      </c>
      <c r="G3704" t="s">
        <f>TEXT(D3704,"mmm dd")</f>
        <v>1401</v>
      </c>
      <c r="I3704">
        <v>2024</v>
      </c>
      <c r="J3704" t="s">
        <v>1387</v>
      </c>
      <c r="K3704" t="s">
        <v>3112</v>
      </c>
      <c r="L3704" t="s">
        <v>2582</v>
      </c>
      <c r="M3704" t="s">
        <v>439</v>
      </c>
      <c r="N3704" t="s">
        <v>3113</v>
      </c>
    </row>
    <row r="3705" spans="1:23">
      <c r="A3705">
        <v>11</v>
      </c>
      <c r="B3705">
        <v>10</v>
      </c>
      <c r="C3705">
        <v>2023</v>
      </c>
      <c r="D3705" s="3" t="s">
        <f>B3705&amp;"/"&amp;A3705&amp;"/"&amp;C3705</f>
        <v>3114</v>
      </c>
      <c r="E3705">
        <v>0.75</v>
      </c>
      <c r="F3705" t="s">
        <f>I3705&amp;" "&amp;J3705&amp;" "&amp;K3705&amp;" "&amp;L3705&amp;" "&amp;M3705&amp;" "&amp;N3705</f>
        <v>2889</v>
      </c>
      <c r="G3705" t="s">
        <f>TEXT(D3705,"mmm dd")</f>
        <v>933</v>
      </c>
      <c r="I3705" t="s">
        <v>2890</v>
      </c>
      <c r="J3705" t="s">
        <v>2891</v>
      </c>
    </row>
    <row r="3706" spans="1:23">
      <c r="A3706">
        <v>11</v>
      </c>
      <c r="B3706">
        <v>10</v>
      </c>
      <c r="C3706">
        <v>2023</v>
      </c>
      <c r="D3706" s="3" t="s">
        <f>B3706&amp;"/"&amp;A3706&amp;"/"&amp;C3706</f>
        <v>3114</v>
      </c>
      <c r="E3706">
        <v>1.0833333333333333</v>
      </c>
      <c r="F3706" t="str">
        <f>I3706&amp;" "&amp;J3706&amp;" "&amp;K3706&amp;" "&amp;L3706&amp;" "&amp;M3706&amp;" "&amp;N3706</f>
        <v>Prayer Vigil St. Alfred's for Peace</v>
      </c>
      <c r="G3706" t="s">
        <f>TEXT(D3706,"mmm dd")</f>
        <v>933</v>
      </c>
      <c r="I3706" t="s">
        <v>1283</v>
      </c>
      <c r="J3706" t="s">
        <v>2511</v>
      </c>
      <c r="K3706" t="s">
        <v>218</v>
      </c>
      <c r="L3706" t="s">
        <v>3049</v>
      </c>
      <c r="M3706" t="s">
        <v>439</v>
      </c>
      <c r="N3706" t="s">
        <v>2172</v>
      </c>
    </row>
    <row r="3707" spans="1:23">
      <c r="A3707">
        <v>13</v>
      </c>
      <c r="B3707">
        <v>10</v>
      </c>
      <c r="C3707">
        <v>2023</v>
      </c>
      <c r="D3707" s="3" t="str">
        <f>B3707&amp;"/"&amp;A3707&amp;"/"&amp;C3707</f>
        <v>10/13/2023</v>
      </c>
      <c r="E3707">
        <v>0.66666666666666663</v>
      </c>
      <c r="F3707" t="s">
        <f>I3707&amp;" "&amp;J3707&amp;" "&amp;K3707&amp;" "&amp;L3707&amp;" "&amp;M3707&amp;" "&amp;N3707</f>
        <v>3094</v>
      </c>
      <c r="G3707" t="s">
        <f>TEXT(D3707,"mmm dd")</f>
        <v>1775</v>
      </c>
      <c r="I3707" t="s">
        <v>1551</v>
      </c>
      <c r="M3707" t="s">
        <v>3095</v>
      </c>
      <c r="N3707" t="s">
        <v>3096</v>
      </c>
    </row>
    <row r="3708" spans="1:23">
      <c r="A3708">
        <v>15</v>
      </c>
      <c r="B3708">
        <v>10</v>
      </c>
      <c r="C3708">
        <v>2023</v>
      </c>
      <c r="D3708" s="3" t="str">
        <f>B3708&amp;"/"&amp;A3708&amp;"/"&amp;C3708</f>
        <v>10/15/2023</v>
      </c>
      <c r="E3708">
        <v>0.54166666666666663</v>
      </c>
      <c r="F3708" t="str">
        <f>I3708&amp;" "&amp;J3708&amp;" "&amp;K3708&amp;" "&amp;L3708&amp;" "&amp;M3708&amp;" "&amp;N3708</f>
        <v>Mass DOK admission &amp; reaffirmation </v>
      </c>
      <c r="G3708" t="s">
        <f>TEXT(D3708,"mmm dd")</f>
        <v>942</v>
      </c>
      <c r="I3708" t="s">
        <v>1273</v>
      </c>
      <c r="J3708" t="inlineStr">
        <is>
          <t>DOK</t>
        </is>
      </c>
      <c r="K3708" t="inlineStr">
        <is>
          <t>admission</t>
        </is>
      </c>
      <c r="L3708" t="s">
        <v>73</v>
      </c>
      <c r="M3708" t="inlineStr">
        <is>
          <t>reaffirmation</t>
        </is>
      </c>
    </row>
    <row r="3709" spans="1:23">
      <c r="A3709">
        <v>17</v>
      </c>
      <c r="B3709">
        <v>10</v>
      </c>
      <c r="C3709">
        <v>2023</v>
      </c>
      <c r="D3709" s="3" t="str">
        <f>B3709&amp;"/"&amp;A3709&amp;"/"&amp;C3709</f>
        <v>10/17/2023</v>
      </c>
      <c r="E3709">
        <v>0.83333333333333337</v>
      </c>
      <c r="F3709" t="s">
        <f>I3709&amp;" "&amp;J3709&amp;" "&amp;K3709&amp;" "&amp;L3709&amp;" "&amp;M3709&amp;" "&amp;N3709</f>
        <v>3072</v>
      </c>
      <c r="G3709" t="s">
        <f>TEXT(D3709,"mmm dd")</f>
        <v>949</v>
      </c>
      <c r="I3709" t="s">
        <v>1791</v>
      </c>
      <c r="J3709" t="s">
        <v>3042</v>
      </c>
    </row>
    <row r="3710" spans="1:23">
      <c r="A3710">
        <v>19</v>
      </c>
      <c r="B3710">
        <v>10</v>
      </c>
      <c r="C3710">
        <v>2023</v>
      </c>
      <c r="D3710" s="3" t="str">
        <f>B3710&amp;"/"&amp;A3710&amp;"/"&amp;C3710</f>
        <v>10/19/2023</v>
      </c>
      <c r="E3710">
        <v>0.84375</v>
      </c>
      <c r="F3710" t="s">
        <f>I3710&amp;" "&amp;J3710&amp;" "&amp;K3710&amp;" "&amp;L3710&amp;" "&amp;M3710&amp;" "&amp;N3710</f>
        <v>3084</v>
      </c>
      <c r="G3710" t="s">
        <f>TEXT(D3710,"mmm dd")</f>
        <v>1626</v>
      </c>
      <c r="I3710" t="s">
        <v>46</v>
      </c>
      <c r="J3710" t="s">
        <v>440</v>
      </c>
    </row>
    <row r="3711" spans="1:23">
      <c r="A3711">
        <v>20</v>
      </c>
      <c r="B3711">
        <v>10</v>
      </c>
      <c r="C3711">
        <v>2023</v>
      </c>
      <c r="D3711" s="3" t="s">
        <f>B3711&amp;"/"&amp;A3711&amp;"/"&amp;C3711</f>
        <v>3115</v>
      </c>
      <c r="E3711">
        <v>0.66666666666666663</v>
      </c>
      <c r="F3711" t="s">
        <f>I3711&amp;" "&amp;J3711&amp;" "&amp;K3711&amp;" "&amp;L3711&amp;" "&amp;M3711&amp;" "&amp;N3711</f>
        <v>3097</v>
      </c>
      <c r="G3711" t="s">
        <f>TEXT(D3711,"mmm dd")</f>
        <v>1408</v>
      </c>
      <c r="I3711" t="s">
        <v>1551</v>
      </c>
    </row>
    <row r="3712" spans="1:23">
      <c r="A3712">
        <v>20</v>
      </c>
      <c r="B3712">
        <v>10</v>
      </c>
      <c r="C3712">
        <v>2023</v>
      </c>
      <c r="D3712" s="3" t="s">
        <f>B3712&amp;"/"&amp;A3712&amp;"/"&amp;C3712</f>
        <v>3115</v>
      </c>
      <c r="E3712">
        <v>0.125</v>
      </c>
      <c r="F3712" t="str">
        <f>I3712&amp;" "&amp;J3712&amp;" "&amp;K3712&amp;" "&amp;L3712&amp;" "&amp;M3712&amp;" "&amp;N3712</f>
        <v>Talk to Bill   </v>
      </c>
      <c r="G3712" t="s">
        <f>TEXT(D3712,"mmm dd")</f>
        <v>1408</v>
      </c>
      <c r="I3712" t="s">
        <v>1957</v>
      </c>
      <c r="J3712" t="s">
        <v>449</v>
      </c>
      <c r="K3712" t="s">
        <v>814</v>
      </c>
    </row>
    <row r="3713" spans="1:23">
      <c r="A3713">
        <v>22</v>
      </c>
      <c r="B3713">
        <v>10</v>
      </c>
      <c r="C3713">
        <v>2023</v>
      </c>
      <c r="D3713" s="3" t="s">
        <f>B3713&amp;"/"&amp;A3713&amp;"/"&amp;C3713</f>
        <v>3116</v>
      </c>
      <c r="E3713" t="s">
        <v>42</v>
      </c>
      <c r="F3713" t="str">
        <f>I3713&amp;" "&amp;J3713&amp;" "&amp;K3713&amp;" "&amp;L3713&amp;" "&amp;M3713&amp;" "&amp;N3713</f>
        <v>Bishop's visit    </v>
      </c>
      <c r="G3713" t="s">
        <f>TEXT(D3713,"mmm dd")</f>
        <v>1410</v>
      </c>
      <c r="I3713" t="s">
        <v>2158</v>
      </c>
      <c r="J3713" t="s">
        <v>1230</v>
      </c>
    </row>
    <row r="3714" spans="1:23">
      <c r="A3714">
        <v>22</v>
      </c>
      <c r="B3714">
        <v>10</v>
      </c>
      <c r="C3714">
        <v>2023</v>
      </c>
      <c r="D3714" s="3" t="s">
        <f>B3714&amp;"/"&amp;A3714&amp;"/"&amp;C3714</f>
        <v>3116</v>
      </c>
      <c r="E3714">
        <v>0.5</v>
      </c>
      <c r="F3714" t="str">
        <f>I3714&amp;" "&amp;J3714&amp;" "&amp;K3714&amp;" "&amp;L3714&amp;" "&amp;M3714&amp;" "&amp;N3714</f>
        <v>Mass   confirmation  </v>
      </c>
      <c r="G3714" t="s">
        <f>TEXT(D3714,"mmm dd")</f>
        <v>1410</v>
      </c>
      <c r="I3714" t="s">
        <v>1273</v>
      </c>
      <c r="L3714" t="inlineStr">
        <is>
          <t>confirmation</t>
        </is>
      </c>
    </row>
    <row r="3715" spans="1:23">
      <c r="A3715">
        <v>30</v>
      </c>
      <c r="B3715">
        <v>10</v>
      </c>
      <c r="C3715">
        <v>2023</v>
      </c>
      <c r="D3715" s="3" t="str">
        <f>B3715&amp;"/"&amp;A3715&amp;"/"&amp;C3715</f>
        <v>10/30/2023</v>
      </c>
      <c r="E3715">
        <v>0.64583333333333337</v>
      </c>
      <c r="F3715" t="s">
        <f>I3715&amp;" "&amp;J3715&amp;" "&amp;K3715&amp;" "&amp;L3715&amp;" "&amp;M3715&amp;" "&amp;N3715</f>
        <v>3052</v>
      </c>
      <c r="G3715" t="s">
        <f>TEXT(D3715,"mmm dd")</f>
        <v>967</v>
      </c>
      <c r="I3715" t="s">
        <v>3053</v>
      </c>
      <c r="J3715" t="s">
        <v>3054</v>
      </c>
    </row>
    <row r="3716" spans="1:23">
      <c r="A3716">
        <v>31</v>
      </c>
      <c r="B3716">
        <v>10</v>
      </c>
      <c r="C3716">
        <v>2023</v>
      </c>
      <c r="D3716" s="3" t="str">
        <f>B3716&amp;"/"&amp;A3716&amp;"/"&amp;C3716</f>
        <v>10/31/2023</v>
      </c>
      <c r="E3716">
        <v>0.125</v>
      </c>
      <c r="F3716" t="s">
        <f>I3716&amp;" "&amp;J3716&amp;" "&amp;K3716&amp;" "&amp;L3716&amp;" "&amp;M3716&amp;" "&amp;N3716</f>
        <v>2252</v>
      </c>
      <c r="G3716" t="s">
        <f>TEXT(D3716,"mmm dd")</f>
        <v>30</v>
      </c>
      <c r="I3716" t="s">
        <v>1028</v>
      </c>
      <c r="J3716" t="s">
        <v>284</v>
      </c>
    </row>
    <row r="3717" spans="1:23">
      <c r="A3717">
        <v>1</v>
      </c>
      <c r="B3717">
        <v>11</v>
      </c>
      <c r="C3717">
        <v>2023</v>
      </c>
      <c r="D3717" s="3" t="str">
        <f>B3717&amp;"/"&amp;A3717&amp;"/"&amp;C3717</f>
        <v>11/1/2023</v>
      </c>
      <c r="E3717">
        <v>0.8125</v>
      </c>
      <c r="F3717" t="str">
        <f>I3717&amp;" "&amp;J3717&amp;" "&amp;K3717&amp;" "&amp;L3717&amp;" "&amp;M3717&amp;" "&amp;N3717</f>
        <v>Lunch with Richard   </v>
      </c>
      <c r="G3717" t="s">
        <f>TEXT(D3717,"mmm dd")</f>
        <v>978</v>
      </c>
      <c r="I3717" t="s">
        <v>813</v>
      </c>
      <c r="J3717" t="s">
        <v>755</v>
      </c>
      <c r="K3717" t="s">
        <v>2030</v>
      </c>
    </row>
    <row r="3718" spans="1:23">
      <c r="A3718">
        <v>2</v>
      </c>
      <c r="B3718">
        <v>11</v>
      </c>
      <c r="C3718">
        <v>2023</v>
      </c>
      <c r="D3718" s="3" t="str">
        <f>B3718&amp;"/"&amp;A3718&amp;"/"&amp;C3718</f>
        <v>11/2/2023</v>
      </c>
      <c r="E3718">
        <v>0.875</v>
      </c>
      <c r="F3718" t="s">
        <f>I3718&amp;" "&amp;J3718&amp;" "&amp;K3718&amp;" "&amp;L3718&amp;" "&amp;M3718&amp;" "&amp;N3718</f>
        <v>3073</v>
      </c>
      <c r="G3718" t="s">
        <f>TEXT(D3718,"mmm dd")</f>
        <v>32</v>
      </c>
      <c r="I3718" t="s">
        <v>1791</v>
      </c>
      <c r="J3718" t="s">
        <v>528</v>
      </c>
    </row>
    <row r="3719" spans="1:23">
      <c r="A3719">
        <v>3</v>
      </c>
      <c r="B3719">
        <v>11</v>
      </c>
      <c r="C3719">
        <v>2023</v>
      </c>
      <c r="D3719" s="3" t="str">
        <f>B3719&amp;"/"&amp;A3719&amp;"/"&amp;C3719</f>
        <v>11/3/2023</v>
      </c>
      <c r="E3719">
        <v>0.66666666666666663</v>
      </c>
      <c r="F3719" t="s">
        <f>I3719&amp;" "&amp;J3719&amp;" "&amp;K3719&amp;" "&amp;L3719&amp;" "&amp;M3719&amp;" "&amp;N3719</f>
        <v>3094</v>
      </c>
      <c r="G3719" t="s">
        <f>TEXT(D3719,"mmm dd")</f>
        <v>33</v>
      </c>
      <c r="I3719" t="s">
        <v>1551</v>
      </c>
      <c r="M3719" t="s">
        <v>3095</v>
      </c>
      <c r="N3719" t="s">
        <v>3096</v>
      </c>
    </row>
    <row r="3720" spans="1:23">
      <c r="A3720">
        <v>4</v>
      </c>
      <c r="B3720">
        <v>11</v>
      </c>
      <c r="C3720">
        <v>2023</v>
      </c>
      <c r="D3720" s="3" t="s">
        <f>B3720&amp;"/"&amp;A3720&amp;"/"&amp;C3720</f>
        <v>3117</v>
      </c>
      <c r="E3720" t="s">
        <v>42</v>
      </c>
      <c r="F3720" t="str">
        <f>I3720&amp;" "&amp;J3720&amp;" "&amp;K3720&amp;" "&amp;L3720&amp;" "&amp;M3720&amp;" "&amp;N3720</f>
        <v>Preach St Alfred's   </v>
      </c>
      <c r="G3720" t="s">
        <f>TEXT(D3720,"mmm dd")</f>
        <v>34</v>
      </c>
      <c r="I3720" t="s">
        <v>2441</v>
      </c>
      <c r="J3720" t="s">
        <v>1796</v>
      </c>
      <c r="K3720" t="s">
        <v>3049</v>
      </c>
    </row>
    <row r="3721" spans="1:23">
      <c r="A3721">
        <v>4</v>
      </c>
      <c r="B3721">
        <v>11</v>
      </c>
      <c r="C3721">
        <v>2023</v>
      </c>
      <c r="D3721" s="3" t="s">
        <f>B3721&amp;"/"&amp;A3721&amp;"/"&amp;C3721</f>
        <v>3117</v>
      </c>
      <c r="E3721">
        <v>1</v>
      </c>
      <c r="F3721" t="s">
        <f>I3721&amp;" "&amp;J3721&amp;" "&amp;K3721&amp;" "&amp;L3721&amp;" "&amp;M3721&amp;" "&amp;N3721</f>
        <v>3109</v>
      </c>
      <c r="G3721" t="s">
        <f>TEXT(D3721,"mmm dd")</f>
        <v>34</v>
      </c>
      <c r="I3721" t="s">
        <v>1273</v>
      </c>
      <c r="L3721" t="s">
        <v>1360</v>
      </c>
    </row>
    <row r="3722" spans="1:23">
      <c r="A3722">
        <v>6</v>
      </c>
      <c r="B3722">
        <v>11</v>
      </c>
      <c r="C3722">
        <v>2023</v>
      </c>
      <c r="D3722" s="3" t="str">
        <f>B3722&amp;"/"&amp;A3722&amp;"/"&amp;C3722</f>
        <v>11/6/2023</v>
      </c>
      <c r="E3722" t="s">
        <v>42</v>
      </c>
      <c r="F3722" t="str">
        <f>I3722&amp;" "&amp;J3722&amp;" "&amp;K3722&amp;" "&amp;L3722&amp;" "&amp;M3722&amp;" "&amp;N3722</f>
        <v>Clergy Retreat at Dayspring  </v>
      </c>
      <c r="G3722" t="s">
        <f>TEXT(D3722,"mmm dd")</f>
        <v>1645</v>
      </c>
      <c r="I3722" t="s">
        <v>46</v>
      </c>
      <c r="J3722" t="s">
        <v>913</v>
      </c>
      <c r="K3722" t="s">
        <v>53</v>
      </c>
      <c r="L3722" t="inlineStr">
        <is>
          <t>Dayspring</t>
        </is>
      </c>
    </row>
    <row r="3723" spans="1:23">
      <c r="A3723">
        <v>9</v>
      </c>
      <c r="B3723">
        <v>11</v>
      </c>
      <c r="C3723">
        <v>2023</v>
      </c>
      <c r="D3723" s="3" t="s">
        <f>B3723&amp;"/"&amp;A3723&amp;"/"&amp;C3723</f>
        <v>3118</v>
      </c>
      <c r="E3723">
        <v>0.91666666666666663</v>
      </c>
      <c r="F3723" t="str">
        <f>I3723&amp;" "&amp;J3723&amp;" "&amp;K3723&amp;" "&amp;L3723&amp;" "&amp;M3723&amp;" "&amp;N3723</f>
        <v>Lokey Servicing (1 1 2 hr)</v>
      </c>
      <c r="G3723" t="s">
        <f>TEXT(D3723,"mmm dd")</f>
        <v>1421</v>
      </c>
      <c r="I3723" t="s">
        <v>3041</v>
      </c>
      <c r="J3723" t="inlineStr">
        <is>
          <t>Servicing</t>
        </is>
      </c>
      <c r="K3723" t="s">
        <v>2595</v>
      </c>
      <c r="L3723">
        <v>1</v>
      </c>
      <c r="M3723">
        <v>2</v>
      </c>
      <c r="N3723" t="inlineStr">
        <is>
          <t>hr)</t>
        </is>
      </c>
    </row>
    <row r="3724" spans="1:23">
      <c r="A3724">
        <v>9</v>
      </c>
      <c r="B3724">
        <v>11</v>
      </c>
      <c r="C3724">
        <v>2023</v>
      </c>
      <c r="D3724" s="3" t="s">
        <f>B3724&amp;"/"&amp;A3724&amp;"/"&amp;C3724</f>
        <v>3118</v>
      </c>
      <c r="E3724">
        <v>0.73888888888888893</v>
      </c>
      <c r="F3724" t="str">
        <f>I3724&amp;" "&amp;J3724&amp;" "&amp;K3724&amp;" "&amp;L3724&amp;" "&amp;M3724&amp;" "&amp;N3724</f>
        <v>Baycare Labwork    </v>
      </c>
      <c r="G3724" t="s">
        <f>TEXT(D3724,"mmm dd")</f>
        <v>1421</v>
      </c>
      <c r="I3724" t="s">
        <v>3043</v>
      </c>
      <c r="J3724" t="inlineStr">
        <is>
          <t>Labwork</t>
        </is>
      </c>
    </row>
    <row r="3725" spans="1:23">
      <c r="A3725">
        <v>10</v>
      </c>
      <c r="B3725">
        <v>11</v>
      </c>
      <c r="C3725">
        <v>2023</v>
      </c>
      <c r="D3725" s="3" t="s">
        <f>B3725&amp;"/"&amp;A3725&amp;"/"&amp;C3725</f>
        <v>3119</v>
      </c>
      <c r="E3725">
        <v>0.79166666666666663</v>
      </c>
      <c r="F3725" t="s">
        <f>I3725&amp;" "&amp;J3725&amp;" "&amp;K3725&amp;" "&amp;L3725&amp;" "&amp;M3725&amp;" "&amp;N3725</f>
        <v>2889</v>
      </c>
      <c r="G3725" t="s">
        <f>TEXT(D3725,"mmm dd")</f>
        <v>983</v>
      </c>
      <c r="I3725" t="s">
        <v>2890</v>
      </c>
      <c r="J3725" t="s">
        <v>2891</v>
      </c>
    </row>
    <row r="3726" spans="1:23">
      <c r="A3726">
        <v>10</v>
      </c>
      <c r="B3726">
        <v>11</v>
      </c>
      <c r="C3726">
        <v>2023</v>
      </c>
      <c r="D3726" s="3" t="s">
        <f>B3726&amp;"/"&amp;A3726&amp;"/"&amp;C3726</f>
        <v>3119</v>
      </c>
      <c r="E3726">
        <v>0.70833333333333337</v>
      </c>
      <c r="F3726" t="s">
        <f>I3726&amp;" "&amp;J3726&amp;" "&amp;K3726&amp;" "&amp;L3726&amp;" "&amp;M3726&amp;" "&amp;N3726</f>
        <v>3094</v>
      </c>
      <c r="G3726" t="s">
        <f>TEXT(D3726,"mmm dd")</f>
        <v>983</v>
      </c>
      <c r="I3726" t="s">
        <v>1551</v>
      </c>
      <c r="M3726" t="s">
        <v>3095</v>
      </c>
      <c r="N3726" t="s">
        <v>3096</v>
      </c>
    </row>
    <row r="3727" spans="1:23">
      <c r="A3727">
        <v>11</v>
      </c>
      <c r="B3727">
        <v>11</v>
      </c>
      <c r="C3727">
        <v>2023</v>
      </c>
      <c r="D3727" s="3" t="str">
        <f>B3727&amp;"/"&amp;A3727&amp;"/"&amp;C3727</f>
        <v>11/11/2023</v>
      </c>
      <c r="E3727">
        <v>1.0416666666666667</v>
      </c>
      <c r="F3727" t="s">
        <f>I3727&amp;" "&amp;J3727&amp;" "&amp;K3727&amp;" "&amp;L3727&amp;" "&amp;M3727&amp;" "&amp;N3727</f>
        <v>3085</v>
      </c>
      <c r="G3727" t="s">
        <f>TEXT(D3727,"mmm dd")</f>
        <v>986</v>
      </c>
      <c r="I3727" t="s">
        <v>3078</v>
      </c>
      <c r="J3727" t="s">
        <v>1796</v>
      </c>
      <c r="K3727" t="s">
        <v>3049</v>
      </c>
    </row>
    <row r="3728" spans="1:23">
      <c r="A3728">
        <v>12</v>
      </c>
      <c r="B3728">
        <v>11</v>
      </c>
      <c r="C3728">
        <v>2023</v>
      </c>
      <c r="D3728" s="3" t="str">
        <f>B3728&amp;"/"&amp;A3728&amp;"/"&amp;C3728</f>
        <v>11/12/2023</v>
      </c>
      <c r="E3728">
        <v>0.54166666666666663</v>
      </c>
      <c r="F3728" t="s">
        <f>I3728&amp;" "&amp;J3728&amp;" "&amp;K3728&amp;" "&amp;L3728&amp;" "&amp;M3728&amp;" "&amp;N3728</f>
        <v>1840</v>
      </c>
      <c r="G3728" t="s">
        <f>TEXT(D3728,"mmm dd")</f>
        <v>993</v>
      </c>
      <c r="I3728" t="s">
        <v>1273</v>
      </c>
    </row>
    <row r="3729" spans="1:23">
      <c r="A3729">
        <v>15</v>
      </c>
      <c r="B3729">
        <v>11</v>
      </c>
      <c r="C3729">
        <v>2023</v>
      </c>
      <c r="D3729" s="3" t="str">
        <f>B3729&amp;"/"&amp;A3729&amp;"/"&amp;C3729</f>
        <v>11/15/2023</v>
      </c>
      <c r="E3729">
        <v>0.75</v>
      </c>
      <c r="F3729" t="str">
        <f>I3729&amp;" "&amp;J3729&amp;" "&amp;K3729&amp;" "&amp;L3729&amp;" "&amp;M3729&amp;" "&amp;N3729</f>
        <v>Mary Pat   Strategic Review</v>
      </c>
      <c r="G3729" t="s">
        <f>TEXT(D3729,"mmm dd")</f>
        <v>1012</v>
      </c>
      <c r="I3729" t="s">
        <v>410</v>
      </c>
      <c r="J3729" t="s">
        <v>702</v>
      </c>
      <c r="M3729" t="s">
        <v>3120</v>
      </c>
      <c r="N3729" t="s">
        <v>2265</v>
      </c>
    </row>
    <row r="3730" spans="1:23">
      <c r="A3730">
        <v>19</v>
      </c>
      <c r="B3730">
        <v>11</v>
      </c>
      <c r="C3730">
        <v>2023</v>
      </c>
      <c r="D3730" s="3" t="str">
        <f>B3730&amp;"/"&amp;A3730&amp;"/"&amp;C3730</f>
        <v>11/19/2023</v>
      </c>
      <c r="E3730">
        <v>0.54166666666666663</v>
      </c>
      <c r="F3730" t="str">
        <f>I3730&amp;" "&amp;J3730&amp;" "&amp;K3730&amp;" "&amp;L3730&amp;" "&amp;M3730&amp;" "&amp;N3730</f>
        <v>Mass   Pledge  </v>
      </c>
      <c r="G3730" t="s">
        <f>TEXT(D3730,"mmm dd")</f>
        <v>1426</v>
      </c>
      <c r="I3730" t="s">
        <v>1273</v>
      </c>
      <c r="L3730" t="inlineStr">
        <is>
          <t>Pledge</t>
        </is>
      </c>
    </row>
    <row r="3731" spans="1:23">
      <c r="A3731">
        <v>20</v>
      </c>
      <c r="B3731">
        <v>11</v>
      </c>
      <c r="C3731">
        <v>2023</v>
      </c>
      <c r="D3731" s="3" t="str">
        <f>B3731&amp;"/"&amp;A3731&amp;"/"&amp;C3731</f>
        <v>11/20/2023</v>
      </c>
      <c r="E3731">
        <v>0.77083333333333337</v>
      </c>
      <c r="F3731" t="str">
        <f>I3731&amp;" "&amp;J3731&amp;" "&amp;K3731&amp;" "&amp;L3731&amp;" "&amp;M3731&amp;" "&amp;N3731</f>
        <v>Dr. Basil    </v>
      </c>
      <c r="G3731" t="s">
        <f>TEXT(D3731,"mmm dd")</f>
        <v>1030</v>
      </c>
      <c r="I3731" t="s">
        <v>847</v>
      </c>
      <c r="J3731" t="s">
        <v>528</v>
      </c>
    </row>
    <row r="3732" spans="1:23">
      <c r="A3732">
        <v>28</v>
      </c>
      <c r="B3732">
        <v>11</v>
      </c>
      <c r="C3732">
        <v>2023</v>
      </c>
      <c r="D3732" s="3" t="s">
        <f>B3732&amp;"/"&amp;A3732&amp;"/"&amp;C3732</f>
        <v>3121</v>
      </c>
      <c r="E3732">
        <v>1.09375</v>
      </c>
      <c r="F3732" t="str">
        <f>I3732&amp;" "&amp;J3732&amp;" "&amp;K3732&amp;" "&amp;L3732&amp;" "&amp;M3732&amp;" "&amp;N3732</f>
        <v>Flight to Myrtle Beach (AA 2884)</v>
      </c>
      <c r="G3732" t="s">
        <f>TEXT(D3732,"mmm dd")</f>
        <v>1435</v>
      </c>
      <c r="I3732" t="s">
        <v>2365</v>
      </c>
      <c r="J3732" t="s">
        <v>449</v>
      </c>
      <c r="K3732" t="inlineStr">
        <is>
          <t>Myrtle</t>
        </is>
      </c>
      <c r="L3732" t="s">
        <v>1715</v>
      </c>
      <c r="M3732" t="s">
        <v>3122</v>
      </c>
      <c r="N3732" t="inlineStr">
        <is>
          <t>2884)</t>
        </is>
      </c>
    </row>
    <row r="3733" spans="1:23">
      <c r="A3733">
        <v>28</v>
      </c>
      <c r="B3733">
        <v>11</v>
      </c>
      <c r="C3733">
        <v>2023</v>
      </c>
      <c r="D3733" s="3" t="s">
        <f>B3733&amp;"/"&amp;A3733&amp;"/"&amp;C3733</f>
        <v>3121</v>
      </c>
      <c r="E3733">
        <v>0.9243055555555556</v>
      </c>
      <c r="F3733" t="str">
        <f>I3733&amp;" "&amp;J3733&amp;" "&amp;K3733&amp;" "&amp;L3733&amp;" "&amp;M3733&amp;" "&amp;N3733</f>
        <v>Flight to Charlotte (AA 1328) </v>
      </c>
      <c r="G3733" t="s">
        <f>TEXT(D3733,"mmm dd")</f>
        <v>1435</v>
      </c>
      <c r="I3733" t="s">
        <v>2365</v>
      </c>
      <c r="J3733" t="s">
        <v>449</v>
      </c>
      <c r="K3733" t="s">
        <v>2372</v>
      </c>
      <c r="L3733" t="s">
        <v>3122</v>
      </c>
      <c r="M3733" t="inlineStr">
        <is>
          <t>1328)</t>
        </is>
      </c>
    </row>
    <row r="3734" spans="1:23">
      <c r="A3734">
        <v>2</v>
      </c>
      <c r="B3734">
        <v>12</v>
      </c>
      <c r="C3734">
        <v>2023</v>
      </c>
      <c r="D3734" s="3" t="s">
        <f>B3734&amp;"/"&amp;A3734&amp;"/"&amp;C3734</f>
        <v>3123</v>
      </c>
      <c r="E3734">
        <v>1.0291666666666666</v>
      </c>
      <c r="F3734" t="str">
        <f>I3734&amp;" "&amp;J3734&amp;" "&amp;K3734&amp;" "&amp;L3734&amp;" "&amp;M3734&amp;" "&amp;N3734</f>
        <v>Flight to Denver (UA 2660) </v>
      </c>
      <c r="G3734" t="s">
        <f>TEXT(D3734,"mmm dd")</f>
        <v>1438</v>
      </c>
      <c r="I3734" t="s">
        <v>2365</v>
      </c>
      <c r="J3734" t="s">
        <v>449</v>
      </c>
      <c r="K3734" t="inlineStr">
        <is>
          <t>Denver</t>
        </is>
      </c>
      <c r="L3734" t="s">
        <v>3124</v>
      </c>
      <c r="M3734" t="inlineStr">
        <is>
          <t>2660)</t>
        </is>
      </c>
    </row>
    <row r="3735" spans="1:23">
      <c r="A3735">
        <v>2</v>
      </c>
      <c r="B3735">
        <v>12</v>
      </c>
      <c r="C3735">
        <v>2023</v>
      </c>
      <c r="D3735" s="3" t="s">
        <f>B3735&amp;"/"&amp;A3735&amp;"/"&amp;C3735</f>
        <v>3123</v>
      </c>
      <c r="E3735">
        <v>0.90277777777777779</v>
      </c>
      <c r="F3735" t="str">
        <f>I3735&amp;" "&amp;J3735&amp;" "&amp;K3735&amp;" "&amp;L3735&amp;" "&amp;M3735&amp;" "&amp;N3735</f>
        <v>Flight to Newark (UA 3502) </v>
      </c>
      <c r="G3735" t="s">
        <f>TEXT(D3735,"mmm dd")</f>
        <v>1438</v>
      </c>
      <c r="I3735" t="s">
        <v>2365</v>
      </c>
      <c r="J3735" t="s">
        <v>449</v>
      </c>
      <c r="K3735" t="inlineStr">
        <is>
          <t>Newark</t>
        </is>
      </c>
      <c r="L3735" t="s">
        <v>3124</v>
      </c>
      <c r="M3735" t="inlineStr">
        <is>
          <t>3502)</t>
        </is>
      </c>
    </row>
    <row r="3736" spans="1:23">
      <c r="A3736">
        <v>4</v>
      </c>
      <c r="B3736">
        <v>12</v>
      </c>
      <c r="C3736">
        <v>2023</v>
      </c>
      <c r="D3736" s="3" t="str">
        <f>B3736&amp;"/"&amp;A3736&amp;"/"&amp;C3736</f>
        <v>12/4/2023</v>
      </c>
      <c r="E3736">
        <v>0.78125</v>
      </c>
      <c r="F3736" t="s">
        <f>I3736&amp;" "&amp;J3736&amp;" "&amp;K3736&amp;" "&amp;L3736&amp;" "&amp;M3736&amp;" "&amp;N3736</f>
        <v>3073</v>
      </c>
      <c r="G3736" t="s">
        <f>TEXT(D3736,"mmm dd")</f>
        <v>1057</v>
      </c>
      <c r="I3736" t="s">
        <v>1791</v>
      </c>
      <c r="J3736" t="s">
        <v>528</v>
      </c>
    </row>
    <row r="3737" spans="1:23">
      <c r="A3737">
        <v>8</v>
      </c>
      <c r="B3737">
        <v>12</v>
      </c>
      <c r="C3737">
        <v>2023</v>
      </c>
      <c r="D3737" s="3" t="s">
        <f>B3737&amp;"/"&amp;A3737&amp;"/"&amp;C3737</f>
        <v>3125</v>
      </c>
      <c r="E3737">
        <v>0.83333333333333337</v>
      </c>
      <c r="F3737" t="s">
        <f>I3737&amp;" "&amp;J3737&amp;" "&amp;K3737&amp;" "&amp;L3737&amp;" "&amp;M3737&amp;" "&amp;N3737</f>
        <v>2889</v>
      </c>
      <c r="G3737" t="s">
        <f>TEXT(D3737,"mmm dd")</f>
        <v>2154</v>
      </c>
      <c r="I3737" t="s">
        <v>2890</v>
      </c>
      <c r="J3737" t="s">
        <v>2891</v>
      </c>
    </row>
    <row r="3738" spans="1:23">
      <c r="A3738">
        <v>8</v>
      </c>
      <c r="B3738">
        <v>12</v>
      </c>
      <c r="C3738">
        <v>2023</v>
      </c>
      <c r="D3738" s="3" t="s">
        <f>B3738&amp;"/"&amp;A3738&amp;"/"&amp;C3738</f>
        <v>3125</v>
      </c>
      <c r="E3738">
        <v>0.14583333333333334</v>
      </c>
      <c r="F3738" t="str">
        <f>I3738&amp;" "&amp;J3738&amp;" "&amp;K3738&amp;" "&amp;L3738&amp;" "&amp;M3738&amp;" "&amp;N3738</f>
        <v>Holiday Brass with Ingraham's  </v>
      </c>
      <c r="G3738" t="s">
        <f>TEXT(D3738,"mmm dd")</f>
        <v>2154</v>
      </c>
      <c r="I3738" t="s">
        <v>1327</v>
      </c>
      <c r="J3738" t="inlineStr">
        <is>
          <t>Brass</t>
        </is>
      </c>
      <c r="K3738" t="s">
        <v>755</v>
      </c>
      <c r="L3738" t="inlineStr">
        <is>
          <t>Ingraham's</t>
        </is>
      </c>
    </row>
    <row r="3739" spans="1:23">
      <c r="A3739">
        <v>14</v>
      </c>
      <c r="B3739">
        <v>12</v>
      </c>
      <c r="C3739">
        <v>2023</v>
      </c>
      <c r="D3739" s="3" t="s">
        <f>B3739&amp;"/"&amp;A3739&amp;"/"&amp;C3739</f>
        <v>3126</v>
      </c>
      <c r="E3739">
        <v>0.6875</v>
      </c>
      <c r="F3739" t="str">
        <f>I3739&amp;" "&amp;J3739&amp;" "&amp;K3739&amp;" "&amp;L3739&amp;" "&amp;M3739&amp;" "&amp;N3739</f>
        <v>Aaron Davis MD checkup  </v>
      </c>
      <c r="G3739" t="s">
        <f>TEXT(D3739,"mmm dd")</f>
        <v>1079</v>
      </c>
      <c r="I3739" t="s">
        <v>2757</v>
      </c>
      <c r="J3739" t="s">
        <v>3127</v>
      </c>
      <c r="K3739" t="s">
        <v>2713</v>
      </c>
      <c r="L3739" t="s">
        <v>781</v>
      </c>
    </row>
    <row r="3740" spans="1:23">
      <c r="A3740">
        <v>14</v>
      </c>
      <c r="B3740">
        <v>12</v>
      </c>
      <c r="C3740">
        <v>2023</v>
      </c>
      <c r="D3740" s="3" t="s">
        <f>B3740&amp;"/"&amp;A3740&amp;"/"&amp;C3740</f>
        <v>3126</v>
      </c>
      <c r="E3740">
        <v>0.70833333333333337</v>
      </c>
      <c r="F3740" t="str">
        <f>I3740&amp;" "&amp;J3740&amp;" "&amp;K3740&amp;" "&amp;L3740&amp;" "&amp;M3740&amp;" "&amp;N3740</f>
        <v>Bozarth window servicing   </v>
      </c>
      <c r="G3740" t="s">
        <f>TEXT(D3740,"mmm dd")</f>
        <v>1079</v>
      </c>
      <c r="I3740" t="s">
        <v>3076</v>
      </c>
      <c r="J3740" t="s">
        <v>1963</v>
      </c>
      <c r="K3740" t="s">
        <v>3021</v>
      </c>
    </row>
    <row r="3741" spans="1:23">
      <c r="A3741">
        <v>15</v>
      </c>
      <c r="B3741">
        <v>12</v>
      </c>
      <c r="C3741">
        <v>2023</v>
      </c>
      <c r="D3741" s="3" t="str">
        <f>B3741&amp;"/"&amp;A3741&amp;"/"&amp;C3741</f>
        <v>12/15/2023</v>
      </c>
      <c r="E3741">
        <v>0.70833333333333337</v>
      </c>
      <c r="F3741" t="s">
        <f>I3741&amp;" "&amp;J3741&amp;" "&amp;K3741&amp;" "&amp;L3741&amp;" "&amp;M3741&amp;" "&amp;N3741</f>
        <v>3094</v>
      </c>
      <c r="G3741" t="s">
        <f>TEXT(D3741,"mmm dd")</f>
        <v>1088</v>
      </c>
      <c r="I3741" t="s">
        <v>1551</v>
      </c>
      <c r="M3741" t="s">
        <v>3095</v>
      </c>
      <c r="N3741" t="s">
        <v>3096</v>
      </c>
    </row>
    <row r="3742" spans="1:23">
      <c r="A3742">
        <v>18</v>
      </c>
      <c r="B3742">
        <v>12</v>
      </c>
      <c r="C3742">
        <v>2023</v>
      </c>
      <c r="D3742" s="3" t="str">
        <f>B3742&amp;"/"&amp;A3742&amp;"/"&amp;C3742</f>
        <v>12/18/2023</v>
      </c>
      <c r="E3742">
        <v>0.68055555555555558</v>
      </c>
      <c r="F3742" t="str">
        <f>I3742&amp;" "&amp;J3742&amp;" "&amp;K3742&amp;" "&amp;L3742&amp;" "&amp;M3742&amp;" "&amp;N3742</f>
        <v>Inspection of windows   </v>
      </c>
      <c r="G3742" t="s">
        <f>TEXT(D3742,"mmm dd")</f>
        <v>1104</v>
      </c>
      <c r="I3742" t="s">
        <v>2943</v>
      </c>
      <c r="J3742" t="s">
        <v>86</v>
      </c>
      <c r="K3742" t="s">
        <v>3077</v>
      </c>
    </row>
    <row r="3743" spans="1:23">
      <c r="A3743">
        <v>19</v>
      </c>
      <c r="B3743">
        <v>12</v>
      </c>
      <c r="C3743">
        <v>2023</v>
      </c>
      <c r="D3743" s="3" t="str">
        <f>B3743&amp;"/"&amp;A3743&amp;"/"&amp;C3743</f>
        <v>12/19/2023</v>
      </c>
      <c r="E3743">
        <v>0.91666666666666663</v>
      </c>
      <c r="F3743" t="str">
        <f>I3743&amp;" "&amp;J3743&amp;" "&amp;K3743&amp;" "&amp;L3743&amp;" "&amp;M3743&amp;" "&amp;N3743</f>
        <v>Basil crown    </v>
      </c>
      <c r="G3743" t="s">
        <f>TEXT(D3743,"mmm dd")</f>
        <v>1114</v>
      </c>
      <c r="I3743" t="s">
        <v>528</v>
      </c>
      <c r="J3743" t="s">
        <v>2262</v>
      </c>
    </row>
    <row r="3744" spans="1:23">
      <c r="A3744">
        <v>25</v>
      </c>
      <c r="B3744">
        <v>12</v>
      </c>
      <c r="C3744">
        <v>2023</v>
      </c>
      <c r="D3744" s="3" t="str">
        <f>B3744&amp;"/"&amp;A3744&amp;"/"&amp;C3744</f>
        <v>12/25/2023</v>
      </c>
      <c r="E3744">
        <v>0.75</v>
      </c>
      <c r="F3744" t="s">
        <f>I3744&amp;" "&amp;J3744&amp;" "&amp;K3744&amp;" "&amp;L3744&amp;" "&amp;M3744&amp;" "&amp;N3744</f>
        <v>3128</v>
      </c>
      <c r="G3744" t="s">
        <f>TEXT(D3744,"mmm dd")</f>
        <v>1468</v>
      </c>
      <c r="I3744" t="s">
        <v>1273</v>
      </c>
      <c r="L3744" t="s">
        <v>1316</v>
      </c>
      <c r="M3744" t="s">
        <v>3129</v>
      </c>
    </row>
    <row r="3745" spans="1:23">
      <c r="A3745">
        <v>30</v>
      </c>
      <c r="B3745">
        <v>12</v>
      </c>
      <c r="C3745">
        <v>2023</v>
      </c>
      <c r="D3745" s="3" t="str">
        <f>B3745&amp;"/"&amp;A3745&amp;"/"&amp;C3745</f>
        <v>12/30/2023</v>
      </c>
      <c r="E3745">
        <v>1.0416666666666667</v>
      </c>
      <c r="F3745" t="s">
        <f>I3745&amp;" "&amp;J3745&amp;" "&amp;K3745&amp;" "&amp;L3745&amp;" "&amp;M3745&amp;" "&amp;N3745</f>
        <v>3106</v>
      </c>
      <c r="G3745" t="s">
        <f>TEXT(D3745,"mmm dd")</f>
        <v>38</v>
      </c>
      <c r="I3745" t="s">
        <v>1273</v>
      </c>
      <c r="L3745" t="s">
        <v>3104</v>
      </c>
    </row>
    <row r="3746" spans="1:23">
      <c r="A3746">
        <v>31</v>
      </c>
      <c r="B3746">
        <v>12</v>
      </c>
      <c r="C3746">
        <v>2023</v>
      </c>
      <c r="D3746" s="3" t="str">
        <f>B3746&amp;"/"&amp;A3746&amp;"/"&amp;C3746</f>
        <v>12/31/2023</v>
      </c>
      <c r="E3746">
        <v>0.54166666666666663</v>
      </c>
      <c r="F3746" t="str">
        <f>I3746&amp;" "&amp;J3746&amp;" "&amp;K3746&amp;" "&amp;L3746&amp;" "&amp;M3746&amp;" "&amp;N3746</f>
        <v>Mass   Dale celebrates </v>
      </c>
      <c r="G3746" t="s">
        <f>TEXT(D3746,"mmm dd")</f>
        <v>1134</v>
      </c>
      <c r="I3746" t="s">
        <v>1273</v>
      </c>
      <c r="L3746" t="s">
        <v>1316</v>
      </c>
      <c r="M3746" t="s">
        <v>3130</v>
      </c>
    </row>
    <row r="3747" spans="1:23">
      <c r="A3747">
        <v>5</v>
      </c>
      <c r="B3747">
        <v>1</v>
      </c>
      <c r="C3747">
        <v>2024</v>
      </c>
      <c r="D3747" s="3" t="s">
        <f>B3747&amp;"/"&amp;A3747&amp;"/"&amp;C3747</f>
        <v>3131</v>
      </c>
      <c r="E3747">
        <v>0.75</v>
      </c>
      <c r="F3747" t="str">
        <f>I3747&amp;" "&amp;J3747&amp;" "&amp;K3747&amp;" "&amp;L3747&amp;" "&amp;M3747&amp;" "&amp;N3747</f>
        <v>Air Hawk HVAC service  </v>
      </c>
      <c r="G3747" t="s">
        <f>TEXT(D3747,"mmm dd")</f>
        <v>2485</v>
      </c>
      <c r="I3747" t="s">
        <v>1754</v>
      </c>
      <c r="J3747" t="inlineStr">
        <is>
          <t>Hawk</t>
        </is>
      </c>
      <c r="K3747" t="s">
        <v>2538</v>
      </c>
      <c r="L3747" t="s">
        <v>427</v>
      </c>
    </row>
    <row r="3748" spans="1:23">
      <c r="A3748">
        <v>5</v>
      </c>
      <c r="B3748">
        <v>1</v>
      </c>
      <c r="C3748">
        <v>2024</v>
      </c>
      <c r="D3748" s="3" t="s">
        <f>B3748&amp;"/"&amp;A3748&amp;"/"&amp;C3748</f>
        <v>3131</v>
      </c>
      <c r="E3748">
        <v>0.5</v>
      </c>
      <c r="F3748" t="s">
        <f>I3748&amp;" "&amp;J3748&amp;" "&amp;K3748&amp;" "&amp;L3748&amp;" "&amp;M3748&amp;" "&amp;N3748</f>
        <v>3094</v>
      </c>
      <c r="G3748" t="s">
        <f>TEXT(D3748,"mmm dd")</f>
        <v>2485</v>
      </c>
      <c r="I3748" t="s">
        <v>1551</v>
      </c>
      <c r="M3748" t="s">
        <v>3095</v>
      </c>
      <c r="N3748" t="s">
        <v>3096</v>
      </c>
    </row>
    <row r="3749" spans="1:23">
      <c r="A3749">
        <v>11</v>
      </c>
      <c r="B3749">
        <v>1</v>
      </c>
      <c r="C3749">
        <v>2024</v>
      </c>
      <c r="D3749" s="3" t="str">
        <f>B3749&amp;"/"&amp;A3749&amp;"/"&amp;C3749</f>
        <v>1/11/2024</v>
      </c>
      <c r="E3749">
        <v>0.625</v>
      </c>
      <c r="F3749" t="s">
        <f>I3749&amp;" "&amp;J3749&amp;" "&amp;K3749&amp;" "&amp;L3749&amp;" "&amp;M3749&amp;" "&amp;N3749</f>
        <v>3071</v>
      </c>
      <c r="G3749" t="s">
        <f>TEXT(D3749,"mmm dd")</f>
        <v>1152</v>
      </c>
      <c r="I3749" t="s">
        <v>855</v>
      </c>
      <c r="J3749" t="s">
        <v>1273</v>
      </c>
    </row>
    <row r="3750" spans="1:23">
      <c r="A3750">
        <v>13</v>
      </c>
      <c r="B3750">
        <v>1</v>
      </c>
      <c r="C3750">
        <v>2024</v>
      </c>
      <c r="D3750" s="3" t="s">
        <f>B3750&amp;"/"&amp;A3750&amp;"/"&amp;C3750</f>
        <v>3132</v>
      </c>
      <c r="E3750">
        <v>0.70833333333333337</v>
      </c>
      <c r="F3750" t="str">
        <f>I3750&amp;" "&amp;J3750&amp;" "&amp;K3750&amp;" "&amp;L3750&amp;" "&amp;M3750&amp;" "&amp;N3750</f>
        <v>Hazardous waste collection   </v>
      </c>
      <c r="G3750" t="s">
        <f>TEXT(D3750,"mmm dd")</f>
        <v>1164</v>
      </c>
      <c r="I3750" t="inlineStr">
        <is>
          <t>Hazardous</t>
        </is>
      </c>
      <c r="J3750" t="inlineStr">
        <is>
          <t>waste</t>
        </is>
      </c>
      <c r="K3750" t="s">
        <v>3029</v>
      </c>
    </row>
    <row r="3751" spans="1:23">
      <c r="A3751">
        <v>13</v>
      </c>
      <c r="B3751">
        <v>1</v>
      </c>
      <c r="C3751">
        <v>2024</v>
      </c>
      <c r="D3751" s="3" t="s">
        <f>B3751&amp;"/"&amp;A3751&amp;"/"&amp;C3751</f>
        <v>3132</v>
      </c>
      <c r="E3751">
        <v>1.0416666666666667</v>
      </c>
      <c r="F3751" t="s">
        <f>I3751&amp;" "&amp;J3751&amp;" "&amp;K3751&amp;" "&amp;L3751&amp;" "&amp;M3751&amp;" "&amp;N3751</f>
        <v>1027</v>
      </c>
      <c r="G3751" t="s">
        <f>TEXT(D3751,"mmm dd")</f>
        <v>1164</v>
      </c>
      <c r="I3751" t="s">
        <v>1028</v>
      </c>
      <c r="J3751" t="s">
        <v>814</v>
      </c>
    </row>
    <row r="3752" spans="1:23">
      <c r="A3752">
        <v>13</v>
      </c>
      <c r="B3752">
        <v>1</v>
      </c>
      <c r="C3752">
        <v>2024</v>
      </c>
      <c r="D3752" s="3" t="s">
        <f>B3752&amp;"/"&amp;A3752&amp;"/"&amp;C3752</f>
        <v>3132</v>
      </c>
      <c r="E3752">
        <v>0.79166666666666663</v>
      </c>
      <c r="F3752" t="s">
        <f>I3752&amp;" "&amp;J3752&amp;" "&amp;K3752&amp;" "&amp;L3752&amp;" "&amp;M3752&amp;" "&amp;N3752</f>
        <v>2617</v>
      </c>
      <c r="G3752" t="s">
        <f>TEXT(D3752,"mmm dd")</f>
        <v>1164</v>
      </c>
      <c r="I3752" t="s">
        <v>1135</v>
      </c>
    </row>
    <row r="3753" spans="1:23">
      <c r="A3753">
        <v>15</v>
      </c>
      <c r="B3753">
        <v>1</v>
      </c>
      <c r="C3753">
        <v>2024</v>
      </c>
      <c r="D3753" s="3" t="str">
        <f>B3753&amp;"/"&amp;A3753&amp;"/"&amp;C3753</f>
        <v>1/15/2024</v>
      </c>
      <c r="E3753">
        <v>0.95833333333333337</v>
      </c>
      <c r="F3753" t="str">
        <f>I3753&amp;" "&amp;J3753&amp;" "&amp;K3753&amp;" "&amp;L3753&amp;" "&amp;M3753&amp;" "&amp;N3753</f>
        <v>Call piikea    </v>
      </c>
      <c r="G3753" t="s">
        <f>TEXT(D3753,"mmm dd")</f>
        <v>1686</v>
      </c>
      <c r="I3753" t="s">
        <v>1028</v>
      </c>
      <c r="J3753" t="inlineStr">
        <is>
          <t>piikea</t>
        </is>
      </c>
    </row>
    <row r="3754" spans="1:23">
      <c r="A3754">
        <v>16</v>
      </c>
      <c r="B3754">
        <v>1</v>
      </c>
      <c r="C3754">
        <v>2024</v>
      </c>
      <c r="D3754" s="3" t="str">
        <f>B3754&amp;"/"&amp;A3754&amp;"/"&amp;C3754</f>
        <v>1/16/2024</v>
      </c>
      <c r="E3754">
        <v>0.66666666666666663</v>
      </c>
      <c r="F3754" t="str">
        <f>I3754&amp;" "&amp;J3754&amp;" "&amp;K3754&amp;" "&amp;L3754&amp;" "&amp;M3754&amp;" "&amp;N3754</f>
        <v>Install A C   </v>
      </c>
      <c r="G3754" t="s">
        <f>TEXT(D3754,"mmm dd")</f>
        <v>1170</v>
      </c>
      <c r="I3754" t="s">
        <v>2693</v>
      </c>
      <c r="J3754" t="s">
        <v>1575</v>
      </c>
      <c r="K3754" t="s">
        <v>2808</v>
      </c>
    </row>
    <row r="3755" spans="1:23">
      <c r="A3755">
        <v>18</v>
      </c>
      <c r="B3755">
        <v>1</v>
      </c>
      <c r="C3755">
        <v>2024</v>
      </c>
      <c r="D3755" s="3" t="str">
        <f>B3755&amp;"/"&amp;A3755&amp;"/"&amp;C3755</f>
        <v>1/18/2024</v>
      </c>
      <c r="E3755">
        <v>1.0208333333333333</v>
      </c>
      <c r="F3755" t="s">
        <f>I3755&amp;" "&amp;J3755&amp;" "&amp;K3755&amp;" "&amp;L3755&amp;" "&amp;M3755&amp;" "&amp;N3755</f>
        <v>2889</v>
      </c>
      <c r="G3755" t="s">
        <f>TEXT(D3755,"mmm dd")</f>
        <v>1687</v>
      </c>
      <c r="I3755" t="s">
        <v>2890</v>
      </c>
      <c r="J3755" t="s">
        <v>2891</v>
      </c>
    </row>
    <row r="3756" spans="1:23">
      <c r="A3756">
        <v>22</v>
      </c>
      <c r="B3756">
        <v>1</v>
      </c>
      <c r="C3756">
        <v>2024</v>
      </c>
      <c r="D3756" s="3" t="str">
        <f>B3756&amp;"/"&amp;A3756&amp;"/"&amp;C3756</f>
        <v>1/22/2024</v>
      </c>
      <c r="E3756">
        <v>0.79166666666666663</v>
      </c>
      <c r="F3756" t="str">
        <f>I3756&amp;" "&amp;J3756&amp;" "&amp;K3756&amp;" "&amp;L3756&amp;" "&amp;M3756&amp;" "&amp;N3756</f>
        <v>HVAC Inspection    </v>
      </c>
      <c r="G3756" t="s">
        <f>TEXT(D3756,"mmm dd")</f>
        <v>1692</v>
      </c>
      <c r="I3756" t="s">
        <v>2538</v>
      </c>
      <c r="J3756" t="s">
        <v>2943</v>
      </c>
    </row>
    <row r="3757" spans="1:23">
      <c r="A3757">
        <v>23</v>
      </c>
      <c r="B3757">
        <v>1</v>
      </c>
      <c r="C3757">
        <v>2024</v>
      </c>
      <c r="D3757" s="3" t="str">
        <f>B3757&amp;"/"&amp;A3757&amp;"/"&amp;C3757</f>
        <v>1/23/2024</v>
      </c>
      <c r="E3757">
        <v>0.72916666666666663</v>
      </c>
      <c r="F3757" t="str">
        <f>I3757&amp;" "&amp;J3757&amp;" "&amp;K3757&amp;" "&amp;L3757&amp;" "&amp;M3757&amp;" "&amp;N3757</f>
        <v>Ķia service    </v>
      </c>
      <c r="G3757" t="s">
        <f>TEXT(D3757,"mmm dd")</f>
        <v>1179</v>
      </c>
      <c r="I3757" t="inlineStr">
        <is>
          <t>Ķia</t>
        </is>
      </c>
      <c r="J3757" t="s">
        <v>427</v>
      </c>
    </row>
    <row r="3758" spans="1:23">
      <c r="A3758">
        <v>2</v>
      </c>
      <c r="B3758">
        <v>2</v>
      </c>
      <c r="C3758">
        <v>2024</v>
      </c>
      <c r="D3758" s="3" t="str">
        <f>B3758&amp;"/"&amp;A3758&amp;"/"&amp;C3758</f>
        <v>2/2/2024</v>
      </c>
      <c r="E3758">
        <v>0.97916666666666663</v>
      </c>
      <c r="F3758" t="str">
        <f>I3758&amp;" "&amp;J3758&amp;" "&amp;K3758&amp;" "&amp;L3758&amp;" "&amp;M3758&amp;" "&amp;N3758</f>
        <v>Healing prayer for Trisha  </v>
      </c>
      <c r="G3758" t="s">
        <f>TEXT(D3758,"mmm dd")</f>
        <v>1699</v>
      </c>
      <c r="I3758" t="s">
        <v>855</v>
      </c>
      <c r="J3758" t="s">
        <v>1480</v>
      </c>
      <c r="K3758" t="s">
        <v>439</v>
      </c>
      <c r="L3758" t="inlineStr">
        <is>
          <t>Trisha</t>
        </is>
      </c>
    </row>
    <row r="3759" spans="1:23">
      <c r="A3759">
        <v>3</v>
      </c>
      <c r="B3759">
        <v>2</v>
      </c>
      <c r="C3759">
        <v>2024</v>
      </c>
      <c r="D3759" s="3" t="str">
        <f>B3759&amp;"/"&amp;A3759&amp;"/"&amp;C3759</f>
        <v>2/3/2024</v>
      </c>
      <c r="E3759">
        <v>1.0416666666666667</v>
      </c>
      <c r="F3759" t="s">
        <f>I3759&amp;" "&amp;J3759&amp;" "&amp;K3759&amp;" "&amp;L3759&amp;" "&amp;M3759&amp;" "&amp;N3759</f>
        <v>3133</v>
      </c>
      <c r="G3759" t="s">
        <f>TEXT(D3759,"mmm dd")</f>
        <v>1501</v>
      </c>
      <c r="I3759" t="s">
        <v>1606</v>
      </c>
      <c r="J3759" t="s">
        <v>3104</v>
      </c>
      <c r="K3759" t="s">
        <v>48</v>
      </c>
      <c r="L3759" t="s">
        <v>218</v>
      </c>
      <c r="M3759" t="s">
        <v>3049</v>
      </c>
    </row>
    <row r="3760" spans="1:23">
      <c r="A3760">
        <v>4</v>
      </c>
      <c r="B3760">
        <v>2</v>
      </c>
      <c r="C3760">
        <v>2024</v>
      </c>
      <c r="D3760" s="3" t="str">
        <f>B3760&amp;"/"&amp;A3760&amp;"/"&amp;C3760</f>
        <v>2/4/2024</v>
      </c>
      <c r="E3760">
        <v>0.75</v>
      </c>
      <c r="F3760" t="s">
        <f>I3760&amp;" "&amp;J3760&amp;" "&amp;K3760&amp;" "&amp;L3760&amp;" "&amp;M3760&amp;" "&amp;N3760</f>
        <v>3133</v>
      </c>
      <c r="G3760" t="s">
        <f>TEXT(D3760,"mmm dd")</f>
        <v>2284</v>
      </c>
      <c r="I3760" t="s">
        <v>1606</v>
      </c>
      <c r="J3760" t="s">
        <v>3104</v>
      </c>
      <c r="K3760" t="s">
        <v>48</v>
      </c>
      <c r="L3760" t="s">
        <v>218</v>
      </c>
      <c r="M3760" t="s">
        <v>3049</v>
      </c>
    </row>
    <row r="3761" spans="1:23">
      <c r="A3761">
        <v>5</v>
      </c>
      <c r="B3761">
        <v>2</v>
      </c>
      <c r="C3761">
        <v>2024</v>
      </c>
      <c r="D3761" s="3" t="str">
        <f>B3761&amp;"/"&amp;A3761&amp;"/"&amp;C3761</f>
        <v>2/5/2024</v>
      </c>
      <c r="E3761">
        <v>0.70833333333333337</v>
      </c>
      <c r="F3761" t="str">
        <f>I3761&amp;" "&amp;J3761&amp;" "&amp;K3761&amp;" "&amp;L3761&amp;" "&amp;M3761&amp;" "&amp;N3761</f>
        <v>Alex re window screens  </v>
      </c>
      <c r="G3761" t="s">
        <f>TEXT(D3761,"mmm dd")</f>
        <v>1182</v>
      </c>
      <c r="I3761" t="inlineStr">
        <is>
          <t>Alex</t>
        </is>
      </c>
      <c r="J3761" t="s">
        <v>594</v>
      </c>
      <c r="K3761" t="s">
        <v>1963</v>
      </c>
      <c r="L3761" t="inlineStr">
        <is>
          <t>screens</t>
        </is>
      </c>
    </row>
    <row r="3762" spans="1:23">
      <c r="A3762">
        <v>6</v>
      </c>
      <c r="B3762">
        <v>2</v>
      </c>
      <c r="C3762">
        <v>2024</v>
      </c>
      <c r="D3762" s="3" t="str">
        <f>B3762&amp;"/"&amp;A3762&amp;"/"&amp;C3762</f>
        <v>2/6/2024</v>
      </c>
      <c r="E3762">
        <v>0.91666666666666663</v>
      </c>
      <c r="F3762" t="str">
        <f>I3762&amp;" "&amp;J3762&amp;" "&amp;K3762&amp;" "&amp;L3762&amp;" "&amp;M3762&amp;" "&amp;N3762</f>
        <v>Basil dentist    </v>
      </c>
      <c r="G3762" t="s">
        <f>TEXT(D3762,"mmm dd")</f>
        <v>1185</v>
      </c>
      <c r="I3762" t="s">
        <v>528</v>
      </c>
      <c r="J3762" t="s">
        <v>1973</v>
      </c>
      <c r="O3762" t="s">
        <v>3134</v>
      </c>
    </row>
    <row r="3763" spans="1:23">
      <c r="A3763">
        <v>8</v>
      </c>
      <c r="B3763">
        <v>2</v>
      </c>
      <c r="C3763">
        <v>2024</v>
      </c>
      <c r="D3763" s="3" t="str">
        <f>B3763&amp;"/"&amp;A3763&amp;"/"&amp;C3763</f>
        <v>2/8/2024</v>
      </c>
      <c r="E3763">
        <v>0.5</v>
      </c>
      <c r="F3763" t="s">
        <f>I3763&amp;" "&amp;J3763&amp;" "&amp;K3763&amp;" "&amp;L3763&amp;" "&amp;M3763&amp;" "&amp;N3763</f>
        <v>3094</v>
      </c>
      <c r="G3763" t="s">
        <f>TEXT(D3763,"mmm dd")</f>
        <v>1843</v>
      </c>
      <c r="I3763" t="s">
        <v>1551</v>
      </c>
      <c r="M3763" t="s">
        <v>3095</v>
      </c>
      <c r="N3763" t="s">
        <v>3096</v>
      </c>
    </row>
    <row r="3764" spans="1:23">
      <c r="A3764">
        <v>9</v>
      </c>
      <c r="B3764">
        <v>2</v>
      </c>
      <c r="C3764">
        <v>2024</v>
      </c>
      <c r="D3764" s="3" t="str">
        <f>B3764&amp;"/"&amp;A3764&amp;"/"&amp;C3764</f>
        <v>2/9/2024</v>
      </c>
      <c r="E3764">
        <v>0.70833333333333337</v>
      </c>
      <c r="F3764" t="str">
        <f>I3764&amp;" "&amp;J3764&amp;" "&amp;K3764&amp;" "&amp;L3764&amp;" "&amp;M3764&amp;" "&amp;N3764</f>
        <v>Final Inspection (Beryl)   </v>
      </c>
      <c r="G3764" t="s">
        <f>TEXT(D3764,"mmm dd")</f>
        <v>1504</v>
      </c>
      <c r="I3764" t="s">
        <v>1763</v>
      </c>
      <c r="J3764" t="s">
        <v>2943</v>
      </c>
      <c r="K3764" t="inlineStr">
        <is>
          <t>(Beryl)</t>
        </is>
      </c>
    </row>
    <row r="3765" spans="1:23">
      <c r="A3765">
        <v>15</v>
      </c>
      <c r="B3765">
        <v>2</v>
      </c>
      <c r="C3765">
        <v>2024</v>
      </c>
      <c r="D3765" s="3" t="str">
        <f>B3765&amp;"/"&amp;A3765&amp;"/"&amp;C3765</f>
        <v>2/15/2024</v>
      </c>
      <c r="E3765">
        <v>1</v>
      </c>
      <c r="F3765" t="s">
        <f>I3765&amp;" "&amp;J3765&amp;" "&amp;K3765&amp;" "&amp;L3765&amp;" "&amp;M3765&amp;" "&amp;N3765</f>
        <v>2889</v>
      </c>
      <c r="G3765" t="s">
        <f>TEXT(D3765,"mmm dd")</f>
        <v>1849</v>
      </c>
      <c r="I3765" t="s">
        <v>2890</v>
      </c>
      <c r="J3765" t="s">
        <v>2891</v>
      </c>
    </row>
    <row r="3766" spans="1:23">
      <c r="A3766">
        <v>20</v>
      </c>
      <c r="B3766">
        <v>2</v>
      </c>
      <c r="C3766">
        <v>2024</v>
      </c>
      <c r="D3766" s="3" t="s">
        <f>B3766&amp;"/"&amp;A3766&amp;"/"&amp;C3766</f>
        <v>3135</v>
      </c>
      <c r="E3766">
        <v>0.91666666666666663</v>
      </c>
      <c r="F3766" t="str">
        <f>I3766&amp;" "&amp;J3766&amp;" "&amp;K3766&amp;" "&amp;L3766&amp;" "&amp;M3766&amp;" "&amp;N3766</f>
        <v>Service on Lokey Kia  </v>
      </c>
      <c r="G3766" t="s">
        <f>TEXT(D3766,"mmm dd")</f>
        <v>1525</v>
      </c>
      <c r="I3766" t="s">
        <v>1484</v>
      </c>
      <c r="J3766" t="s">
        <v>1449</v>
      </c>
      <c r="K3766" t="s">
        <v>3041</v>
      </c>
      <c r="L3766" t="s">
        <v>1370</v>
      </c>
    </row>
    <row r="3767" spans="1:23">
      <c r="A3767">
        <v>20</v>
      </c>
      <c r="B3767">
        <v>2</v>
      </c>
      <c r="C3767">
        <v>2024</v>
      </c>
      <c r="D3767" s="3" t="s">
        <f>B3767&amp;"/"&amp;A3767&amp;"/"&amp;C3767</f>
        <v>3135</v>
      </c>
      <c r="E3767">
        <v>0.41666666666666669</v>
      </c>
      <c r="F3767" t="s">
        <f>I3767&amp;" "&amp;J3767&amp;" "&amp;K3767&amp;" "&amp;L3767&amp;" "&amp;M3767&amp;" "&amp;N3767</f>
        <v>3136</v>
      </c>
      <c r="G3767" t="s">
        <f>TEXT(D3767,"mmm dd")</f>
        <v>1525</v>
      </c>
      <c r="I3767" t="s">
        <v>2419</v>
      </c>
      <c r="J3767" t="s">
        <v>53</v>
      </c>
      <c r="K3767" t="s">
        <v>3137</v>
      </c>
      <c r="L3767" t="s">
        <v>2708</v>
      </c>
    </row>
    <row r="3768" spans="1:23">
      <c r="A3768">
        <v>24</v>
      </c>
      <c r="B3768">
        <v>2</v>
      </c>
      <c r="C3768">
        <v>2024</v>
      </c>
      <c r="D3768" s="3" t="str">
        <f>B3768&amp;"/"&amp;A3768&amp;"/"&amp;C3768</f>
        <v>2/24/2024</v>
      </c>
      <c r="E3768">
        <v>1.0416666666666667</v>
      </c>
      <c r="F3768" t="s">
        <f>I3768&amp;" "&amp;J3768&amp;" "&amp;K3768&amp;" "&amp;L3768&amp;" "&amp;M3768&amp;" "&amp;N3768</f>
        <v>3128</v>
      </c>
      <c r="G3768" t="s">
        <f>TEXT(D3768,"mmm dd")</f>
        <v>2498</v>
      </c>
      <c r="I3768" t="s">
        <v>1273</v>
      </c>
      <c r="L3768" t="s">
        <v>1316</v>
      </c>
      <c r="M3768" t="s">
        <v>3129</v>
      </c>
      <c r="O3768" t="s">
        <v>3134</v>
      </c>
    </row>
    <row r="3769" spans="1:23">
      <c r="A3769">
        <v>25</v>
      </c>
      <c r="B3769">
        <v>2</v>
      </c>
      <c r="C3769">
        <v>2024</v>
      </c>
      <c r="D3769" s="3" t="str">
        <f>B3769&amp;"/"&amp;A3769&amp;"/"&amp;C3769</f>
        <v>2/25/2024</v>
      </c>
      <c r="E3769">
        <v>0.75</v>
      </c>
      <c r="F3769" t="str">
        <f>I3769&amp;" "&amp;J3769&amp;" "&amp;K3769&amp;" "&amp;L3769&amp;" "&amp;M3769&amp;" "&amp;N3769</f>
        <v>DH to preach @ St. Alfred's</v>
      </c>
      <c r="G3769" t="s">
        <f>TEXT(D3769,"mmm dd")</f>
        <v>1216</v>
      </c>
      <c r="I3769" t="s">
        <v>1606</v>
      </c>
      <c r="J3769" t="s">
        <v>449</v>
      </c>
      <c r="K3769" t="s">
        <v>1360</v>
      </c>
      <c r="L3769" t="s">
        <v>48</v>
      </c>
      <c r="M3769" t="s">
        <v>218</v>
      </c>
      <c r="N3769" t="s">
        <v>3049</v>
      </c>
      <c r="O3769" t="s">
        <v>3134</v>
      </c>
    </row>
    <row r="3770" spans="1:23">
      <c r="A3770">
        <v>27</v>
      </c>
      <c r="B3770">
        <v>2</v>
      </c>
      <c r="C3770">
        <v>2024</v>
      </c>
      <c r="D3770" s="3" t="str">
        <f>B3770&amp;"/"&amp;A3770&amp;"/"&amp;C3770</f>
        <v>2/27/2024</v>
      </c>
      <c r="E3770">
        <v>0.83333333333333337</v>
      </c>
      <c r="F3770" t="str">
        <f>I3770&amp;" "&amp;J3770&amp;" "&amp;K3770&amp;" "&amp;L3770&amp;" "&amp;M3770&amp;" "&amp;N3770</f>
        <v>See the manatees   </v>
      </c>
      <c r="G3770" t="s">
        <f>TEXT(D3770,"mmm dd")</f>
        <v>1223</v>
      </c>
      <c r="I3770" t="s">
        <v>1929</v>
      </c>
      <c r="J3770" t="s">
        <v>139</v>
      </c>
      <c r="K3770" t="inlineStr">
        <is>
          <t>manatees</t>
        </is>
      </c>
    </row>
    <row r="3771" spans="1:23">
      <c r="A3771">
        <v>29</v>
      </c>
      <c r="B3771">
        <v>2</v>
      </c>
      <c r="C3771">
        <v>2024</v>
      </c>
      <c r="D3771" s="3" t="str">
        <f>B3771&amp;"/"&amp;A3771&amp;"/"&amp;C3771</f>
        <v>2/29/2024</v>
      </c>
      <c r="E3771">
        <v>0.88541666666666663</v>
      </c>
      <c r="F3771" t="s">
        <f>I3771&amp;" "&amp;J3771&amp;" "&amp;K3771&amp;" "&amp;L3771&amp;" "&amp;M3771&amp;" "&amp;N3771</f>
        <v>3084</v>
      </c>
      <c r="G3771" t="s">
        <f>TEXT(D3771,"mmm dd")</f>
        <v>1860</v>
      </c>
      <c r="I3771" t="s">
        <v>46</v>
      </c>
      <c r="J3771" t="s">
        <v>440</v>
      </c>
      <c r="O3771" t="s">
        <v>3134</v>
      </c>
    </row>
    <row r="3772" spans="1:23">
      <c r="A3772">
        <v>4</v>
      </c>
      <c r="B3772">
        <v>3</v>
      </c>
      <c r="C3772">
        <v>2024</v>
      </c>
      <c r="D3772" s="3" t="s">
        <f>B3772&amp;"/"&amp;A3772&amp;"/"&amp;C3772</f>
        <v>3138</v>
      </c>
      <c r="E3772">
        <v>0.85416666666666663</v>
      </c>
      <c r="F3772" t="s">
        <f>I3772&amp;" "&amp;J3772&amp;" "&amp;K3772&amp;" "&amp;L3772&amp;" "&amp;M3772&amp;" "&amp;N3772</f>
        <v>3139</v>
      </c>
      <c r="G3772" t="s">
        <f>TEXT(D3772,"mmm dd")</f>
        <v>1538</v>
      </c>
      <c r="I3772" t="s">
        <v>806</v>
      </c>
      <c r="J3772" t="s">
        <v>807</v>
      </c>
      <c r="K3772" t="s">
        <v>1773</v>
      </c>
      <c r="P3772" t="s">
        <v>1758</v>
      </c>
      <c r="Q3772" t="s">
        <v>1759</v>
      </c>
    </row>
    <row r="3773" spans="1:23">
      <c r="A3773">
        <v>4</v>
      </c>
      <c r="B3773">
        <v>3</v>
      </c>
      <c r="C3773">
        <v>2024</v>
      </c>
      <c r="D3773" s="3" t="s">
        <f>B3773&amp;"/"&amp;A3773&amp;"/"&amp;C3773</f>
        <v>3138</v>
      </c>
      <c r="E3773">
        <v>0.92708333333333337</v>
      </c>
      <c r="F3773" t="s">
        <f>I3773&amp;" "&amp;J3773&amp;" "&amp;K3773&amp;" "&amp;L3773&amp;" "&amp;M3773&amp;" "&amp;N3773</f>
        <v>3139</v>
      </c>
      <c r="G3773" t="s">
        <f>TEXT(D3773,"mmm dd")</f>
        <v>1538</v>
      </c>
      <c r="I3773" t="s">
        <v>806</v>
      </c>
      <c r="J3773" t="s">
        <v>807</v>
      </c>
      <c r="K3773" t="s">
        <v>1773</v>
      </c>
      <c r="O3773" t="s">
        <v>3134</v>
      </c>
    </row>
    <row r="3774" spans="1:23">
      <c r="A3774">
        <v>6</v>
      </c>
      <c r="B3774">
        <v>3</v>
      </c>
      <c r="C3774">
        <v>2024</v>
      </c>
      <c r="D3774" s="3" t="str">
        <f>B3774&amp;"/"&amp;A3774&amp;"/"&amp;C3774</f>
        <v>3/6/2024</v>
      </c>
      <c r="E3774">
        <v>0.9375</v>
      </c>
      <c r="F3774" t="str">
        <f>I3774&amp;" "&amp;J3774&amp;" "&amp;K3774&amp;" "&amp;L3774&amp;" "&amp;M3774&amp;" "&amp;N3774</f>
        <v>Call Madison    </v>
      </c>
      <c r="G3774" t="s">
        <f>TEXT(D3774,"mmm dd")</f>
        <v>1237</v>
      </c>
      <c r="I3774" t="s">
        <v>1028</v>
      </c>
      <c r="J3774" t="s">
        <v>3140</v>
      </c>
      <c r="O3774" t="s">
        <v>3134</v>
      </c>
    </row>
    <row r="3775" spans="1:23">
      <c r="A3775">
        <v>7</v>
      </c>
      <c r="B3775">
        <v>3</v>
      </c>
      <c r="C3775">
        <v>2024</v>
      </c>
      <c r="D3775" s="3" t="str">
        <f>B3775&amp;"/"&amp;A3775&amp;"/"&amp;C3775</f>
        <v>3/7/2024</v>
      </c>
      <c r="E3775">
        <v>0.625</v>
      </c>
      <c r="F3775" t="str">
        <f>I3775&amp;" "&amp;J3775&amp;" "&amp;K3775&amp;" "&amp;L3775&amp;" "&amp;M3775&amp;" "&amp;N3775</f>
        <v>Healing Mass   Dale celebrates</v>
      </c>
      <c r="G3775" t="s">
        <f>TEXT(D3775,"mmm dd")</f>
        <v>1239</v>
      </c>
      <c r="I3775" t="s">
        <v>855</v>
      </c>
      <c r="J3775" t="s">
        <v>1273</v>
      </c>
      <c r="M3775" t="s">
        <v>1316</v>
      </c>
      <c r="N3775" t="s">
        <v>3130</v>
      </c>
    </row>
    <row r="3776" spans="1:23">
      <c r="A3776">
        <v>9</v>
      </c>
      <c r="B3776">
        <v>3</v>
      </c>
      <c r="C3776">
        <v>2024</v>
      </c>
      <c r="D3776" s="3" t="str">
        <f>B3776&amp;"/"&amp;A3776&amp;"/"&amp;C3776</f>
        <v>3/9/2024</v>
      </c>
      <c r="E3776">
        <v>0.75</v>
      </c>
      <c r="F3776" t="s">
        <f>I3776&amp;" "&amp;J3776&amp;" "&amp;K3776&amp;" "&amp;L3776&amp;" "&amp;M3776&amp;" "&amp;N3776</f>
        <v>3139</v>
      </c>
      <c r="G3776" t="s">
        <f>TEXT(D3776,"mmm dd")</f>
        <v>1545</v>
      </c>
      <c r="I3776" t="s">
        <v>806</v>
      </c>
      <c r="J3776" t="s">
        <v>807</v>
      </c>
      <c r="K3776" t="s">
        <v>1773</v>
      </c>
    </row>
    <row r="3777" spans="1:23">
      <c r="A3777">
        <v>10</v>
      </c>
      <c r="B3777">
        <v>3</v>
      </c>
      <c r="C3777">
        <v>2024</v>
      </c>
      <c r="D3777" s="3" t="str">
        <f>B3777&amp;"/"&amp;A3777&amp;"/"&amp;C3777</f>
        <v>3/10/2024</v>
      </c>
      <c r="E3777" t="s">
        <v>42</v>
      </c>
      <c r="F3777" t="str">
        <f>I3777&amp;" "&amp;J3777&amp;" "&amp;K3777&amp;" "&amp;L3777&amp;" "&amp;M3777&amp;" "&amp;N3777</f>
        <v>Cushion for Diane’s chair  </v>
      </c>
      <c r="G3777" t="s">
        <f>TEXT(D3777,"mmm dd")</f>
        <v>1241</v>
      </c>
      <c r="I3777" t="inlineStr">
        <is>
          <t>Cushion</t>
        </is>
      </c>
      <c r="J3777" t="s">
        <v>439</v>
      </c>
      <c r="K3777" t="inlineStr">
        <is>
          <t>Diane’s</t>
        </is>
      </c>
      <c r="L3777" t="s">
        <v>1967</v>
      </c>
      <c r="O3777" t="s">
        <v>3134</v>
      </c>
    </row>
    <row r="3778" spans="1:23">
      <c r="A3778">
        <v>13</v>
      </c>
      <c r="B3778">
        <v>3</v>
      </c>
      <c r="C3778">
        <v>2024</v>
      </c>
      <c r="D3778" s="3" t="s">
        <f>B3778&amp;"/"&amp;A3778&amp;"/"&amp;C3778</f>
        <v>3141</v>
      </c>
      <c r="E3778">
        <v>0.72916666666666663</v>
      </c>
      <c r="F3778" t="str">
        <f>I3778&amp;" "&amp;J3778&amp;" "&amp;K3778&amp;" "&amp;L3778&amp;" "&amp;M3778&amp;" "&amp;N3778</f>
        <v>Dermatologist Dale    </v>
      </c>
      <c r="G3778" t="s">
        <f>TEXT(D3778,"mmm dd")</f>
        <v>1553</v>
      </c>
      <c r="I3778" t="s">
        <v>2783</v>
      </c>
      <c r="J3778" t="s">
        <v>1316</v>
      </c>
    </row>
    <row r="3779" spans="1:23">
      <c r="A3779">
        <v>13</v>
      </c>
      <c r="B3779">
        <v>3</v>
      </c>
      <c r="C3779">
        <v>2024</v>
      </c>
      <c r="D3779" s="3" t="s">
        <f>B3779&amp;"/"&amp;A3779&amp;"/"&amp;C3779</f>
        <v>3141</v>
      </c>
      <c r="E3779">
        <v>0.84375</v>
      </c>
      <c r="F3779" t="str">
        <f>I3779&amp;" "&amp;J3779&amp;" "&amp;K3779&amp;" "&amp;L3779&amp;" "&amp;M3779&amp;" "&amp;N3779</f>
        <v>Sunrise irrig5    </v>
      </c>
      <c r="G3779" t="s">
        <f>TEXT(D3779,"mmm dd")</f>
        <v>1553</v>
      </c>
      <c r="I3779" t="s">
        <v>3142</v>
      </c>
      <c r="J3779" t="inlineStr">
        <is>
          <t>irrig5</t>
        </is>
      </c>
      <c r="O3779" t="s">
        <v>3134</v>
      </c>
    </row>
    <row r="3780" spans="1:23">
      <c r="A3780">
        <v>14</v>
      </c>
      <c r="B3780">
        <v>3</v>
      </c>
      <c r="C3780">
        <v>2024</v>
      </c>
      <c r="D3780" s="3" t="str">
        <f>B3780&amp;"/"&amp;A3780&amp;"/"&amp;C3780</f>
        <v>3/14/2024</v>
      </c>
      <c r="E3780" t="s">
        <v>42</v>
      </c>
      <c r="F3780" t="str">
        <f>I3780&amp;" "&amp;J3780&amp;" "&amp;K3780&amp;" "&amp;L3780&amp;" "&amp;M3780&amp;" "&amp;N3780</f>
        <v>Dads death    </v>
      </c>
      <c r="G3780" t="s">
        <f>TEXT(D3780,"mmm dd")</f>
        <v>1877</v>
      </c>
      <c r="I3780" t="inlineStr">
        <is>
          <t>Dads</t>
        </is>
      </c>
      <c r="J3780" t="s">
        <v>2381</v>
      </c>
    </row>
    <row r="3781" spans="1:23">
      <c r="A3781">
        <v>23</v>
      </c>
      <c r="B3781">
        <v>3</v>
      </c>
      <c r="C3781">
        <v>2024</v>
      </c>
      <c r="D3781" s="3" t="str">
        <f>B3781&amp;"/"&amp;A3781&amp;"/"&amp;C3781</f>
        <v>3/23/2024</v>
      </c>
      <c r="E3781">
        <v>0.78125</v>
      </c>
      <c r="F3781" t="str">
        <f>I3781&amp;" "&amp;J3781&amp;" "&amp;K3781&amp;" "&amp;L3781&amp;" "&amp;M3781&amp;" "&amp;N3781</f>
        <v>Pick up Diane L.  </v>
      </c>
      <c r="G3781" t="s">
        <f>TEXT(D3781,"mmm dd")</f>
        <v>1888</v>
      </c>
      <c r="I3781" t="s">
        <v>806</v>
      </c>
      <c r="J3781" t="s">
        <v>807</v>
      </c>
      <c r="K3781" t="s">
        <v>1773</v>
      </c>
      <c r="L3781" t="inlineStr">
        <is>
          <t>L.</t>
        </is>
      </c>
    </row>
    <row r="3782" spans="1:23">
      <c r="A3782">
        <v>25</v>
      </c>
      <c r="B3782">
        <v>3</v>
      </c>
      <c r="C3782">
        <v>2024</v>
      </c>
      <c r="D3782" s="3" t="str">
        <f>B3782&amp;"/"&amp;A3782&amp;"/"&amp;C3782</f>
        <v>3/25/2024</v>
      </c>
      <c r="E3782" t="s">
        <v>42</v>
      </c>
      <c r="F3782" t="str">
        <f>I3782&amp;" "&amp;J3782&amp;" "&amp;K3782&amp;" "&amp;L3782&amp;" "&amp;M3782&amp;" "&amp;N3782</f>
        <v>Irrigation repairs    </v>
      </c>
      <c r="G3782" t="s">
        <f>TEXT(D3782,"mmm dd")</f>
        <v>1559</v>
      </c>
      <c r="I3782" t="inlineStr">
        <is>
          <t>Irrigation</t>
        </is>
      </c>
      <c r="J3782" t="inlineStr">
        <is>
          <t>repairs</t>
        </is>
      </c>
    </row>
    <row r="3783" spans="1:23">
      <c r="A3783">
        <v>26</v>
      </c>
      <c r="B3783">
        <v>3</v>
      </c>
      <c r="C3783">
        <v>2024</v>
      </c>
      <c r="D3783" s="3" t="s">
        <f>B3783&amp;"/"&amp;A3783&amp;"/"&amp;C3783</f>
        <v>3143</v>
      </c>
      <c r="E3783">
        <v>0.70833333333333337</v>
      </c>
      <c r="F3783" t="s">
        <f>I3783&amp;" "&amp;J3783&amp;" "&amp;K3783&amp;" "&amp;L3783&amp;" "&amp;M3783&amp;" "&amp;N3783</f>
        <v>1271</v>
      </c>
      <c r="G3783" t="s">
        <f>TEXT(D3783,"mmm dd")</f>
        <v>1560</v>
      </c>
      <c r="I3783" t="s">
        <v>1272</v>
      </c>
      <c r="J3783" t="s">
        <v>1273</v>
      </c>
    </row>
    <row r="3784" spans="1:23">
      <c r="A3784">
        <v>26</v>
      </c>
      <c r="B3784">
        <v>3</v>
      </c>
      <c r="C3784">
        <v>2024</v>
      </c>
      <c r="D3784" s="3" t="s">
        <f>B3784&amp;"/"&amp;A3784&amp;"/"&amp;C3784</f>
        <v>3143</v>
      </c>
      <c r="E3784">
        <v>0.60416666666666663</v>
      </c>
      <c r="F3784" t="str">
        <f>I3784&amp;" "&amp;J3784&amp;" "&amp;K3784&amp;" "&amp;L3784&amp;" "&amp;M3784&amp;" "&amp;N3784</f>
        <v>Meet Peter at church  </v>
      </c>
      <c r="G3784" t="s">
        <f>TEXT(D3784,"mmm dd")</f>
        <v>1560</v>
      </c>
      <c r="I3784" t="s">
        <v>300</v>
      </c>
      <c r="J3784" t="s">
        <v>604</v>
      </c>
      <c r="K3784" t="s">
        <v>53</v>
      </c>
      <c r="L3784" t="s">
        <v>1912</v>
      </c>
    </row>
    <row r="3785" spans="1:23">
      <c r="A3785">
        <v>27</v>
      </c>
      <c r="B3785">
        <v>3</v>
      </c>
      <c r="C3785">
        <v>2024</v>
      </c>
      <c r="D3785" s="3" t="s">
        <f>B3785&amp;"/"&amp;A3785&amp;"/"&amp;C3785</f>
        <v>3144</v>
      </c>
      <c r="E3785">
        <v>0.76041666666666663</v>
      </c>
      <c r="F3785" t="str">
        <f>I3785&amp;" "&amp;J3785&amp;" "&amp;K3785&amp;" "&amp;L3785&amp;" "&amp;M3785&amp;" "&amp;N3785</f>
        <v>Victoria recheck    </v>
      </c>
      <c r="G3785" t="s">
        <f>TEXT(D3785,"mmm dd")</f>
        <v>1891</v>
      </c>
      <c r="I3785" t="s">
        <v>1948</v>
      </c>
      <c r="J3785" t="inlineStr">
        <is>
          <t>recheck</t>
        </is>
      </c>
    </row>
    <row r="3786" spans="1:23">
      <c r="A3786">
        <v>27</v>
      </c>
      <c r="B3786">
        <v>3</v>
      </c>
      <c r="C3786">
        <v>2024</v>
      </c>
      <c r="D3786" s="3" t="s">
        <f>B3786&amp;"/"&amp;A3786&amp;"/"&amp;C3786</f>
        <v>3144</v>
      </c>
      <c r="E3786">
        <v>1.0833333333333333</v>
      </c>
      <c r="F3786" t="str">
        <f>I3786&amp;" "&amp;J3786&amp;" "&amp;K3786&amp;" "&amp;L3786&amp;" "&amp;M3786&amp;" "&amp;N3786</f>
        <v>Haiti zoom call   </v>
      </c>
      <c r="G3786" t="s">
        <f>TEXT(D3786,"mmm dd")</f>
        <v>1891</v>
      </c>
      <c r="I3786" t="inlineStr">
        <is>
          <t>Haiti</t>
        </is>
      </c>
      <c r="J3786" t="s">
        <v>3031</v>
      </c>
      <c r="K3786" t="s">
        <v>418</v>
      </c>
    </row>
    <row r="3787" spans="1:23">
      <c r="A3787">
        <v>28</v>
      </c>
      <c r="B3787">
        <v>3</v>
      </c>
      <c r="C3787">
        <v>2024</v>
      </c>
      <c r="D3787" s="3" t="str">
        <f>B3787&amp;"/"&amp;A3787&amp;"/"&amp;C3787</f>
        <v>3/28/2024</v>
      </c>
      <c r="E3787">
        <v>1.0520833333333333</v>
      </c>
      <c r="F3787" t="s">
        <f>I3787&amp;" "&amp;J3787&amp;" "&amp;K3787&amp;" "&amp;L3787&amp;" "&amp;M3787&amp;" "&amp;N3787</f>
        <v>3139</v>
      </c>
      <c r="G3787" t="s">
        <f>TEXT(D3787,"mmm dd")</f>
        <v>1562</v>
      </c>
      <c r="I3787" t="s">
        <v>806</v>
      </c>
      <c r="J3787" t="s">
        <v>807</v>
      </c>
      <c r="K3787" t="s">
        <v>1773</v>
      </c>
    </row>
    <row r="3788" spans="1:23">
      <c r="A3788">
        <v>29</v>
      </c>
      <c r="B3788">
        <v>3</v>
      </c>
      <c r="C3788">
        <v>2024</v>
      </c>
      <c r="D3788" s="3" t="str">
        <f>B3788&amp;"/"&amp;A3788&amp;"/"&amp;C3788</f>
        <v>3/29/2024</v>
      </c>
      <c r="E3788">
        <v>0.77083333333333337</v>
      </c>
      <c r="F3788" t="s">
        <f>I3788&amp;" "&amp;J3788&amp;" "&amp;K3788&amp;" "&amp;L3788&amp;" "&amp;M3788&amp;" "&amp;N3788</f>
        <v>3139</v>
      </c>
      <c r="G3788" t="s">
        <f>TEXT(D3788,"mmm dd")</f>
        <v>1897</v>
      </c>
      <c r="I3788" t="s">
        <v>806</v>
      </c>
      <c r="J3788" t="s">
        <v>807</v>
      </c>
      <c r="K3788" t="s">
        <v>1773</v>
      </c>
    </row>
    <row r="3789" spans="1:23">
      <c r="A3789">
        <v>31</v>
      </c>
      <c r="B3789">
        <v>3</v>
      </c>
      <c r="C3789">
        <v>2024</v>
      </c>
      <c r="D3789" s="3" t="s">
        <f>B3789&amp;"/"&amp;A3789&amp;"/"&amp;C3789</f>
        <v>3145</v>
      </c>
      <c r="E3789">
        <v>0.70833333333333337</v>
      </c>
      <c r="F3789" t="str">
        <f>I3789&amp;" "&amp;J3789&amp;" "&amp;K3789&amp;" "&amp;L3789&amp;" "&amp;M3789&amp;" "&amp;N3789</f>
        <v>DH Celebrate Eucharist   </v>
      </c>
      <c r="G3789" t="s">
        <f>TEXT(D3789,"mmm dd")</f>
        <v>1267</v>
      </c>
      <c r="I3789" t="s">
        <v>1606</v>
      </c>
      <c r="J3789" t="s">
        <v>3078</v>
      </c>
      <c r="K3789" t="s">
        <v>69</v>
      </c>
    </row>
    <row r="3790" spans="1:23">
      <c r="A3790">
        <v>31</v>
      </c>
      <c r="B3790">
        <v>3</v>
      </c>
      <c r="C3790">
        <v>2024</v>
      </c>
      <c r="D3790" s="3" t="s">
        <f>B3790&amp;"/"&amp;A3790&amp;"/"&amp;C3790</f>
        <v>3145</v>
      </c>
      <c r="E3790">
        <v>0.125</v>
      </c>
      <c r="F3790" t="str">
        <f>I3790&amp;" "&amp;J3790&amp;" "&amp;K3790&amp;" "&amp;L3790&amp;" "&amp;M3790&amp;" "&amp;N3790</f>
        <v>Easter Vigil   DH preaches</v>
      </c>
      <c r="G3790" t="s">
        <f>TEXT(D3790,"mmm dd")</f>
        <v>1267</v>
      </c>
      <c r="I3790" t="s">
        <v>1568</v>
      </c>
      <c r="J3790" t="s">
        <v>2511</v>
      </c>
      <c r="M3790" t="s">
        <v>1606</v>
      </c>
      <c r="N3790" t="s">
        <v>3129</v>
      </c>
    </row>
    <row r="3791" spans="1:23">
      <c r="A3791">
        <v>31</v>
      </c>
      <c r="B3791">
        <v>3</v>
      </c>
      <c r="C3791">
        <v>2024</v>
      </c>
      <c r="D3791" s="3" t="s">
        <f>B3791&amp;"/"&amp;A3791&amp;"/"&amp;C3791</f>
        <v>3145</v>
      </c>
      <c r="E3791">
        <v>0.66666666666666663</v>
      </c>
      <c r="F3791" t="str">
        <f>I3791&amp;" "&amp;J3791&amp;" "&amp;K3791&amp;" "&amp;L3791&amp;" "&amp;M3791&amp;" "&amp;N3791</f>
        <v>Pick up Diane &amp; Robin </v>
      </c>
      <c r="G3791" t="s">
        <f>TEXT(D3791,"mmm dd")</f>
        <v>1267</v>
      </c>
      <c r="I3791" t="s">
        <v>806</v>
      </c>
      <c r="J3791" t="s">
        <v>807</v>
      </c>
      <c r="K3791" t="s">
        <v>1773</v>
      </c>
      <c r="L3791" t="s">
        <v>73</v>
      </c>
      <c r="M3791" t="s">
        <v>1927</v>
      </c>
    </row>
    <row r="3792" spans="1:23">
      <c r="A3792">
        <v>2</v>
      </c>
      <c r="B3792">
        <v>4</v>
      </c>
      <c r="C3792">
        <v>2024</v>
      </c>
      <c r="D3792" s="3" t="str">
        <f>B3792&amp;"/"&amp;A3792&amp;"/"&amp;C3792</f>
        <v>4/2/2024</v>
      </c>
      <c r="E3792">
        <v>0.8125</v>
      </c>
      <c r="F3792" t="s">
        <f>I3792&amp;" "&amp;J3792&amp;" "&amp;K3792&amp;" "&amp;L3792&amp;" "&amp;M3792&amp;" "&amp;N3792</f>
        <v>3139</v>
      </c>
      <c r="G3792" t="s">
        <f>TEXT(D3792,"mmm dd")</f>
        <v>65</v>
      </c>
      <c r="I3792" t="s">
        <v>806</v>
      </c>
      <c r="J3792" t="s">
        <v>807</v>
      </c>
      <c r="K3792" t="s">
        <v>1773</v>
      </c>
    </row>
    <row r="3793" spans="1:23">
      <c r="A3793">
        <v>4</v>
      </c>
      <c r="B3793">
        <v>4</v>
      </c>
      <c r="C3793">
        <v>2024</v>
      </c>
      <c r="D3793" s="3" t="str">
        <f>B3793&amp;"/"&amp;A3793&amp;"/"&amp;C3793</f>
        <v>4/4/2024</v>
      </c>
      <c r="E3793">
        <v>0.95833333333333337</v>
      </c>
      <c r="F3793" t="s">
        <f>I3793&amp;" "&amp;J3793&amp;" "&amp;K3793&amp;" "&amp;L3793&amp;" "&amp;M3793&amp;" "&amp;N3793</f>
        <v>2889</v>
      </c>
      <c r="G3793" t="s">
        <f>TEXT(D3793,"mmm dd")</f>
        <v>91</v>
      </c>
      <c r="I3793" t="s">
        <v>2890</v>
      </c>
      <c r="J3793" t="s">
        <v>2891</v>
      </c>
    </row>
    <row r="3794" spans="1:23">
      <c r="A3794">
        <v>11</v>
      </c>
      <c r="B3794">
        <v>4</v>
      </c>
      <c r="C3794">
        <v>2024</v>
      </c>
      <c r="D3794" s="3" t="str">
        <f>B3794&amp;"/"&amp;A3794&amp;"/"&amp;C3794</f>
        <v>4/11/2024</v>
      </c>
      <c r="E3794">
        <v>0.70833333333333337</v>
      </c>
      <c r="F3794" t="str">
        <f>I3794&amp;" "&amp;J3794&amp;" "&amp;K3794&amp;" "&amp;L3794&amp;" "&amp;M3794&amp;" "&amp;N3794</f>
        <v>Zoom session with Bp. Scharf </v>
      </c>
      <c r="G3794" t="s">
        <f>TEXT(D3794,"mmm dd")</f>
        <v>161</v>
      </c>
      <c r="I3794" t="s">
        <v>2712</v>
      </c>
      <c r="J3794" t="s">
        <v>2845</v>
      </c>
      <c r="K3794" t="s">
        <v>755</v>
      </c>
      <c r="L3794" t="s">
        <v>2515</v>
      </c>
      <c r="M3794" t="inlineStr">
        <is>
          <t>Scharf</t>
        </is>
      </c>
    </row>
    <row r="3795" spans="1:23">
      <c r="A3795">
        <v>13</v>
      </c>
      <c r="B3795">
        <v>4</v>
      </c>
      <c r="C3795">
        <v>2024</v>
      </c>
      <c r="D3795" s="3" t="str">
        <f>B3795&amp;"/"&amp;A3795&amp;"/"&amp;C3795</f>
        <v>4/13/2024</v>
      </c>
      <c r="E3795">
        <v>1.0416666666666667</v>
      </c>
      <c r="F3795" t="str">
        <f>I3795&amp;" "&amp;J3795&amp;" "&amp;K3795&amp;" "&amp;L3795&amp;" "&amp;M3795&amp;" "&amp;N3795</f>
        <v>Dinner with Ingrams   </v>
      </c>
      <c r="G3795" t="s">
        <f>TEXT(D3795,"mmm dd")</f>
        <v>174</v>
      </c>
      <c r="I3795" t="s">
        <v>838</v>
      </c>
      <c r="J3795" t="s">
        <v>755</v>
      </c>
      <c r="K3795" t="s">
        <v>3101</v>
      </c>
    </row>
    <row r="3796" spans="1:23">
      <c r="A3796">
        <v>16</v>
      </c>
      <c r="B3796">
        <v>4</v>
      </c>
      <c r="C3796">
        <v>2024</v>
      </c>
      <c r="D3796" s="3" t="str">
        <f>B3796&amp;"/"&amp;A3796&amp;"/"&amp;C3796</f>
        <v>4/16/2024</v>
      </c>
      <c r="E3796">
        <v>0.96875</v>
      </c>
      <c r="F3796" t="s">
        <f>I3796&amp;" "&amp;J3796&amp;" "&amp;K3796&amp;" "&amp;L3796&amp;" "&amp;M3796&amp;" "&amp;N3796</f>
        <v>3146</v>
      </c>
      <c r="G3796" t="s">
        <f>TEXT(D3796,"mmm dd")</f>
        <v>184</v>
      </c>
      <c r="I3796" t="s">
        <v>1028</v>
      </c>
      <c r="J3796" t="s">
        <v>772</v>
      </c>
    </row>
    <row r="3797" spans="1:23">
      <c r="A3797">
        <v>17</v>
      </c>
      <c r="B3797">
        <v>4</v>
      </c>
      <c r="C3797">
        <v>2024</v>
      </c>
      <c r="D3797" s="3" t="str">
        <f>B3797&amp;"/"&amp;A3797&amp;"/"&amp;C3797</f>
        <v>4/17/2024</v>
      </c>
      <c r="E3797">
        <v>0.8125</v>
      </c>
      <c r="F3797" t="s">
        <f>I3797&amp;" "&amp;J3797&amp;" "&amp;K3797&amp;" "&amp;L3797&amp;" "&amp;M3797&amp;" "&amp;N3797</f>
        <v>3146</v>
      </c>
      <c r="G3797" t="s">
        <f>TEXT(D3797,"mmm dd")</f>
        <v>187</v>
      </c>
      <c r="I3797" t="s">
        <v>1028</v>
      </c>
      <c r="J3797" t="s">
        <v>772</v>
      </c>
    </row>
    <row r="3798" spans="1:23">
      <c r="A3798">
        <v>23</v>
      </c>
      <c r="B3798">
        <v>4</v>
      </c>
      <c r="C3798">
        <v>2024</v>
      </c>
      <c r="D3798" s="3" t="str">
        <f>B3798&amp;"/"&amp;A3798&amp;"/"&amp;C3798</f>
        <v>4/23/2024</v>
      </c>
      <c r="E3798" t="s">
        <v>42</v>
      </c>
      <c r="F3798" t="str">
        <f>I3798&amp;" "&amp;J3798&amp;" "&amp;K3798&amp;" "&amp;L3798&amp;" "&amp;M3798&amp;" "&amp;N3798</f>
        <v>Passover begins evening   </v>
      </c>
      <c r="G3798" t="s">
        <f>TEXT(D3798,"mmm dd")</f>
        <v>221</v>
      </c>
      <c r="I3798" t="s">
        <v>2518</v>
      </c>
      <c r="J3798" t="s">
        <v>1600</v>
      </c>
      <c r="K3798" t="s">
        <v>1788</v>
      </c>
    </row>
    <row r="3799" spans="1:23">
      <c r="A3799">
        <v>24</v>
      </c>
      <c r="B3799">
        <v>4</v>
      </c>
      <c r="C3799">
        <v>2024</v>
      </c>
      <c r="D3799" s="3" t="str">
        <f>B3799&amp;"/"&amp;A3799&amp;"/"&amp;C3799</f>
        <v>4/24/2024</v>
      </c>
      <c r="E3799">
        <v>0.95833333333333337</v>
      </c>
      <c r="F3799" t="str">
        <f>I3799&amp;" "&amp;J3799&amp;" "&amp;K3799&amp;" "&amp;L3799&amp;" "&amp;M3799&amp;" "&amp;N3799</f>
        <v>Visit Mike Martha   </v>
      </c>
      <c r="G3799" t="s">
        <f>TEXT(D3799,"mmm dd")</f>
        <v>224</v>
      </c>
      <c r="I3799" t="s">
        <v>1252</v>
      </c>
      <c r="J3799" t="inlineStr">
        <is>
          <t>Mike</t>
        </is>
      </c>
      <c r="K3799" t="s">
        <v>706</v>
      </c>
    </row>
    <row r="3800" spans="1:23">
      <c r="A3800">
        <v>25</v>
      </c>
      <c r="B3800">
        <v>4</v>
      </c>
      <c r="C3800">
        <v>2024</v>
      </c>
      <c r="D3800" s="3" t="str">
        <f>B3800&amp;"/"&amp;A3800&amp;"/"&amp;C3800</f>
        <v>4/25/2024</v>
      </c>
      <c r="E3800">
        <v>0.85416666666666663</v>
      </c>
      <c r="F3800" t="s">
        <f>I3800&amp;" "&amp;J3800&amp;" "&amp;K3800&amp;" "&amp;L3800&amp;" "&amp;M3800&amp;" "&amp;N3800</f>
        <v>3084</v>
      </c>
      <c r="G3800" t="s">
        <f>TEXT(D3800,"mmm dd")</f>
        <v>227</v>
      </c>
      <c r="I3800" t="s">
        <v>46</v>
      </c>
      <c r="J3800" t="s">
        <v>440</v>
      </c>
    </row>
    <row r="3801" spans="1:23">
      <c r="A3801">
        <v>1</v>
      </c>
      <c r="B3801">
        <v>5</v>
      </c>
      <c r="C3801">
        <v>2024</v>
      </c>
      <c r="D3801" s="3" t="s">
        <f>B3801&amp;"/"&amp;A3801&amp;"/"&amp;C3801</f>
        <v>3147</v>
      </c>
      <c r="E3801">
        <v>0.59375</v>
      </c>
      <c r="F3801" t="str">
        <f>I3801&amp;" "&amp;J3801&amp;" "&amp;K3801&amp;" "&amp;L3801&amp;" "&amp;M3801&amp;" "&amp;N3801</f>
        <v>Leave for Boating with Scott </v>
      </c>
      <c r="G3801" t="s">
        <f>TEXT(D3801,"mmm dd")</f>
        <v>249</v>
      </c>
      <c r="I3801" t="s">
        <v>2229</v>
      </c>
      <c r="J3801" t="s">
        <v>439</v>
      </c>
      <c r="K3801" t="s">
        <v>3148</v>
      </c>
      <c r="L3801" t="s">
        <v>755</v>
      </c>
      <c r="M3801" t="s">
        <v>917</v>
      </c>
    </row>
    <row r="3802" spans="1:23">
      <c r="A3802">
        <v>1</v>
      </c>
      <c r="B3802">
        <v>5</v>
      </c>
      <c r="C3802">
        <v>2024</v>
      </c>
      <c r="D3802" s="3" t="s">
        <f>B3802&amp;"/"&amp;A3802&amp;"/"&amp;C3802</f>
        <v>3147</v>
      </c>
      <c r="E3802">
        <v>0.625</v>
      </c>
      <c r="F3802" t="str">
        <f>I3802&amp;" "&amp;J3802&amp;" "&amp;K3802&amp;" "&amp;L3802&amp;" "&amp;M3802&amp;" "&amp;N3802</f>
        <v>Boating with Scott   </v>
      </c>
      <c r="G3802" t="s">
        <f>TEXT(D3802,"mmm dd")</f>
        <v>249</v>
      </c>
      <c r="I3802" t="s">
        <v>3148</v>
      </c>
      <c r="J3802" t="s">
        <v>755</v>
      </c>
      <c r="K3802" t="s">
        <v>917</v>
      </c>
      <c r="O3802" t="s">
        <v>2877</v>
      </c>
      <c r="P3802" t="s">
        <v>2367</v>
      </c>
    </row>
    <row r="3803" spans="1:23">
      <c r="A3803">
        <v>5</v>
      </c>
      <c r="B3803">
        <v>5</v>
      </c>
      <c r="C3803">
        <v>2024</v>
      </c>
      <c r="D3803" s="3" t="str">
        <f>B3803&amp;"/"&amp;A3803&amp;"/"&amp;C3803</f>
        <v>5/5/2024</v>
      </c>
      <c r="E3803" t="s">
        <v>42</v>
      </c>
      <c r="F3803" t="str">
        <f>I3803&amp;" "&amp;J3803&amp;" "&amp;K3803&amp;" "&amp;L3803&amp;" "&amp;M3803&amp;" "&amp;N3803</f>
        <v>Orthodox Easter    </v>
      </c>
      <c r="G3803" t="s">
        <f>TEXT(D3803,"mmm dd")</f>
        <v>2212</v>
      </c>
      <c r="I3803" t="inlineStr">
        <is>
          <t>Orthodox</t>
        </is>
      </c>
      <c r="J3803" t="s">
        <v>1568</v>
      </c>
    </row>
    <row r="3804" spans="1:23">
      <c r="A3804">
        <v>6</v>
      </c>
      <c r="B3804">
        <v>5</v>
      </c>
      <c r="C3804">
        <v>2024</v>
      </c>
      <c r="D3804" s="3" t="s">
        <f>B3804&amp;"/"&amp;A3804&amp;"/"&amp;C3804</f>
        <v>3149</v>
      </c>
      <c r="E3804">
        <v>0.91666666666666663</v>
      </c>
      <c r="F3804" t="s">
        <f>I3804&amp;" "&amp;J3804&amp;" "&amp;K3804&amp;" "&amp;L3804&amp;" "&amp;M3804&amp;" "&amp;N3804</f>
        <v>2889</v>
      </c>
      <c r="G3804" t="s">
        <f>TEXT(D3804,"mmm dd")</f>
        <v>277</v>
      </c>
      <c r="I3804" t="s">
        <v>2890</v>
      </c>
      <c r="J3804" t="s">
        <v>2891</v>
      </c>
    </row>
    <row r="3805" spans="1:23">
      <c r="A3805">
        <v>6</v>
      </c>
      <c r="B3805">
        <v>5</v>
      </c>
      <c r="C3805">
        <v>2024</v>
      </c>
      <c r="D3805" s="3" t="s">
        <f>B3805&amp;"/"&amp;A3805&amp;"/"&amp;C3805</f>
        <v>3149</v>
      </c>
      <c r="E3805">
        <v>0.78125</v>
      </c>
      <c r="F3805" t="s">
        <f>I3805&amp;" "&amp;J3805&amp;" "&amp;K3805&amp;" "&amp;L3805&amp;" "&amp;M3805&amp;" "&amp;N3805</f>
        <v>3139</v>
      </c>
      <c r="G3805" t="s">
        <f>TEXT(D3805,"mmm dd")</f>
        <v>277</v>
      </c>
      <c r="I3805" t="s">
        <v>806</v>
      </c>
      <c r="J3805" t="s">
        <v>807</v>
      </c>
      <c r="K3805" t="s">
        <v>1773</v>
      </c>
    </row>
    <row r="3806" spans="1:23">
      <c r="A3806">
        <v>7</v>
      </c>
      <c r="B3806">
        <v>5</v>
      </c>
      <c r="C3806">
        <v>2024</v>
      </c>
      <c r="D3806" s="3" t="s">
        <f>B3806&amp;"/"&amp;A3806&amp;"/"&amp;C3806</f>
        <v>3150</v>
      </c>
      <c r="E3806">
        <v>0.76041666666666663</v>
      </c>
      <c r="F3806" t="s">
        <f>I3806&amp;" "&amp;J3806&amp;" "&amp;K3806&amp;" "&amp;L3806&amp;" "&amp;M3806&amp;" "&amp;N3806</f>
        <v>3073</v>
      </c>
      <c r="G3806" t="s">
        <f>TEXT(D3806,"mmm dd")</f>
        <v>279</v>
      </c>
      <c r="I3806" t="s">
        <v>1791</v>
      </c>
      <c r="J3806" t="s">
        <v>528</v>
      </c>
    </row>
    <row r="3807" spans="1:23">
      <c r="A3807">
        <v>7</v>
      </c>
      <c r="B3807">
        <v>5</v>
      </c>
      <c r="C3807">
        <v>2024</v>
      </c>
      <c r="D3807" s="3" t="s">
        <f>B3807&amp;"/"&amp;A3807&amp;"/"&amp;C3807</f>
        <v>3150</v>
      </c>
      <c r="E3807">
        <v>0.875</v>
      </c>
      <c r="F3807" t="s">
        <f>I3807&amp;" "&amp;J3807&amp;" "&amp;K3807&amp;" "&amp;L3807&amp;" "&amp;M3807&amp;" "&amp;N3807</f>
        <v>3057</v>
      </c>
      <c r="G3807" t="s">
        <f>TEXT(D3807,"mmm dd")</f>
        <v>279</v>
      </c>
      <c r="I3807" t="s">
        <v>3053</v>
      </c>
      <c r="J3807" t="s">
        <v>3058</v>
      </c>
    </row>
    <row r="3808" spans="1:23">
      <c r="A3808">
        <v>9</v>
      </c>
      <c r="B3808">
        <v>5</v>
      </c>
      <c r="C3808">
        <v>2024</v>
      </c>
      <c r="D3808" s="3" t="str">
        <f>B3808&amp;"/"&amp;A3808&amp;"/"&amp;C3808</f>
        <v>5/9/2024</v>
      </c>
      <c r="E3808">
        <v>1.0416666666666667</v>
      </c>
      <c r="F3808" t="s">
        <f>I3808&amp;" "&amp;J3808&amp;" "&amp;K3808&amp;" "&amp;L3808&amp;" "&amp;M3808&amp;" "&amp;N3808</f>
        <v>3038</v>
      </c>
      <c r="G3808" t="s">
        <f>TEXT(D3808,"mmm dd")</f>
        <v>295</v>
      </c>
      <c r="I3808" t="s">
        <v>2850</v>
      </c>
      <c r="J3808" t="s">
        <v>802</v>
      </c>
      <c r="K3808" t="s">
        <v>755</v>
      </c>
      <c r="L3808" t="s">
        <v>2847</v>
      </c>
      <c r="O3808" t="inlineStr">
        <is>
          <t>Salem</t>
        </is>
      </c>
      <c r="P3808" t="inlineStr">
        <is>
          <t>Downtown</t>
        </is>
      </c>
    </row>
    <row r="3809" spans="1:23">
      <c r="A3809">
        <v>10</v>
      </c>
      <c r="B3809">
        <v>5</v>
      </c>
      <c r="C3809">
        <v>2024</v>
      </c>
      <c r="D3809" s="3" t="s">
        <f>B3809&amp;"/"&amp;A3809&amp;"/"&amp;C3809</f>
        <v>3151</v>
      </c>
      <c r="E3809">
        <v>0.9375</v>
      </c>
      <c r="F3809" t="str">
        <f>I3809&amp;" "&amp;J3809&amp;" "&amp;K3809&amp;" "&amp;L3809&amp;" "&amp;M3809&amp;" "&amp;N3809</f>
        <v>Tsa  interview   </v>
      </c>
      <c r="G3809" t="s">
        <f>TEXT(D3809,"mmm dd")</f>
        <v>304</v>
      </c>
      <c r="I3809" t="inlineStr">
        <is>
          <t>Tsa</t>
        </is>
      </c>
      <c r="K3809" t="s">
        <v>2116</v>
      </c>
      <c r="O3809" t="inlineStr">
        <is>
          <t>Mall</t>
        </is>
      </c>
    </row>
    <row r="3810" spans="1:23">
      <c r="A3810">
        <v>10</v>
      </c>
      <c r="B3810">
        <v>5</v>
      </c>
      <c r="C3810">
        <v>2024</v>
      </c>
      <c r="D3810" s="3" t="s">
        <f>B3810&amp;"/"&amp;A3810&amp;"/"&amp;C3810</f>
        <v>3151</v>
      </c>
      <c r="E3810">
        <v>0.93541666666666667</v>
      </c>
      <c r="F3810" t="str">
        <f>I3810&amp;" "&amp;J3810&amp;" "&amp;K3810&amp;" "&amp;L3810&amp;" "&amp;M3810&amp;" "&amp;N3810</f>
        <v>TSA PreCheck Enroll   </v>
      </c>
      <c r="G3810" t="s">
        <f>TEXT(D3810,"mmm dd")</f>
        <v>304</v>
      </c>
      <c r="I3810" t="inlineStr">
        <is>
          <t>TSA</t>
        </is>
      </c>
      <c r="J3810" t="inlineStr">
        <is>
          <t>PreCheck</t>
        </is>
      </c>
      <c r="K3810" t="inlineStr">
        <is>
          <t>Enroll</t>
        </is>
      </c>
    </row>
    <row r="3811" spans="1:23">
      <c r="A3811">
        <v>14</v>
      </c>
      <c r="B3811">
        <v>5</v>
      </c>
      <c r="C3811">
        <v>2024</v>
      </c>
      <c r="D3811" s="3" t="s">
        <f>B3811&amp;"/"&amp;A3811&amp;"/"&amp;C3811</f>
        <v>3152</v>
      </c>
      <c r="E3811">
        <v>0.89583333333333337</v>
      </c>
      <c r="F3811" t="str">
        <f>I3811&amp;" "&amp;J3811&amp;" "&amp;K3811&amp;" "&amp;L3811&amp;" "&amp;M3811&amp;" "&amp;N3811</f>
        <v>Kia repair    </v>
      </c>
      <c r="G3811" t="s">
        <f>TEXT(D3811,"mmm dd")</f>
        <v>323</v>
      </c>
      <c r="I3811" t="s">
        <v>1370</v>
      </c>
      <c r="J3811" t="s">
        <v>2104</v>
      </c>
    </row>
    <row r="3812" spans="1:23">
      <c r="A3812">
        <v>14</v>
      </c>
      <c r="B3812">
        <v>5</v>
      </c>
      <c r="C3812">
        <v>2024</v>
      </c>
      <c r="D3812" s="3" t="s">
        <f>B3812&amp;"/"&amp;A3812&amp;"/"&amp;C3812</f>
        <v>3152</v>
      </c>
      <c r="E3812">
        <v>0.39583333333333331</v>
      </c>
      <c r="F3812" t="s">
        <f>I3812&amp;" "&amp;J3812&amp;" "&amp;K3812&amp;" "&amp;L3812&amp;" "&amp;M3812&amp;" "&amp;N3812</f>
        <v>3136</v>
      </c>
      <c r="G3812" t="s">
        <f>TEXT(D3812,"mmm dd")</f>
        <v>323</v>
      </c>
      <c r="I3812" t="s">
        <v>2419</v>
      </c>
      <c r="J3812" t="s">
        <v>53</v>
      </c>
      <c r="K3812" t="s">
        <v>3137</v>
      </c>
      <c r="L3812" t="s">
        <v>2708</v>
      </c>
    </row>
    <row r="3813" spans="1:23">
      <c r="A3813">
        <v>15</v>
      </c>
      <c r="B3813">
        <v>5</v>
      </c>
      <c r="C3813">
        <v>2024</v>
      </c>
      <c r="D3813" s="3" t="str">
        <f>B3813&amp;"/"&amp;A3813&amp;"/"&amp;C3813</f>
        <v>5/15/2024</v>
      </c>
      <c r="E3813">
        <v>0.66666666666666663</v>
      </c>
      <c r="F3813" t="str">
        <f>I3813&amp;" "&amp;J3813&amp;" "&amp;K3813&amp;" "&amp;L3813&amp;" "&amp;M3813&amp;" "&amp;N3813</f>
        <v>Piano move    </v>
      </c>
      <c r="G3813" t="s">
        <f>TEXT(D3813,"mmm dd")</f>
        <v>326</v>
      </c>
      <c r="I3813" t="s">
        <v>1935</v>
      </c>
      <c r="J3813" t="inlineStr">
        <is>
          <t>move</t>
        </is>
      </c>
      <c r="O3813" t="inlineStr">
        <is>
          <t>Bar</t>
        </is>
      </c>
    </row>
    <row r="3814" spans="1:23">
      <c r="A3814">
        <v>16</v>
      </c>
      <c r="B3814">
        <v>5</v>
      </c>
      <c r="C3814">
        <v>2024</v>
      </c>
      <c r="D3814" s="3" t="str">
        <f>B3814&amp;"/"&amp;A3814&amp;"/"&amp;C3814</f>
        <v>5/16/2024</v>
      </c>
      <c r="E3814">
        <v>0.64583333333333337</v>
      </c>
      <c r="F3814" t="s">
        <f>I3814&amp;" "&amp;J3814&amp;" "&amp;K3814&amp;" "&amp;L3814&amp;" "&amp;M3814&amp;" "&amp;N3814</f>
        <v>3060</v>
      </c>
      <c r="G3814" t="s">
        <f>TEXT(D3814,"mmm dd")</f>
        <v>328</v>
      </c>
      <c r="I3814" t="s">
        <v>847</v>
      </c>
      <c r="J3814" t="s">
        <v>2683</v>
      </c>
      <c r="K3814" t="s">
        <v>3061</v>
      </c>
    </row>
    <row r="3815" spans="1:23">
      <c r="A3815">
        <v>18</v>
      </c>
      <c r="B3815">
        <v>5</v>
      </c>
      <c r="C3815">
        <v>2024</v>
      </c>
      <c r="D3815" s="3" t="s">
        <f>B3815&amp;"/"&amp;A3815&amp;"/"&amp;C3815</f>
        <v>3153</v>
      </c>
      <c r="E3815">
        <v>1</v>
      </c>
      <c r="F3815" t="s">
        <f>I3815&amp;" "&amp;J3815&amp;" "&amp;K3815&amp;" "&amp;L3815&amp;" "&amp;M3815&amp;" "&amp;N3815</f>
        <v>3154</v>
      </c>
      <c r="G3815" t="s">
        <f>TEXT(D3815,"mmm dd")</f>
        <v>339</v>
      </c>
      <c r="I3815" t="s">
        <v>1606</v>
      </c>
      <c r="J3815" t="s">
        <v>3078</v>
      </c>
    </row>
    <row r="3816" spans="1:23">
      <c r="A3816">
        <v>18</v>
      </c>
      <c r="B3816">
        <v>5</v>
      </c>
      <c r="C3816">
        <v>2024</v>
      </c>
      <c r="D3816" s="3" t="s">
        <f>B3816&amp;"/"&amp;A3816&amp;"/"&amp;C3816</f>
        <v>3153</v>
      </c>
      <c r="E3816">
        <v>1</v>
      </c>
      <c r="F3816" t="str">
        <f>I3816&amp;" "&amp;J3816&amp;" "&amp;K3816&amp;" "&amp;L3816&amp;" "&amp;M3816&amp;" "&amp;N3816</f>
        <v>Emelia's graduation    </v>
      </c>
      <c r="G3816" t="s">
        <f>TEXT(D3816,"mmm dd")</f>
        <v>339</v>
      </c>
      <c r="I3816" t="inlineStr">
        <is>
          <t>Emelia's</t>
        </is>
      </c>
      <c r="J3816" t="s">
        <v>403</v>
      </c>
    </row>
    <row r="3817" spans="1:23">
      <c r="A3817">
        <v>22</v>
      </c>
      <c r="B3817">
        <v>5</v>
      </c>
      <c r="C3817">
        <v>2024</v>
      </c>
      <c r="D3817" s="3" t="s">
        <f>B3817&amp;"/"&amp;A3817&amp;"/"&amp;C3817</f>
        <v>3155</v>
      </c>
      <c r="E3817">
        <v>0.75</v>
      </c>
      <c r="F3817" t="str">
        <f>I3817&amp;" "&amp;J3817&amp;" "&amp;K3817&amp;" "&amp;L3817&amp;" "&amp;M3817&amp;" "&amp;N3817</f>
        <v>Levi Rice Piano tuning  </v>
      </c>
      <c r="G3817" t="s">
        <f>TEXT(D3817,"mmm dd")</f>
        <v>357</v>
      </c>
      <c r="I3817" t="inlineStr">
        <is>
          <t>Levi</t>
        </is>
      </c>
      <c r="J3817" t="inlineStr">
        <is>
          <t>Rice</t>
        </is>
      </c>
      <c r="K3817" t="s">
        <v>1935</v>
      </c>
      <c r="L3817" t="inlineStr">
        <is>
          <t>tuning</t>
        </is>
      </c>
    </row>
    <row r="3818" spans="1:23">
      <c r="A3818">
        <v>22</v>
      </c>
      <c r="B3818">
        <v>5</v>
      </c>
      <c r="C3818">
        <v>2024</v>
      </c>
      <c r="D3818" s="3" t="s">
        <f>B3818&amp;"/"&amp;A3818&amp;"/"&amp;C3818</f>
        <v>3155</v>
      </c>
      <c r="E3818">
        <v>0.875</v>
      </c>
      <c r="F3818" t="s">
        <f>I3818&amp;" "&amp;J3818&amp;" "&amp;K3818&amp;" "&amp;L3818&amp;" "&amp;M3818&amp;" "&amp;N3818</f>
        <v>3146</v>
      </c>
      <c r="G3818" t="s">
        <f>TEXT(D3818,"mmm dd")</f>
        <v>357</v>
      </c>
      <c r="I3818" t="s">
        <v>1028</v>
      </c>
      <c r="J3818" t="s">
        <v>772</v>
      </c>
    </row>
    <row r="3819" spans="1:23">
      <c r="A3819">
        <v>8</v>
      </c>
      <c r="B3819">
        <v>6</v>
      </c>
      <c r="C3819">
        <v>2024</v>
      </c>
      <c r="D3819" s="3" t="str">
        <f>B3819&amp;"/"&amp;A3819&amp;"/"&amp;C3819</f>
        <v>6/8/2024</v>
      </c>
      <c r="E3819" t="s">
        <v>42</v>
      </c>
      <c r="F3819" t="str">
        <f>I3819&amp;" "&amp;J3819&amp;" "&amp;K3819&amp;" "&amp;L3819&amp;" "&amp;M3819&amp;" "&amp;N3819</f>
        <v>Lydia     </v>
      </c>
      <c r="G3819" t="s">
        <f>TEXT(D3819,"mmm dd")</f>
        <v>1325</v>
      </c>
      <c r="I3819" t="s">
        <v>772</v>
      </c>
    </row>
    <row r="3820" spans="1:23">
      <c r="A3820">
        <v>9</v>
      </c>
      <c r="B3820">
        <v>6</v>
      </c>
      <c r="C3820">
        <v>2024</v>
      </c>
      <c r="D3820" s="3" t="s">
        <f>B3820&amp;"/"&amp;A3820&amp;"/"&amp;C3820</f>
        <v>3156</v>
      </c>
      <c r="E3820">
        <v>1.0416666666666667</v>
      </c>
      <c r="F3820" t="s">
        <f>I3820&amp;" "&amp;J3820&amp;" "&amp;K3820&amp;" "&amp;L3820&amp;" "&amp;M3820&amp;" "&amp;N3820</f>
        <v>3157</v>
      </c>
      <c r="G3820" t="s">
        <f>TEXT(D3820,"mmm dd")</f>
        <v>467</v>
      </c>
      <c r="I3820" t="s">
        <v>3140</v>
      </c>
      <c r="J3820" t="s">
        <v>73</v>
      </c>
      <c r="K3820" t="s">
        <v>3158</v>
      </c>
      <c r="L3820" t="s">
        <v>526</v>
      </c>
    </row>
    <row r="3821" spans="1:23">
      <c r="A3821">
        <v>9</v>
      </c>
      <c r="B3821">
        <v>6</v>
      </c>
      <c r="C3821">
        <v>2024</v>
      </c>
      <c r="D3821" s="3" t="s">
        <f>B3821&amp;"/"&amp;A3821&amp;"/"&amp;C3821</f>
        <v>3156</v>
      </c>
      <c r="E3821">
        <v>1.0416666666666667</v>
      </c>
      <c r="F3821" t="s">
        <f>I3821&amp;" "&amp;J3821&amp;" "&amp;K3821&amp;" "&amp;L3821&amp;" "&amp;M3821&amp;" "&amp;N3821</f>
        <v>3157</v>
      </c>
      <c r="G3821" t="s">
        <f>TEXT(D3821,"mmm dd")</f>
        <v>467</v>
      </c>
      <c r="I3821" t="s">
        <v>3140</v>
      </c>
      <c r="J3821" t="s">
        <v>73</v>
      </c>
      <c r="K3821" t="s">
        <v>3158</v>
      </c>
      <c r="L3821" t="s">
        <v>526</v>
      </c>
    </row>
    <row r="3822" spans="1:23">
      <c r="A3822">
        <v>22</v>
      </c>
      <c r="B3822">
        <v>6</v>
      </c>
      <c r="C3822">
        <v>2024</v>
      </c>
      <c r="D3822" s="3" t="str">
        <f>B3822&amp;"/"&amp;A3822&amp;"/"&amp;C3822</f>
        <v>6/22/2024</v>
      </c>
      <c r="E3822">
        <v>0.75</v>
      </c>
      <c r="F3822" t="str">
        <f>I3822&amp;" "&amp;J3822&amp;" "&amp;K3822&amp;" "&amp;L3822&amp;" "&amp;M3822&amp;" "&amp;N3822</f>
        <v>Funeral for Peg G  </v>
      </c>
      <c r="G3822" t="s">
        <f>TEXT(D3822,"mmm dd")</f>
        <v>574</v>
      </c>
      <c r="I3822" t="s">
        <v>1135</v>
      </c>
      <c r="J3822" t="s">
        <v>439</v>
      </c>
      <c r="K3822" t="inlineStr">
        <is>
          <t>Peg</t>
        </is>
      </c>
      <c r="L3822" t="inlineStr">
        <is>
          <t>G</t>
        </is>
      </c>
    </row>
    <row r="3823" spans="1:23">
      <c r="A3823">
        <v>25</v>
      </c>
      <c r="B3823">
        <v>6</v>
      </c>
      <c r="C3823">
        <v>2024</v>
      </c>
      <c r="D3823" s="3" t="str">
        <f>B3823&amp;"/"&amp;A3823&amp;"/"&amp;C3823</f>
        <v>6/25/2024</v>
      </c>
      <c r="E3823">
        <v>0.91666666666666663</v>
      </c>
      <c r="F3823" t="s">
        <f>I3823&amp;" "&amp;J3823&amp;" "&amp;K3823&amp;" "&amp;L3823&amp;" "&amp;M3823&amp;" "&amp;N3823</f>
        <v>2889</v>
      </c>
      <c r="G3823" t="s">
        <f>TEXT(D3823,"mmm dd")</f>
        <v>589</v>
      </c>
      <c r="I3823" t="s">
        <v>2890</v>
      </c>
      <c r="J3823" t="s">
        <v>2891</v>
      </c>
      <c r="O3823" t="s">
        <v>2600</v>
      </c>
    </row>
    <row r="3824" spans="1:23">
      <c r="A3824">
        <v>26</v>
      </c>
      <c r="B3824">
        <v>6</v>
      </c>
      <c r="C3824">
        <v>2024</v>
      </c>
      <c r="D3824" s="3" t="str">
        <f>B3824&amp;"/"&amp;A3824&amp;"/"&amp;C3824</f>
        <v>6/26/2024</v>
      </c>
      <c r="E3824">
        <v>0.625</v>
      </c>
      <c r="F3824" t="str">
        <f>I3824&amp;" "&amp;J3824&amp;" "&amp;K3824&amp;" "&amp;L3824&amp;" "&amp;M3824&amp;" "&amp;N3824</f>
        <v>Sunrise irrigation    </v>
      </c>
      <c r="G3824" t="s">
        <f>TEXT(D3824,"mmm dd")</f>
        <v>1335</v>
      </c>
      <c r="I3824" t="s">
        <v>3142</v>
      </c>
      <c r="J3824" t="s">
        <v>3159</v>
      </c>
    </row>
    <row r="3825" spans="1:23">
      <c r="A3825">
        <v>29</v>
      </c>
      <c r="B3825">
        <v>6</v>
      </c>
      <c r="C3825">
        <v>2024</v>
      </c>
      <c r="D3825" s="3" t="s">
        <f>B3825&amp;"/"&amp;A3825&amp;"/"&amp;C3825</f>
        <v>3160</v>
      </c>
      <c r="E3825">
        <v>1</v>
      </c>
      <c r="F3825" t="s">
        <f>I3825&amp;" "&amp;J3825&amp;" "&amp;K3825&amp;" "&amp;L3825&amp;" "&amp;M3825&amp;" "&amp;N3825</f>
        <v>3161</v>
      </c>
      <c r="G3825" t="s">
        <f>TEXT(D3825,"mmm dd")</f>
        <v>603</v>
      </c>
      <c r="I3825" t="s">
        <v>1606</v>
      </c>
      <c r="J3825" t="s">
        <v>2441</v>
      </c>
    </row>
    <row r="3826" spans="1:23">
      <c r="A3826">
        <v>29</v>
      </c>
      <c r="B3826">
        <v>6</v>
      </c>
      <c r="C3826">
        <v>2024</v>
      </c>
      <c r="D3826" s="3" t="s">
        <f>B3826&amp;"/"&amp;A3826&amp;"/"&amp;C3826</f>
        <v>3160</v>
      </c>
      <c r="E3826">
        <v>0.70833333333333337</v>
      </c>
      <c r="F3826" t="s">
        <f>I3826&amp;" "&amp;J3826&amp;" "&amp;K3826&amp;" "&amp;L3826&amp;" "&amp;M3826&amp;" "&amp;N3826</f>
        <v>3162</v>
      </c>
      <c r="G3826" t="s">
        <f>TEXT(D3826,"mmm dd")</f>
        <v>603</v>
      </c>
      <c r="I3826" t="s">
        <v>1028</v>
      </c>
      <c r="J3826" t="s">
        <v>1927</v>
      </c>
    </row>
    <row r="3827" spans="1:23">
      <c r="A3827">
        <v>30</v>
      </c>
      <c r="B3827">
        <v>6</v>
      </c>
      <c r="C3827">
        <v>2024</v>
      </c>
      <c r="D3827" s="3" t="str">
        <f>B3827&amp;"/"&amp;A3827&amp;"/"&amp;C3827</f>
        <v>6/30/2024</v>
      </c>
      <c r="E3827">
        <v>0.70833333333333337</v>
      </c>
      <c r="F3827" t="s">
        <f>I3827&amp;" "&amp;J3827&amp;" "&amp;K3827&amp;" "&amp;L3827&amp;" "&amp;M3827&amp;" "&amp;N3827</f>
        <v>3161</v>
      </c>
      <c r="G3827" t="s">
        <f>TEXT(D3827,"mmm dd")</f>
        <v>12</v>
      </c>
      <c r="I3827" t="s">
        <v>1606</v>
      </c>
      <c r="J3827" t="s">
        <v>2441</v>
      </c>
    </row>
    <row r="3828" spans="1:23">
      <c r="A3828">
        <v>1</v>
      </c>
      <c r="B3828">
        <v>7</v>
      </c>
      <c r="C3828">
        <v>2024</v>
      </c>
      <c r="D3828" s="3" t="str">
        <f>B3828&amp;"/"&amp;A3828&amp;"/"&amp;C3828</f>
        <v>7/1/2024</v>
      </c>
      <c r="E3828">
        <v>0.92708333333333337</v>
      </c>
      <c r="F3828" t="s">
        <f>I3828&amp;" "&amp;J3828&amp;" "&amp;K3828&amp;" "&amp;L3828&amp;" "&amp;M3828&amp;" "&amp;N3828</f>
        <v>1628</v>
      </c>
      <c r="G3828" t="s">
        <f>TEXT(D3828,"mmm dd")</f>
        <v>13</v>
      </c>
      <c r="I3828" t="s">
        <v>1282</v>
      </c>
      <c r="J3828" t="s">
        <v>1283</v>
      </c>
    </row>
    <row r="3829" spans="1:23">
      <c r="A3829">
        <v>8</v>
      </c>
      <c r="B3829">
        <v>7</v>
      </c>
      <c r="C3829">
        <v>2024</v>
      </c>
      <c r="D3829" s="3" t="str">
        <f>B3829&amp;"/"&amp;A3829&amp;"/"&amp;C3829</f>
        <v>7/8/2024</v>
      </c>
      <c r="E3829" t="s">
        <v>42</v>
      </c>
      <c r="F3829" t="s">
        <f>I3829&amp;" "&amp;J3829&amp;" "&amp;K3829&amp;" "&amp;L3829&amp;" "&amp;M3829&amp;" "&amp;N3829</f>
        <v>3162</v>
      </c>
      <c r="G3829" t="s">
        <f>TEXT(D3829,"mmm dd")</f>
        <v>623</v>
      </c>
      <c r="I3829" t="s">
        <v>1028</v>
      </c>
      <c r="J3829" t="s">
        <v>1927</v>
      </c>
    </row>
    <row r="3830" spans="1:23">
      <c r="A3830">
        <v>13</v>
      </c>
      <c r="B3830">
        <v>7</v>
      </c>
      <c r="C3830">
        <v>2024</v>
      </c>
      <c r="D3830" s="3" t="s">
        <f>B3830&amp;"/"&amp;A3830&amp;"/"&amp;C3830</f>
        <v>3163</v>
      </c>
      <c r="E3830">
        <v>1</v>
      </c>
      <c r="F3830" t="s">
        <f>I3830&amp;" "&amp;J3830&amp;" "&amp;K3830&amp;" "&amp;L3830&amp;" "&amp;M3830&amp;" "&amp;N3830</f>
        <v>3154</v>
      </c>
      <c r="G3830" t="s">
        <f>TEXT(D3830,"mmm dd")</f>
        <v>1989</v>
      </c>
      <c r="I3830" t="s">
        <v>1606</v>
      </c>
      <c r="J3830" t="s">
        <v>3078</v>
      </c>
    </row>
    <row r="3831" spans="1:23">
      <c r="A3831">
        <v>13</v>
      </c>
      <c r="B3831">
        <v>7</v>
      </c>
      <c r="C3831">
        <v>2024</v>
      </c>
      <c r="D3831" s="3" t="s">
        <f>B3831&amp;"/"&amp;A3831&amp;"/"&amp;C3831</f>
        <v>3163</v>
      </c>
      <c r="E3831">
        <v>0.70833333333333337</v>
      </c>
      <c r="F3831" t="s">
        <f>I3831&amp;" "&amp;J3831&amp;" "&amp;K3831&amp;" "&amp;L3831&amp;" "&amp;M3831&amp;" "&amp;N3831</f>
        <v>3154</v>
      </c>
      <c r="G3831" t="s">
        <f>TEXT(D3831,"mmm dd")</f>
        <v>1989</v>
      </c>
      <c r="I3831" t="s">
        <v>1606</v>
      </c>
      <c r="J3831" t="s">
        <v>3078</v>
      </c>
      <c r="O3831" t="inlineStr">
        <is>
          <t>Naples</t>
        </is>
      </c>
      <c r="P3831" t="s">
        <v>1260</v>
      </c>
      <c r="Q3831" t="s">
        <v>2688</v>
      </c>
      <c r="R3831" t="s">
        <v>2689</v>
      </c>
      <c r="S3831" t="s">
        <v>2600</v>
      </c>
    </row>
    <row r="3832" spans="1:23">
      <c r="A3832">
        <v>14</v>
      </c>
      <c r="B3832">
        <v>7</v>
      </c>
      <c r="C3832">
        <v>2024</v>
      </c>
      <c r="D3832" s="3" t="str">
        <f>B3832&amp;"/"&amp;A3832&amp;"/"&amp;C3832</f>
        <v>7/14/2024</v>
      </c>
      <c r="E3832">
        <v>0.70833333333333337</v>
      </c>
      <c r="F3832" t="s">
        <f>I3832&amp;" "&amp;J3832&amp;" "&amp;K3832&amp;" "&amp;L3832&amp;" "&amp;M3832&amp;" "&amp;N3832</f>
        <v>3154</v>
      </c>
      <c r="G3832" t="s">
        <f>TEXT(D3832,"mmm dd")</f>
        <v>1340</v>
      </c>
      <c r="I3832" t="s">
        <v>1606</v>
      </c>
      <c r="J3832" t="s">
        <v>3078</v>
      </c>
    </row>
    <row r="3833" spans="1:23">
      <c r="A3833">
        <v>16</v>
      </c>
      <c r="B3833">
        <v>7</v>
      </c>
      <c r="C3833">
        <v>2024</v>
      </c>
      <c r="D3833" s="3" t="str">
        <f>B3833&amp;"/"&amp;A3833&amp;"/"&amp;C3833</f>
        <v>7/16/2024</v>
      </c>
      <c r="E3833" t="s">
        <v>42</v>
      </c>
      <c r="F3833" t="str">
        <f>I3833&amp;" "&amp;J3833&amp;" "&amp;K3833&amp;" "&amp;L3833&amp;" "&amp;M3833&amp;" "&amp;N3833</f>
        <v>Replace HVAC filter   </v>
      </c>
      <c r="G3833" t="s">
        <f>TEXT(D3833,"mmm dd")</f>
        <v>646</v>
      </c>
      <c r="I3833" t="inlineStr">
        <is>
          <t>Replace</t>
        </is>
      </c>
      <c r="J3833" t="s">
        <v>2538</v>
      </c>
      <c r="K3833" t="s">
        <v>2529</v>
      </c>
    </row>
    <row r="3834" spans="1:23">
      <c r="A3834">
        <v>23</v>
      </c>
      <c r="B3834">
        <v>7</v>
      </c>
      <c r="C3834">
        <v>2024</v>
      </c>
      <c r="D3834" s="3" t="str">
        <f>B3834&amp;"/"&amp;A3834&amp;"/"&amp;C3834</f>
        <v>7/23/2024</v>
      </c>
      <c r="E3834">
        <v>0.91666666666666663</v>
      </c>
      <c r="F3834" t="s">
        <f>I3834&amp;" "&amp;J3834&amp;" "&amp;K3834&amp;" "&amp;L3834&amp;" "&amp;M3834&amp;" "&amp;N3834</f>
        <v>2889</v>
      </c>
      <c r="G3834" t="s">
        <f>TEXT(D3834,"mmm dd")</f>
        <v>681</v>
      </c>
      <c r="I3834" t="s">
        <v>2890</v>
      </c>
      <c r="J3834" t="s">
        <v>2891</v>
      </c>
    </row>
    <row r="3835" spans="1:23">
      <c r="A3835">
        <v>26</v>
      </c>
      <c r="B3835">
        <v>7</v>
      </c>
      <c r="C3835">
        <v>2024</v>
      </c>
      <c r="D3835" s="3" t="str">
        <f>B3835&amp;"/"&amp;A3835&amp;"/"&amp;C3835</f>
        <v>7/26/2024</v>
      </c>
      <c r="E3835">
        <v>0.875</v>
      </c>
      <c r="F3835" t="str">
        <f>I3835&amp;" "&amp;J3835&amp;" "&amp;K3835&amp;" "&amp;L3835&amp;" "&amp;M3835&amp;" "&amp;N3835</f>
        <v>Arborist (Dalton)    </v>
      </c>
      <c r="G3835" t="s">
        <f>TEXT(D3835,"mmm dd")</f>
        <v>27</v>
      </c>
      <c r="I3835" t="inlineStr">
        <is>
          <t>Arborist</t>
        </is>
      </c>
      <c r="J3835" t="inlineStr">
        <is>
          <t>(Dalton)</t>
        </is>
      </c>
      <c r="O3835" t="s">
        <v>2689</v>
      </c>
      <c r="P3835" t="s">
        <v>2600</v>
      </c>
    </row>
    <row r="3836" spans="1:23">
      <c r="A3836">
        <v>3</v>
      </c>
      <c r="B3836">
        <v>8</v>
      </c>
      <c r="C3836">
        <v>2024</v>
      </c>
      <c r="D3836" s="3" t="str">
        <f>B3836&amp;"/"&amp;A3836&amp;"/"&amp;C3836</f>
        <v>8/3/2024</v>
      </c>
      <c r="E3836">
        <v>1</v>
      </c>
      <c r="F3836" t="s">
        <f>I3836&amp;" "&amp;J3836&amp;" "&amp;K3836&amp;" "&amp;L3836&amp;" "&amp;M3836&amp;" "&amp;N3836</f>
        <v>3154</v>
      </c>
      <c r="G3836" t="s">
        <f>TEXT(D3836,"mmm dd")</f>
        <v>2019</v>
      </c>
      <c r="I3836" t="s">
        <v>1606</v>
      </c>
      <c r="J3836" t="s">
        <v>3078</v>
      </c>
    </row>
    <row r="3837" spans="1:23">
      <c r="A3837">
        <v>4</v>
      </c>
      <c r="B3837">
        <v>8</v>
      </c>
      <c r="C3837">
        <v>2024</v>
      </c>
      <c r="D3837" s="3" t="str">
        <f>B3837&amp;"/"&amp;A3837&amp;"/"&amp;C3837</f>
        <v>8/4/2024</v>
      </c>
      <c r="E3837">
        <v>0.70833333333333337</v>
      </c>
      <c r="F3837" t="s">
        <f>I3837&amp;" "&amp;J3837&amp;" "&amp;K3837&amp;" "&amp;L3837&amp;" "&amp;M3837&amp;" "&amp;N3837</f>
        <v>3154</v>
      </c>
      <c r="G3837" t="s">
        <f>TEXT(D3837,"mmm dd")</f>
        <v>1603</v>
      </c>
      <c r="I3837" t="s">
        <v>1606</v>
      </c>
      <c r="J3837" t="s">
        <v>3078</v>
      </c>
    </row>
    <row r="3838" spans="1:23">
      <c r="A3838">
        <v>7</v>
      </c>
      <c r="B3838">
        <v>8</v>
      </c>
      <c r="C3838">
        <v>2024</v>
      </c>
      <c r="D3838" s="3" t="str">
        <f>B3838&amp;"/"&amp;A3838&amp;"/"&amp;C3838</f>
        <v>8/7/2024</v>
      </c>
      <c r="E3838">
        <v>0.70833333333333337</v>
      </c>
      <c r="F3838" t="str">
        <f>I3838&amp;" "&amp;J3838&amp;" "&amp;K3838&amp;" "&amp;L3838&amp;" "&amp;M3838&amp;" "&amp;N3838</f>
        <v>Scott Folino\  DDS  </v>
      </c>
      <c r="G3838" t="s">
        <f>TEXT(D3838,"mmm dd")</f>
        <v>1605</v>
      </c>
      <c r="I3838" t="s">
        <v>917</v>
      </c>
      <c r="J3838" t="inlineStr">
        <is>
          <t>Folino\</t>
        </is>
      </c>
      <c r="L3838" t="inlineStr">
        <is>
          <t>DDS</t>
        </is>
      </c>
    </row>
    <row r="3839" spans="1:23">
      <c r="A3839">
        <v>10</v>
      </c>
      <c r="B3839">
        <v>8</v>
      </c>
      <c r="C3839">
        <v>2024</v>
      </c>
      <c r="D3839" s="3" t="str">
        <f>B3839&amp;"/"&amp;A3839&amp;"/"&amp;C3839</f>
        <v>8/10/2024</v>
      </c>
      <c r="E3839" t="s">
        <v>42</v>
      </c>
      <c r="F3839" t="str">
        <f>I3839&amp;" "&amp;J3839&amp;" "&amp;K3839&amp;" "&amp;L3839&amp;" "&amp;M3839&amp;" "&amp;N3839</f>
        <v>Sjostrom reunion    </v>
      </c>
      <c r="G3839" t="s">
        <f>TEXT(D3839,"mmm dd")</f>
        <v>734</v>
      </c>
      <c r="I3839" t="s">
        <v>2106</v>
      </c>
      <c r="J3839" t="inlineStr">
        <is>
          <t>reunion</t>
        </is>
      </c>
    </row>
    <row r="3840" spans="1:23">
      <c r="A3840">
        <v>13</v>
      </c>
      <c r="B3840">
        <v>8</v>
      </c>
      <c r="C3840">
        <v>2024</v>
      </c>
      <c r="D3840" s="3" t="s">
        <f>B3840&amp;"/"&amp;A3840&amp;"/"&amp;C3840</f>
        <v>3164</v>
      </c>
      <c r="E3840">
        <v>0.79166666666666663</v>
      </c>
      <c r="F3840" t="str">
        <f>I3840&amp;" "&amp;J3840&amp;" "&amp;K3840&amp;" "&amp;L3840&amp;" "&amp;M3840&amp;" "&amp;N3840</f>
        <v>Folino deep cleaning   </v>
      </c>
      <c r="G3840" t="s">
        <f>TEXT(D3840,"mmm dd")</f>
        <v>754</v>
      </c>
      <c r="I3840" t="s">
        <v>3165</v>
      </c>
      <c r="J3840" t="inlineStr">
        <is>
          <t>deep</t>
        </is>
      </c>
      <c r="K3840" t="s">
        <v>2035</v>
      </c>
    </row>
    <row r="3841" spans="1:23">
      <c r="A3841">
        <v>13</v>
      </c>
      <c r="B3841">
        <v>8</v>
      </c>
      <c r="C3841">
        <v>2024</v>
      </c>
      <c r="D3841" s="3" t="s">
        <f>B3841&amp;"/"&amp;A3841&amp;"/"&amp;C3841</f>
        <v>3164</v>
      </c>
      <c r="E3841">
        <v>0.9375</v>
      </c>
      <c r="F3841" t="str">
        <f>I3841&amp;" "&amp;J3841&amp;" "&amp;K3841&amp;" "&amp;L3841&amp;" "&amp;M3841&amp;" "&amp;N3841</f>
        <v>Dr. Basil re crown  </v>
      </c>
      <c r="G3841" t="s">
        <f>TEXT(D3841,"mmm dd")</f>
        <v>754</v>
      </c>
      <c r="I3841" t="s">
        <v>847</v>
      </c>
      <c r="J3841" t="s">
        <v>528</v>
      </c>
      <c r="K3841" t="s">
        <v>594</v>
      </c>
      <c r="L3841" t="s">
        <v>2262</v>
      </c>
    </row>
    <row r="3842" spans="1:23">
      <c r="A3842">
        <v>17</v>
      </c>
      <c r="B3842">
        <v>8</v>
      </c>
      <c r="C3842">
        <v>2024</v>
      </c>
      <c r="D3842" s="3" t="str">
        <f>B3842&amp;"/"&amp;A3842&amp;"/"&amp;C3842</f>
        <v>8/17/2024</v>
      </c>
      <c r="E3842">
        <v>1</v>
      </c>
      <c r="F3842" t="s">
        <f>I3842&amp;" "&amp;J3842&amp;" "&amp;K3842&amp;" "&amp;L3842&amp;" "&amp;M3842&amp;" "&amp;N3842</f>
        <v>3154</v>
      </c>
      <c r="G3842" t="s">
        <f>TEXT(D3842,"mmm dd")</f>
        <v>793</v>
      </c>
      <c r="I3842" t="s">
        <v>1606</v>
      </c>
      <c r="J3842" t="s">
        <v>3078</v>
      </c>
    </row>
    <row r="3843" spans="1:23">
      <c r="A3843">
        <v>18</v>
      </c>
      <c r="B3843">
        <v>8</v>
      </c>
      <c r="C3843">
        <v>2024</v>
      </c>
      <c r="D3843" s="3" t="str">
        <f>B3843&amp;"/"&amp;A3843&amp;"/"&amp;C3843</f>
        <v>8/18/2024</v>
      </c>
      <c r="E3843">
        <v>0.70833333333333337</v>
      </c>
      <c r="F3843" t="s">
        <f>I3843&amp;" "&amp;J3843&amp;" "&amp;K3843&amp;" "&amp;L3843&amp;" "&amp;M3843&amp;" "&amp;N3843</f>
        <v>3154</v>
      </c>
      <c r="G3843" t="s">
        <f>TEXT(D3843,"mmm dd")</f>
        <v>2041</v>
      </c>
      <c r="I3843" t="s">
        <v>1606</v>
      </c>
      <c r="J3843" t="s">
        <v>3078</v>
      </c>
    </row>
    <row r="3844" spans="1:23">
      <c r="A3844">
        <v>19</v>
      </c>
      <c r="B3844">
        <v>8</v>
      </c>
      <c r="C3844">
        <v>2024</v>
      </c>
      <c r="D3844" s="3" t="str">
        <f>B3844&amp;"/"&amp;A3844&amp;"/"&amp;C3844</f>
        <v>8/19/2024</v>
      </c>
      <c r="E3844">
        <v>0.875</v>
      </c>
      <c r="F3844" t="s">
        <f>I3844&amp;" "&amp;J3844&amp;" "&amp;K3844&amp;" "&amp;L3844&amp;" "&amp;M3844&amp;" "&amp;N3844</f>
        <v>3072</v>
      </c>
      <c r="G3844" t="s">
        <f>TEXT(D3844,"mmm dd")</f>
        <v>805</v>
      </c>
      <c r="I3844" t="s">
        <v>1791</v>
      </c>
      <c r="J3844" t="s">
        <v>3042</v>
      </c>
    </row>
    <row r="3845" spans="1:23">
      <c r="A3845">
        <v>22</v>
      </c>
      <c r="B3845">
        <v>8</v>
      </c>
      <c r="C3845">
        <v>2024</v>
      </c>
      <c r="D3845" s="3" t="str">
        <f>B3845&amp;"/"&amp;A3845&amp;"/"&amp;C3845</f>
        <v>8/22/2024</v>
      </c>
      <c r="E3845">
        <v>0.83333333333333337</v>
      </c>
      <c r="F3845" t="str">
        <f>I3845&amp;" "&amp;J3845&amp;" "&amp;K3845&amp;" "&amp;L3845&amp;" "&amp;M3845&amp;" "&amp;N3845</f>
        <v>Dr. Humphries (re. colonoscopy)  </v>
      </c>
      <c r="G3845" t="s">
        <f>TEXT(D3845,"mmm dd")</f>
        <v>824</v>
      </c>
      <c r="I3845" t="s">
        <v>847</v>
      </c>
      <c r="J3845" t="s">
        <v>3166</v>
      </c>
      <c r="K3845" t="inlineStr">
        <is>
          <t>(re.</t>
        </is>
      </c>
      <c r="L3845" t="inlineStr">
        <is>
          <t>colonoscopy)</t>
        </is>
      </c>
    </row>
    <row r="3846" spans="1:23">
      <c r="A3846">
        <v>24</v>
      </c>
      <c r="B3846">
        <v>8</v>
      </c>
      <c r="C3846">
        <v>2024</v>
      </c>
      <c r="D3846" s="3" t="str">
        <f>B3846&amp;"/"&amp;A3846&amp;"/"&amp;C3846</f>
        <v>8/24/2024</v>
      </c>
      <c r="E3846">
        <v>1</v>
      </c>
      <c r="F3846" t="s">
        <f>I3846&amp;" "&amp;J3846&amp;" "&amp;K3846&amp;" "&amp;L3846&amp;" "&amp;M3846&amp;" "&amp;N3846</f>
        <v>3161</v>
      </c>
      <c r="G3846" t="s">
        <f>TEXT(D3846,"mmm dd")</f>
        <v>1372</v>
      </c>
      <c r="I3846" t="s">
        <v>1606</v>
      </c>
      <c r="J3846" t="s">
        <v>2441</v>
      </c>
    </row>
    <row r="3847" spans="1:23">
      <c r="A3847">
        <v>25</v>
      </c>
      <c r="B3847">
        <v>8</v>
      </c>
      <c r="C3847">
        <v>2024</v>
      </c>
      <c r="D3847" s="3" t="s">
        <f>B3847&amp;"/"&amp;A3847&amp;"/"&amp;C3847</f>
        <v>3167</v>
      </c>
      <c r="E3847">
        <v>0.70833333333333337</v>
      </c>
      <c r="F3847" t="s">
        <f>I3847&amp;" "&amp;J3847&amp;" "&amp;K3847&amp;" "&amp;L3847&amp;" "&amp;M3847&amp;" "&amp;N3847</f>
        <v>3161</v>
      </c>
      <c r="G3847" t="s">
        <f>TEXT(D3847,"mmm dd")</f>
        <v>2046</v>
      </c>
      <c r="I3847" t="s">
        <v>1606</v>
      </c>
      <c r="J3847" t="s">
        <v>2441</v>
      </c>
    </row>
    <row r="3848" spans="1:23">
      <c r="A3848">
        <v>25</v>
      </c>
      <c r="B3848">
        <v>8</v>
      </c>
      <c r="C3848">
        <v>2024</v>
      </c>
      <c r="D3848" s="3" t="s">
        <f>B3848&amp;"/"&amp;A3848&amp;"/"&amp;C3848</f>
        <v>3167</v>
      </c>
      <c r="E3848">
        <v>0.67708333333333337</v>
      </c>
      <c r="F3848" t="s">
        <f>I3848&amp;" "&amp;J3848&amp;" "&amp;K3848&amp;" "&amp;L3848&amp;" "&amp;M3848&amp;" "&amp;N3848</f>
        <v>3139</v>
      </c>
      <c r="G3848" t="s">
        <f>TEXT(D3848,"mmm dd")</f>
        <v>2046</v>
      </c>
      <c r="I3848" t="s">
        <v>806</v>
      </c>
      <c r="J3848" t="s">
        <v>807</v>
      </c>
      <c r="K3848" t="s">
        <v>1773</v>
      </c>
    </row>
    <row r="3849" spans="1:23">
      <c r="A3849">
        <v>25</v>
      </c>
      <c r="B3849">
        <v>8</v>
      </c>
      <c r="C3849">
        <v>2024</v>
      </c>
      <c r="D3849" s="3" t="s">
        <f>B3849&amp;"/"&amp;A3849&amp;"/"&amp;C3849</f>
        <v>3167</v>
      </c>
      <c r="E3849">
        <v>0.625</v>
      </c>
      <c r="F3849" t="str">
        <f>I3849&amp;" "&amp;J3849&amp;" "&amp;K3849&amp;" "&amp;L3849&amp;" "&amp;M3849&amp;" "&amp;N3849</f>
        <v>Sunday Forum    </v>
      </c>
      <c r="G3849" t="s">
        <f>TEXT(D3849,"mmm dd")</f>
        <v>2046</v>
      </c>
      <c r="I3849" t="s">
        <v>341</v>
      </c>
      <c r="J3849" t="s">
        <v>3168</v>
      </c>
    </row>
    <row r="3850" spans="1:23">
      <c r="A3850">
        <v>26</v>
      </c>
      <c r="B3850">
        <v>8</v>
      </c>
      <c r="C3850">
        <v>2024</v>
      </c>
      <c r="D3850" s="3" t="s">
        <f>B3850&amp;"/"&amp;A3850&amp;"/"&amp;C3850</f>
        <v>3169</v>
      </c>
      <c r="E3850">
        <v>0.92708333333333337</v>
      </c>
      <c r="F3850" t="s">
        <f>I3850&amp;" "&amp;J3850&amp;" "&amp;K3850&amp;" "&amp;L3850&amp;" "&amp;M3850&amp;" "&amp;N3850</f>
        <v>1628</v>
      </c>
      <c r="G3850" t="s">
        <f>TEXT(D3850,"mmm dd")</f>
        <v>837</v>
      </c>
      <c r="I3850" t="s">
        <v>1282</v>
      </c>
      <c r="J3850" t="s">
        <v>1283</v>
      </c>
    </row>
    <row r="3851" spans="1:23">
      <c r="A3851">
        <v>26</v>
      </c>
      <c r="B3851">
        <v>8</v>
      </c>
      <c r="C3851">
        <v>2024</v>
      </c>
      <c r="D3851" s="3" t="s">
        <f>B3851&amp;"/"&amp;A3851&amp;"/"&amp;C3851</f>
        <v>3169</v>
      </c>
      <c r="E3851">
        <v>0.91666666666666663</v>
      </c>
      <c r="F3851" t="s">
        <f>I3851&amp;" "&amp;J3851&amp;" "&amp;K3851&amp;" "&amp;L3851&amp;" "&amp;M3851&amp;" "&amp;N3851</f>
        <v>1628</v>
      </c>
      <c r="G3851" t="s">
        <f>TEXT(D3851,"mmm dd")</f>
        <v>837</v>
      </c>
      <c r="I3851" t="s">
        <v>1282</v>
      </c>
      <c r="J3851" t="s">
        <v>1283</v>
      </c>
    </row>
    <row r="3852" spans="1:23">
      <c r="A3852">
        <v>27</v>
      </c>
      <c r="B3852">
        <v>8</v>
      </c>
      <c r="C3852">
        <v>2024</v>
      </c>
      <c r="D3852" s="3" t="s">
        <f>B3852&amp;"/"&amp;A3852&amp;"/"&amp;C3852</f>
        <v>3170</v>
      </c>
      <c r="E3852">
        <v>0.91666666666666663</v>
      </c>
      <c r="F3852" t="s">
        <f>I3852&amp;" "&amp;J3852&amp;" "&amp;K3852&amp;" "&amp;L3852&amp;" "&amp;M3852&amp;" "&amp;N3852</f>
        <v>3171</v>
      </c>
      <c r="G3852" t="s">
        <f>TEXT(D3852,"mmm dd")</f>
        <v>1374</v>
      </c>
      <c r="I3852" t="s">
        <v>2890</v>
      </c>
    </row>
    <row r="3853" spans="1:23">
      <c r="A3853">
        <v>27</v>
      </c>
      <c r="B3853">
        <v>8</v>
      </c>
      <c r="C3853">
        <v>2024</v>
      </c>
      <c r="D3853" s="3" t="s">
        <f>B3853&amp;"/"&amp;A3853&amp;"/"&amp;C3853</f>
        <v>3170</v>
      </c>
      <c r="E3853">
        <v>0.65625</v>
      </c>
      <c r="F3853" t="str">
        <f>I3853&amp;" "&amp;J3853&amp;" "&amp;K3853&amp;" "&amp;L3853&amp;" "&amp;M3853&amp;" "&amp;N3853</f>
        <v>Baycare labs    </v>
      </c>
      <c r="G3853" t="s">
        <f>TEXT(D3853,"mmm dd")</f>
        <v>1374</v>
      </c>
      <c r="I3853" t="s">
        <v>3043</v>
      </c>
      <c r="J3853" t="s">
        <v>3046</v>
      </c>
    </row>
    <row r="3854" spans="1:23">
      <c r="A3854">
        <v>28</v>
      </c>
      <c r="B3854">
        <v>8</v>
      </c>
      <c r="C3854">
        <v>2024</v>
      </c>
      <c r="D3854" s="3" t="str">
        <f>B3854&amp;"/"&amp;A3854&amp;"/"&amp;C3854</f>
        <v>8/28/2024</v>
      </c>
      <c r="E3854">
        <v>0.88541666666666663</v>
      </c>
      <c r="F3854" t="str">
        <f>I3854&amp;" "&amp;J3854&amp;" "&amp;K3854&amp;" "&amp;L3854&amp;" "&amp;M3854&amp;" "&amp;N3854</f>
        <v>Dr. Kalani for Dale  </v>
      </c>
      <c r="G3854" t="s">
        <f>TEXT(D3854,"mmm dd")</f>
        <v>1375</v>
      </c>
      <c r="I3854" t="s">
        <v>847</v>
      </c>
      <c r="J3854" t="s">
        <v>3172</v>
      </c>
      <c r="K3854" t="s">
        <v>439</v>
      </c>
      <c r="L3854" t="s">
        <v>1316</v>
      </c>
    </row>
    <row r="3855" spans="1:23">
      <c r="A3855">
        <v>29</v>
      </c>
      <c r="B3855">
        <v>8</v>
      </c>
      <c r="C3855">
        <v>2024</v>
      </c>
      <c r="D3855" s="3" t="str">
        <f>B3855&amp;"/"&amp;A3855&amp;"/"&amp;C3855</f>
        <v>8/29/2024</v>
      </c>
      <c r="E3855">
        <v>0.91666666666666663</v>
      </c>
      <c r="F3855" t="s">
        <f>I3855&amp;" "&amp;J3855&amp;" "&amp;K3855&amp;" "&amp;L3855&amp;" "&amp;M3855&amp;" "&amp;N3855</f>
        <v>3107</v>
      </c>
      <c r="G3855" t="s">
        <f>TEXT(D3855,"mmm dd")</f>
        <v>841</v>
      </c>
      <c r="I3855" t="s">
        <v>2783</v>
      </c>
      <c r="J3855" t="s">
        <v>1606</v>
      </c>
    </row>
    <row r="3856" spans="1:23">
      <c r="A3856">
        <v>30</v>
      </c>
      <c r="B3856">
        <v>8</v>
      </c>
      <c r="C3856">
        <v>2024</v>
      </c>
      <c r="D3856" s="3" t="str">
        <f>B3856&amp;"/"&amp;A3856&amp;"/"&amp;C3856</f>
        <v>8/30/2024</v>
      </c>
      <c r="E3856">
        <v>0.85416666666666663</v>
      </c>
      <c r="F3856" t="str">
        <f>I3856&amp;" "&amp;J3856&amp;" "&amp;K3856&amp;" "&amp;L3856&amp;" "&amp;M3856&amp;" "&amp;N3856</f>
        <v>Kalani echocardiogram    </v>
      </c>
      <c r="G3856" t="s">
        <f>TEXT(D3856,"mmm dd")</f>
        <v>846</v>
      </c>
      <c r="I3856" t="s">
        <v>3172</v>
      </c>
      <c r="J3856" t="inlineStr">
        <is>
          <t>echocardiogram</t>
        </is>
      </c>
    </row>
    <row r="3857" spans="1:23">
      <c r="A3857">
        <v>3</v>
      </c>
      <c r="B3857">
        <v>9</v>
      </c>
      <c r="C3857">
        <v>2024</v>
      </c>
      <c r="D3857" s="3" t="str">
        <f>B3857&amp;"/"&amp;A3857&amp;"/"&amp;C3857</f>
        <v>9/3/2024</v>
      </c>
      <c r="E3857">
        <v>0.72916666666666663</v>
      </c>
      <c r="F3857" t="str">
        <f>I3857&amp;" "&amp;J3857&amp;" "&amp;K3857&amp;" "&amp;L3857&amp;" "&amp;M3857&amp;" "&amp;N3857</f>
        <v>Kalani monitor    </v>
      </c>
      <c r="G3857" t="s">
        <f>TEXT(D3857,"mmm dd")</f>
        <v>850</v>
      </c>
      <c r="I3857" t="s">
        <v>3172</v>
      </c>
      <c r="J3857" t="s">
        <v>3173</v>
      </c>
    </row>
    <row r="3858" spans="1:23">
      <c r="A3858">
        <v>4</v>
      </c>
      <c r="B3858">
        <v>9</v>
      </c>
      <c r="C3858">
        <v>2024</v>
      </c>
      <c r="D3858" s="3" t="s">
        <f>B3858&amp;"/"&amp;A3858&amp;"/"&amp;C3858</f>
        <v>3174</v>
      </c>
      <c r="E3858">
        <v>0.66666666666666663</v>
      </c>
      <c r="F3858" t="s">
        <f>I3858&amp;" "&amp;J3858&amp;" "&amp;K3858&amp;" "&amp;L3858&amp;" "&amp;M3858&amp;" "&amp;N3858</f>
        <v>3175</v>
      </c>
      <c r="G3858" t="s">
        <f>TEXT(D3858,"mmm dd")</f>
        <v>1766</v>
      </c>
      <c r="I3858" t="s">
        <v>3172</v>
      </c>
      <c r="J3858" t="s">
        <v>3176</v>
      </c>
      <c r="K3858" t="s">
        <v>768</v>
      </c>
    </row>
    <row r="3859" spans="1:23">
      <c r="A3859">
        <v>4</v>
      </c>
      <c r="B3859">
        <v>9</v>
      </c>
      <c r="C3859">
        <v>2024</v>
      </c>
      <c r="D3859" s="3" t="s">
        <f>B3859&amp;"/"&amp;A3859&amp;"/"&amp;C3859</f>
        <v>3174</v>
      </c>
      <c r="E3859" t="s">
        <v>42</v>
      </c>
      <c r="F3859" t="str">
        <f>I3859&amp;" "&amp;J3859&amp;" "&amp;K3859&amp;" "&amp;L3859&amp;" "&amp;M3859&amp;" "&amp;N3859</f>
        <v>Return monitor Kalani   </v>
      </c>
      <c r="G3859" t="s">
        <f>TEXT(D3859,"mmm dd")</f>
        <v>1766</v>
      </c>
      <c r="I3859" t="s">
        <v>548</v>
      </c>
      <c r="J3859" t="s">
        <v>3173</v>
      </c>
      <c r="K3859" t="s">
        <v>3172</v>
      </c>
    </row>
    <row r="3860" spans="1:23">
      <c r="A3860">
        <v>4</v>
      </c>
      <c r="B3860">
        <v>9</v>
      </c>
      <c r="C3860">
        <v>2024</v>
      </c>
      <c r="D3860" s="3" t="s">
        <f>B3860&amp;"/"&amp;A3860&amp;"/"&amp;C3860</f>
        <v>3174</v>
      </c>
      <c r="E3860">
        <v>0.77083333333333337</v>
      </c>
      <c r="F3860" t="s">
        <f>I3860&amp;" "&amp;J3860&amp;" "&amp;K3860&amp;" "&amp;L3860&amp;" "&amp;M3860&amp;" "&amp;N3860</f>
        <v>3175</v>
      </c>
      <c r="G3860" t="s">
        <f>TEXT(D3860,"mmm dd")</f>
        <v>1766</v>
      </c>
      <c r="I3860" t="s">
        <v>3172</v>
      </c>
      <c r="J3860" t="s">
        <v>3176</v>
      </c>
      <c r="K3860" t="s">
        <v>768</v>
      </c>
      <c r="P3860" t="s">
        <v>1758</v>
      </c>
      <c r="Q3860" t="s">
        <v>1759</v>
      </c>
      <c r="R3860" t="s">
        <v>2688</v>
      </c>
      <c r="S3860" t="s">
        <v>2689</v>
      </c>
      <c r="T3860" t="s">
        <v>2600</v>
      </c>
    </row>
    <row r="3861" spans="1:23">
      <c r="A3861">
        <v>5</v>
      </c>
      <c r="B3861">
        <v>9</v>
      </c>
      <c r="C3861">
        <v>2024</v>
      </c>
      <c r="D3861" s="3" t="str">
        <f>B3861&amp;"/"&amp;A3861&amp;"/"&amp;C3861</f>
        <v>9/5/2024</v>
      </c>
      <c r="E3861">
        <v>0.85416666666666663</v>
      </c>
      <c r="F3861" t="str">
        <f>I3861&amp;" "&amp;J3861&amp;" "&amp;K3861&amp;" "&amp;L3861&amp;" "&amp;M3861&amp;" "&amp;N3861</f>
        <v>Kalani for water bottle  </v>
      </c>
      <c r="G3861" t="s">
        <f>TEXT(D3861,"mmm dd")</f>
        <v>1378</v>
      </c>
      <c r="I3861" t="s">
        <v>3172</v>
      </c>
      <c r="J3861" t="s">
        <v>439</v>
      </c>
      <c r="K3861" t="inlineStr">
        <is>
          <t>water</t>
        </is>
      </c>
      <c r="L3861" t="inlineStr">
        <is>
          <t>bottle</t>
        </is>
      </c>
    </row>
    <row r="3862" spans="1:23">
      <c r="A3862">
        <v>7</v>
      </c>
      <c r="B3862">
        <v>9</v>
      </c>
      <c r="C3862">
        <v>2024</v>
      </c>
      <c r="D3862" s="3" t="str">
        <f>B3862&amp;"/"&amp;A3862&amp;"/"&amp;C3862</f>
        <v>9/7/2024</v>
      </c>
      <c r="E3862">
        <v>1</v>
      </c>
      <c r="F3862" t="s">
        <f>I3862&amp;" "&amp;J3862&amp;" "&amp;K3862&amp;" "&amp;L3862&amp;" "&amp;M3862&amp;" "&amp;N3862</f>
        <v>3154</v>
      </c>
      <c r="G3862" t="s">
        <f>TEXT(D3862,"mmm dd")</f>
        <v>1381</v>
      </c>
      <c r="I3862" t="s">
        <v>1606</v>
      </c>
      <c r="J3862" t="s">
        <v>3078</v>
      </c>
    </row>
    <row r="3863" spans="1:23">
      <c r="A3863">
        <v>8</v>
      </c>
      <c r="B3863">
        <v>9</v>
      </c>
      <c r="C3863">
        <v>2024</v>
      </c>
      <c r="D3863" s="3" t="str">
        <f>B3863&amp;"/"&amp;A3863&amp;"/"&amp;C3863</f>
        <v>9/8/2024</v>
      </c>
      <c r="E3863">
        <v>0.625</v>
      </c>
      <c r="F3863" t="str">
        <f>I3863&amp;" "&amp;J3863&amp;" "&amp;K3863&amp;" "&amp;L3863&amp;" "&amp;M3863&amp;" "&amp;N3863</f>
        <v>Sunday Forum   Dale leads</v>
      </c>
      <c r="G3863" t="s">
        <f>TEXT(D3863,"mmm dd")</f>
        <v>2077</v>
      </c>
      <c r="I3863" t="s">
        <v>341</v>
      </c>
      <c r="J3863" t="s">
        <v>3168</v>
      </c>
      <c r="M3863" t="s">
        <v>1316</v>
      </c>
      <c r="N3863" t="inlineStr">
        <is>
          <t>leads</t>
        </is>
      </c>
    </row>
    <row r="3864" spans="1:23">
      <c r="A3864">
        <v>11</v>
      </c>
      <c r="B3864">
        <v>9</v>
      </c>
      <c r="C3864">
        <v>2024</v>
      </c>
      <c r="D3864" s="3" t="str">
        <f>B3864&amp;"/"&amp;A3864&amp;"/"&amp;C3864</f>
        <v>9/11/2024</v>
      </c>
      <c r="E3864">
        <v>0.85416666666666663</v>
      </c>
      <c r="F3864" t="str">
        <f>I3864&amp;" "&amp;J3864&amp;" "&amp;K3864&amp;" "&amp;L3864&amp;" "&amp;M3864&amp;" "&amp;N3864</f>
        <v>Folino checkup    </v>
      </c>
      <c r="G3864" t="s">
        <f>TEXT(D3864,"mmm dd")</f>
        <v>1383</v>
      </c>
      <c r="I3864" t="s">
        <v>3165</v>
      </c>
      <c r="J3864" t="s">
        <v>781</v>
      </c>
    </row>
    <row r="3865" spans="1:23">
      <c r="A3865">
        <v>12</v>
      </c>
      <c r="B3865">
        <v>9</v>
      </c>
      <c r="C3865">
        <v>2024</v>
      </c>
      <c r="D3865" s="3" t="str">
        <f>B3865&amp;"/"&amp;A3865&amp;"/"&amp;C3865</f>
        <v>9/12/2024</v>
      </c>
      <c r="E3865">
        <v>0.60416666666666663</v>
      </c>
      <c r="F3865" t="str">
        <f>I3865&amp;" "&amp;J3865&amp;" "&amp;K3865&amp;" "&amp;L3865&amp;" "&amp;M3865&amp;" "&amp;N3865</f>
        <v>Spiritual Direction Seminar   </v>
      </c>
      <c r="G3865" t="s">
        <f>TEXT(D3865,"mmm dd")</f>
        <v>1386</v>
      </c>
      <c r="I3865" t="s">
        <v>2063</v>
      </c>
      <c r="J3865" t="inlineStr">
        <is>
          <t>Direction</t>
        </is>
      </c>
      <c r="K3865" t="inlineStr">
        <is>
          <t>Seminar</t>
        </is>
      </c>
    </row>
    <row r="3866" spans="1:23">
      <c r="A3866">
        <v>16</v>
      </c>
      <c r="B3866">
        <v>9</v>
      </c>
      <c r="C3866">
        <v>2024</v>
      </c>
      <c r="D3866" s="3" t="str">
        <f>B3866&amp;"/"&amp;A3866&amp;"/"&amp;C3866</f>
        <v>9/16/2024</v>
      </c>
      <c r="E3866">
        <v>0.80208333333333337</v>
      </c>
      <c r="F3866" t="str">
        <f>I3866&amp;" "&amp;J3866&amp;" "&amp;K3866&amp;" "&amp;L3866&amp;" "&amp;M3866&amp;" "&amp;N3866</f>
        <v>Follow up Kalani   </v>
      </c>
      <c r="G3866" t="s">
        <f>TEXT(D3866,"mmm dd")</f>
        <v>870</v>
      </c>
      <c r="I3866" t="s">
        <v>2624</v>
      </c>
      <c r="J3866" t="s">
        <v>807</v>
      </c>
      <c r="K3866" t="s">
        <v>3172</v>
      </c>
      <c r="P3866" t="s">
        <v>1758</v>
      </c>
      <c r="Q3866" t="s">
        <v>1759</v>
      </c>
    </row>
    <row r="3867" spans="1:23">
      <c r="A3867">
        <v>17</v>
      </c>
      <c r="B3867">
        <v>9</v>
      </c>
      <c r="C3867">
        <v>2024</v>
      </c>
      <c r="D3867" s="3" t="str">
        <f>B3867&amp;"/"&amp;A3867&amp;"/"&amp;C3867</f>
        <v>9/17/2024</v>
      </c>
      <c r="E3867">
        <v>0.64583333333333337</v>
      </c>
      <c r="F3867" t="str">
        <f>I3867&amp;" "&amp;J3867&amp;" "&amp;K3867&amp;" "&amp;L3867&amp;" "&amp;M3867&amp;" "&amp;N3867</f>
        <v>O'Neil's tree service   </v>
      </c>
      <c r="G3867" t="s">
        <f>TEXT(D3867,"mmm dd")</f>
        <v>872</v>
      </c>
      <c r="I3867" t="inlineStr">
        <is>
          <t>O'Neil's</t>
        </is>
      </c>
      <c r="J3867" t="inlineStr">
        <is>
          <t>tree</t>
        </is>
      </c>
      <c r="K3867" t="s">
        <v>427</v>
      </c>
    </row>
    <row r="3868" spans="1:23">
      <c r="A3868">
        <v>21</v>
      </c>
      <c r="B3868">
        <v>9</v>
      </c>
      <c r="C3868">
        <v>2024</v>
      </c>
      <c r="D3868" s="3" t="str">
        <f>B3868&amp;"/"&amp;A3868&amp;"/"&amp;C3868</f>
        <v>9/21/2024</v>
      </c>
      <c r="E3868">
        <v>0.72916666666666663</v>
      </c>
      <c r="F3868" t="str">
        <f>I3868&amp;" "&amp;J3868&amp;" "&amp;K3868&amp;" "&amp;L3868&amp;" "&amp;M3868&amp;" "&amp;N3868</f>
        <v>Sound system meeting   </v>
      </c>
      <c r="G3868" t="s">
        <f>TEXT(D3868,"mmm dd")</f>
        <v>890</v>
      </c>
      <c r="I3868" t="inlineStr">
        <is>
          <t>Sound</t>
        </is>
      </c>
      <c r="J3868" t="inlineStr">
        <is>
          <t>system</t>
        </is>
      </c>
      <c r="K3868" t="s">
        <v>842</v>
      </c>
    </row>
    <row r="3869" spans="1:23">
      <c r="A3869">
        <v>23</v>
      </c>
      <c r="B3869">
        <v>9</v>
      </c>
      <c r="C3869">
        <v>2024</v>
      </c>
      <c r="D3869" s="3" t="s">
        <f>B3869&amp;"/"&amp;A3869&amp;"/"&amp;C3869</f>
        <v>3177</v>
      </c>
      <c r="E3869">
        <v>0.88541666666666663</v>
      </c>
      <c r="F3869" t="s">
        <f>I3869&amp;" "&amp;J3869&amp;" "&amp;K3869&amp;" "&amp;L3869&amp;" "&amp;M3869&amp;" "&amp;N3869</f>
        <v>2601</v>
      </c>
      <c r="G3869" t="s">
        <f>TEXT(D3869,"mmm dd")</f>
        <v>892</v>
      </c>
      <c r="I3869" t="s">
        <v>2602</v>
      </c>
    </row>
    <row r="3870" spans="1:23">
      <c r="A3870">
        <v>23</v>
      </c>
      <c r="B3870">
        <v>9</v>
      </c>
      <c r="C3870">
        <v>2024</v>
      </c>
      <c r="D3870" s="3" t="s">
        <f>B3870&amp;"/"&amp;A3870&amp;"/"&amp;C3870</f>
        <v>3177</v>
      </c>
      <c r="E3870">
        <v>0.91666666666666663</v>
      </c>
      <c r="F3870" t="s">
        <f>I3870&amp;" "&amp;J3870&amp;" "&amp;K3870&amp;" "&amp;L3870&amp;" "&amp;M3870&amp;" "&amp;N3870</f>
        <v>1628</v>
      </c>
      <c r="G3870" t="s">
        <f>TEXT(D3870,"mmm dd")</f>
        <v>892</v>
      </c>
      <c r="I3870" t="s">
        <v>1282</v>
      </c>
      <c r="J3870" t="s">
        <v>1283</v>
      </c>
      <c r="P3870" t="s">
        <v>1758</v>
      </c>
      <c r="Q3870" t="s">
        <v>1759</v>
      </c>
      <c r="R3870" t="s">
        <v>2688</v>
      </c>
      <c r="S3870" t="s">
        <v>2689</v>
      </c>
      <c r="T3870" t="s">
        <v>2600</v>
      </c>
    </row>
    <row r="3871" spans="1:23">
      <c r="A3871">
        <v>24</v>
      </c>
      <c r="B3871">
        <v>9</v>
      </c>
      <c r="C3871">
        <v>2024</v>
      </c>
      <c r="D3871" s="3" t="str">
        <f>B3871&amp;"/"&amp;A3871&amp;"/"&amp;C3871</f>
        <v>9/24/2024</v>
      </c>
      <c r="E3871">
        <v>0.625</v>
      </c>
      <c r="F3871" t="str">
        <f>I3871&amp;" "&amp;J3871&amp;" "&amp;K3871&amp;" "&amp;L3871&amp;" "&amp;M3871&amp;" "&amp;N3871</f>
        <v>Sunrise irrigation maintenance (2 per year)</v>
      </c>
      <c r="G3871" t="s">
        <f>TEXT(D3871,"mmm dd")</f>
        <v>2090</v>
      </c>
      <c r="I3871" t="s">
        <v>3142</v>
      </c>
      <c r="J3871" t="s">
        <v>3159</v>
      </c>
      <c r="K3871" t="inlineStr">
        <is>
          <t>maintenance</t>
        </is>
      </c>
      <c r="L3871" t="s">
        <v>2695</v>
      </c>
      <c r="M3871" t="inlineStr">
        <is>
          <t>per</t>
        </is>
      </c>
      <c r="N3871" t="inlineStr">
        <is>
          <t>year)</t>
        </is>
      </c>
    </row>
    <row r="3872" spans="1:23">
      <c r="A3872">
        <v>27</v>
      </c>
      <c r="B3872">
        <v>9</v>
      </c>
      <c r="C3872">
        <v>2024</v>
      </c>
      <c r="D3872" s="3" t="str">
        <f>B3872&amp;"/"&amp;A3872&amp;"/"&amp;C3872</f>
        <v>9/27/2024</v>
      </c>
      <c r="E3872">
        <v>0.77083333333333337</v>
      </c>
      <c r="F3872" t="s">
        <f>I3872&amp;" "&amp;J3872&amp;" "&amp;K3872&amp;" "&amp;L3872&amp;" "&amp;M3872&amp;" "&amp;N3872</f>
        <v>3171</v>
      </c>
      <c r="G3872" t="s">
        <f>TEXT(D3872,"mmm dd")</f>
        <v>901</v>
      </c>
      <c r="I3872" t="s">
        <v>2890</v>
      </c>
    </row>
    <row r="3873" spans="1:23">
      <c r="A3873">
        <v>16</v>
      </c>
      <c r="B3873">
        <v>10</v>
      </c>
      <c r="C3873">
        <v>2024</v>
      </c>
      <c r="D3873" s="3" t="str">
        <f>B3873&amp;"/"&amp;A3873&amp;"/"&amp;C3873</f>
        <v>10/16/2024</v>
      </c>
      <c r="E3873">
        <v>0.72916666666666663</v>
      </c>
      <c r="F3873" t="str">
        <f>I3873&amp;" "&amp;J3873&amp;" "&amp;K3873&amp;" "&amp;L3873&amp;" "&amp;M3873&amp;" "&amp;N3873</f>
        <v>Call Kalani\  Humphries  </v>
      </c>
      <c r="G3873" t="s">
        <f>TEXT(D3873,"mmm dd")</f>
        <v>1404</v>
      </c>
      <c r="I3873" t="s">
        <v>1028</v>
      </c>
      <c r="J3873" t="inlineStr">
        <is>
          <t>Kalani\</t>
        </is>
      </c>
      <c r="L3873" t="s">
        <v>3166</v>
      </c>
    </row>
    <row r="3874" spans="1:23">
      <c r="A3874">
        <v>17</v>
      </c>
      <c r="B3874">
        <v>10</v>
      </c>
      <c r="C3874">
        <v>2024</v>
      </c>
      <c r="D3874" s="3" t="str">
        <f>B3874&amp;"/"&amp;A3874&amp;"/"&amp;C3874</f>
        <v>10/17/2024</v>
      </c>
      <c r="E3874">
        <v>0.875</v>
      </c>
      <c r="F3874" t="str">
        <f>I3874&amp;" "&amp;J3874&amp;" "&amp;K3874&amp;" "&amp;L3874&amp;" "&amp;M3874&amp;" "&amp;N3874</f>
        <v>CPG Webinar    </v>
      </c>
      <c r="G3874" t="s">
        <f>TEXT(D3874,"mmm dd")</f>
        <v>949</v>
      </c>
      <c r="I3874" t="s">
        <v>2608</v>
      </c>
      <c r="J3874" t="s">
        <v>2956</v>
      </c>
    </row>
    <row r="3875" spans="1:23">
      <c r="A3875">
        <v>20</v>
      </c>
      <c r="B3875">
        <v>10</v>
      </c>
      <c r="C3875">
        <v>2024</v>
      </c>
      <c r="D3875" s="3" t="str">
        <f>B3875&amp;"/"&amp;A3875&amp;"/"&amp;C3875</f>
        <v>10/20/2024</v>
      </c>
      <c r="E3875">
        <v>0.52083333333333337</v>
      </c>
      <c r="F3875" t="s">
        <f>I3875&amp;" "&amp;J3875&amp;" "&amp;K3875&amp;" "&amp;L3875&amp;" "&amp;M3875&amp;" "&amp;N3875</f>
        <v>3178</v>
      </c>
      <c r="G3875" t="s">
        <f>TEXT(D3875,"mmm dd")</f>
        <v>1408</v>
      </c>
      <c r="I3875" t="s">
        <v>1273</v>
      </c>
      <c r="L3875" t="s">
        <v>1851</v>
      </c>
      <c r="M3875" t="s">
        <v>807</v>
      </c>
      <c r="N3875" t="s">
        <v>1773</v>
      </c>
    </row>
    <row r="3876" spans="1:23">
      <c r="A3876">
        <v>26</v>
      </c>
      <c r="B3876">
        <v>10</v>
      </c>
      <c r="C3876">
        <v>2024</v>
      </c>
      <c r="D3876" s="3" t="s">
        <f>B3876&amp;"/"&amp;A3876&amp;"/"&amp;C3876</f>
        <v>3179</v>
      </c>
      <c r="E3876">
        <v>1</v>
      </c>
      <c r="F3876" t="s">
        <f>I3876&amp;" "&amp;J3876&amp;" "&amp;K3876&amp;" "&amp;L3876&amp;" "&amp;M3876&amp;" "&amp;N3876</f>
        <v>3180</v>
      </c>
      <c r="G3876" t="s">
        <f>TEXT(D3876,"mmm dd")</f>
        <v>1633</v>
      </c>
      <c r="I3876" t="s">
        <v>1606</v>
      </c>
      <c r="J3876" t="s">
        <v>3104</v>
      </c>
    </row>
    <row r="3877" spans="1:23">
      <c r="A3877">
        <v>26</v>
      </c>
      <c r="B3877">
        <v>10</v>
      </c>
      <c r="C3877">
        <v>2024</v>
      </c>
      <c r="D3877" s="3" t="s">
        <f>B3877&amp;"/"&amp;A3877&amp;"/"&amp;C3877</f>
        <v>3179</v>
      </c>
      <c r="E3877">
        <v>0.61458333333333337</v>
      </c>
      <c r="F3877" t="str">
        <f>I3877&amp;" "&amp;J3877&amp;" "&amp;K3877&amp;" "&amp;L3877&amp;" "&amp;M3877&amp;" "&amp;N3877</f>
        <v>Help with greeting   </v>
      </c>
      <c r="G3877" t="s">
        <f>TEXT(D3877,"mmm dd")</f>
        <v>1633</v>
      </c>
      <c r="I3877" t="inlineStr">
        <is>
          <t>Help</t>
        </is>
      </c>
      <c r="J3877" t="s">
        <v>755</v>
      </c>
      <c r="K3877" t="inlineStr">
        <is>
          <t>greeting</t>
        </is>
      </c>
    </row>
    <row r="3878" spans="1:23">
      <c r="A3878">
        <v>27</v>
      </c>
      <c r="B3878">
        <v>10</v>
      </c>
      <c r="C3878">
        <v>2024</v>
      </c>
      <c r="D3878" s="3" t="str">
        <f>B3878&amp;"/"&amp;A3878&amp;"/"&amp;C3878</f>
        <v>10/27/2024</v>
      </c>
      <c r="E3878">
        <v>0.70833333333333337</v>
      </c>
      <c r="F3878" t="s">
        <f>I3878&amp;" "&amp;J3878&amp;" "&amp;K3878&amp;" "&amp;L3878&amp;" "&amp;M3878&amp;" "&amp;N3878</f>
        <v>3180</v>
      </c>
      <c r="G3878" t="s">
        <f>TEXT(D3878,"mmm dd")</f>
        <v>1781</v>
      </c>
      <c r="I3878" t="s">
        <v>1606</v>
      </c>
      <c r="J3878" t="s">
        <v>3104</v>
      </c>
    </row>
    <row r="3879" spans="1:23">
      <c r="A3879">
        <v>28</v>
      </c>
      <c r="B3879">
        <v>10</v>
      </c>
      <c r="C3879">
        <v>2024</v>
      </c>
      <c r="D3879" s="3" t="str">
        <f>B3879&amp;"/"&amp;A3879&amp;"/"&amp;C3879</f>
        <v>10/28/2024</v>
      </c>
      <c r="E3879">
        <v>0.91666666666666663</v>
      </c>
      <c r="F3879" t="str">
        <f>I3879&amp;" "&amp;J3879&amp;" "&amp;K3879&amp;" "&amp;L3879&amp;" "&amp;M3879&amp;" "&amp;N3879</f>
        <v>Meet Lou    </v>
      </c>
      <c r="G3879" t="s">
        <f>TEXT(D3879,"mmm dd")</f>
        <v>959</v>
      </c>
      <c r="I3879" t="s">
        <v>300</v>
      </c>
      <c r="J3879" t="s">
        <v>3181</v>
      </c>
    </row>
    <row r="3880" spans="1:23">
      <c r="A3880">
        <v>29</v>
      </c>
      <c r="B3880">
        <v>10</v>
      </c>
      <c r="C3880">
        <v>2024</v>
      </c>
      <c r="D3880" s="3" t="str">
        <f>B3880&amp;"/"&amp;A3880&amp;"/"&amp;C3880</f>
        <v>10/29/2024</v>
      </c>
      <c r="E3880">
        <v>0.875</v>
      </c>
      <c r="F3880" t="str">
        <f>I3880&amp;" "&amp;J3880&amp;" "&amp;K3880&amp;" "&amp;L3880&amp;" "&amp;M3880&amp;" "&amp;N3880</f>
        <v>Mease life    </v>
      </c>
      <c r="G3880" t="s">
        <f>TEXT(D3880,"mmm dd")</f>
        <v>962</v>
      </c>
      <c r="I3880" t="inlineStr">
        <is>
          <t>Mease</t>
        </is>
      </c>
      <c r="J3880" t="s">
        <v>1632</v>
      </c>
    </row>
    <row r="3881" spans="1:23">
      <c r="A3881">
        <v>1</v>
      </c>
      <c r="B3881">
        <v>11</v>
      </c>
      <c r="C3881">
        <v>2024</v>
      </c>
      <c r="D3881" s="3" t="str">
        <f>B3881&amp;"/"&amp;A3881&amp;"/"&amp;C3881</f>
        <v>11/1/2024</v>
      </c>
      <c r="E3881">
        <v>0.72916666666666663</v>
      </c>
      <c r="F3881" t="s">
        <f>I3881&amp;" "&amp;J3881&amp;" "&amp;K3881&amp;" "&amp;L3881&amp;" "&amp;M3881&amp;" "&amp;N3881</f>
        <v>3171</v>
      </c>
      <c r="G3881" t="s">
        <f>TEXT(D3881,"mmm dd")</f>
        <v>978</v>
      </c>
      <c r="I3881" t="s">
        <v>2890</v>
      </c>
    </row>
    <row r="3882" spans="1:23">
      <c r="A3882">
        <v>2</v>
      </c>
      <c r="B3882">
        <v>11</v>
      </c>
      <c r="C3882">
        <v>2024</v>
      </c>
      <c r="D3882" s="3" t="str">
        <f>B3882&amp;"/"&amp;A3882&amp;"/"&amp;C3882</f>
        <v>11/2/2024</v>
      </c>
      <c r="E3882">
        <v>0.75</v>
      </c>
      <c r="F3882" t="str">
        <f>I3882&amp;" "&amp;J3882&amp;" "&amp;K3882&amp;" "&amp;L3882&amp;" "&amp;M3882&amp;" "&amp;N3882</f>
        <v>Investiture of Presiding Bishop  </v>
      </c>
      <c r="G3882" t="s">
        <f>TEXT(D3882,"mmm dd")</f>
        <v>32</v>
      </c>
      <c r="I3882" t="inlineStr">
        <is>
          <t>Investiture</t>
        </is>
      </c>
      <c r="J3882" t="s">
        <v>86</v>
      </c>
      <c r="K3882" t="inlineStr">
        <is>
          <t>Presiding</t>
        </is>
      </c>
      <c r="L3882" t="s">
        <v>85</v>
      </c>
    </row>
    <row r="3883" spans="1:23">
      <c r="A3883">
        <v>4</v>
      </c>
      <c r="B3883">
        <v>11</v>
      </c>
      <c r="C3883">
        <v>2024</v>
      </c>
      <c r="D3883" s="3" t="str">
        <f>B3883&amp;"/"&amp;A3883&amp;"/"&amp;C3883</f>
        <v>11/4/2024</v>
      </c>
      <c r="E3883">
        <v>0.97916666666666663</v>
      </c>
      <c r="F3883" t="str">
        <f>I3883&amp;" "&amp;J3883&amp;" "&amp;K3883&amp;" "&amp;L3883&amp;" "&amp;M3883&amp;" "&amp;N3883</f>
        <v>Basil dh    </v>
      </c>
      <c r="G3883" t="s">
        <f>TEXT(D3883,"mmm dd")</f>
        <v>34</v>
      </c>
      <c r="I3883" t="s">
        <v>528</v>
      </c>
      <c r="J3883" t="inlineStr">
        <is>
          <t>dh</t>
        </is>
      </c>
    </row>
    <row r="3884" spans="1:23">
      <c r="A3884">
        <v>5</v>
      </c>
      <c r="B3884">
        <v>11</v>
      </c>
      <c r="C3884">
        <v>2024</v>
      </c>
      <c r="D3884" s="3" t="str">
        <f>B3884&amp;"/"&amp;A3884&amp;"/"&amp;C3884</f>
        <v>11/5/2024</v>
      </c>
      <c r="E3884">
        <v>0.125</v>
      </c>
      <c r="F3884" t="str">
        <f>I3884&amp;" "&amp;J3884&amp;" "&amp;K3884&amp;" "&amp;L3884&amp;" "&amp;M3884&amp;" "&amp;N3884</f>
        <v>Prayer Vigil   pick up</v>
      </c>
      <c r="G3884" t="s">
        <f>TEXT(D3884,"mmm dd")</f>
        <v>35</v>
      </c>
      <c r="I3884" t="s">
        <v>1283</v>
      </c>
      <c r="J3884" t="s">
        <v>2511</v>
      </c>
      <c r="M3884" t="s">
        <v>1851</v>
      </c>
      <c r="N3884" t="s">
        <v>807</v>
      </c>
    </row>
    <row r="3885" spans="1:23">
      <c r="A3885">
        <v>9</v>
      </c>
      <c r="B3885">
        <v>11</v>
      </c>
      <c r="C3885">
        <v>2024</v>
      </c>
      <c r="D3885" s="3" t="str">
        <f>B3885&amp;"/"&amp;A3885&amp;"/"&amp;C3885</f>
        <v>11/9/2024</v>
      </c>
      <c r="E3885">
        <v>1.0416666666666667</v>
      </c>
      <c r="F3885" t="s">
        <f>I3885&amp;" "&amp;J3885&amp;" "&amp;K3885&amp;" "&amp;L3885&amp;" "&amp;M3885&amp;" "&amp;N3885</f>
        <v>3161</v>
      </c>
      <c r="G3885" t="s">
        <f>TEXT(D3885,"mmm dd")</f>
        <v>1421</v>
      </c>
      <c r="I3885" t="s">
        <v>1606</v>
      </c>
      <c r="J3885" t="s">
        <v>2441</v>
      </c>
    </row>
    <row r="3886" spans="1:23">
      <c r="A3886">
        <v>10</v>
      </c>
      <c r="B3886">
        <v>11</v>
      </c>
      <c r="C3886">
        <v>2024</v>
      </c>
      <c r="D3886" s="3" t="str">
        <f>B3886&amp;"/"&amp;A3886&amp;"/"&amp;C3886</f>
        <v>11/10/2024</v>
      </c>
      <c r="E3886">
        <v>0.75</v>
      </c>
      <c r="F3886" t="s">
        <f>I3886&amp;" "&amp;J3886&amp;" "&amp;K3886&amp;" "&amp;L3886&amp;" "&amp;M3886&amp;" "&amp;N3886</f>
        <v>3161</v>
      </c>
      <c r="G3886" t="s">
        <f>TEXT(D3886,"mmm dd")</f>
        <v>983</v>
      </c>
      <c r="I3886" t="s">
        <v>1606</v>
      </c>
      <c r="J3886" t="s">
        <v>2441</v>
      </c>
    </row>
    <row r="3887" spans="1:23">
      <c r="A3887">
        <v>12</v>
      </c>
      <c r="B3887">
        <v>11</v>
      </c>
      <c r="C3887">
        <v>2024</v>
      </c>
      <c r="D3887" s="3" t="str">
        <f>B3887&amp;"/"&amp;A3887&amp;"/"&amp;C3887</f>
        <v>11/12/2024</v>
      </c>
      <c r="E3887">
        <v>0.77083333333333337</v>
      </c>
      <c r="F3887" t="s">
        <f>I3887&amp;" "&amp;J3887&amp;" "&amp;K3887&amp;" "&amp;L3887&amp;" "&amp;M3887&amp;" "&amp;N3887</f>
        <v>3057</v>
      </c>
      <c r="G3887" t="s">
        <f>TEXT(D3887,"mmm dd")</f>
        <v>993</v>
      </c>
      <c r="I3887" t="s">
        <v>3053</v>
      </c>
      <c r="J3887" t="s">
        <v>3058</v>
      </c>
    </row>
    <row r="3888" spans="1:23">
      <c r="A3888">
        <v>13</v>
      </c>
      <c r="B3888">
        <v>11</v>
      </c>
      <c r="C3888">
        <v>2024</v>
      </c>
      <c r="D3888" s="3" t="str">
        <f>B3888&amp;"/"&amp;A3888&amp;"/"&amp;C3888</f>
        <v>11/13/2024</v>
      </c>
      <c r="E3888">
        <v>0.75</v>
      </c>
      <c r="F3888" t="str">
        <f>I3888&amp;" "&amp;J3888&amp;" "&amp;K3888&amp;" "&amp;L3888&amp;" "&amp;M3888&amp;" "&amp;N3888</f>
        <v>MaryPat Sjostrom   Strategic Review</v>
      </c>
      <c r="G3888" t="s">
        <f>TEXT(D3888,"mmm dd")</f>
        <v>37</v>
      </c>
      <c r="I3888" t="inlineStr">
        <is>
          <t>MaryPat</t>
        </is>
      </c>
      <c r="J3888" t="s">
        <v>2106</v>
      </c>
      <c r="M3888" t="s">
        <v>3120</v>
      </c>
      <c r="N3888" t="s">
        <v>2265</v>
      </c>
    </row>
    <row r="3889" spans="1:23">
      <c r="A3889">
        <v>24</v>
      </c>
      <c r="B3889">
        <v>11</v>
      </c>
      <c r="C3889">
        <v>2024</v>
      </c>
      <c r="D3889" s="3" t="s">
        <f>B3889&amp;"/"&amp;A3889&amp;"/"&amp;C3889</f>
        <v>3182</v>
      </c>
      <c r="E3889">
        <v>0.53125</v>
      </c>
      <c r="F3889" t="s">
        <f>I3889&amp;" "&amp;J3889&amp;" "&amp;K3889&amp;" "&amp;L3889&amp;" "&amp;M3889&amp;" "&amp;N3889</f>
        <v>1840</v>
      </c>
      <c r="G3889" t="s">
        <f>TEXT(D3889,"mmm dd")</f>
        <v>1039</v>
      </c>
      <c r="I3889" t="s">
        <v>1273</v>
      </c>
      <c r="O3889" t="inlineStr">
        <is>
          <t>Elaine</t>
        </is>
      </c>
    </row>
    <row r="3890" spans="1:23">
      <c r="A3890">
        <v>24</v>
      </c>
      <c r="B3890">
        <v>11</v>
      </c>
      <c r="C3890">
        <v>2024</v>
      </c>
      <c r="D3890" s="3" t="s">
        <f>B3890&amp;"/"&amp;A3890&amp;"/"&amp;C3890</f>
        <v>3182</v>
      </c>
      <c r="E3890">
        <v>0.625</v>
      </c>
      <c r="F3890" t="str">
        <f>I3890&amp;" "&amp;J3890&amp;" "&amp;K3890&amp;" "&amp;L3890&amp;" "&amp;M3890&amp;" "&amp;N3890</f>
        <v>Sunday Forum Dale &amp; MP lead</v>
      </c>
      <c r="G3890" t="s">
        <f>TEXT(D3890,"mmm dd")</f>
        <v>1039</v>
      </c>
      <c r="I3890" t="s">
        <v>341</v>
      </c>
      <c r="J3890" t="s">
        <v>3168</v>
      </c>
      <c r="K3890" t="s">
        <v>1316</v>
      </c>
      <c r="L3890" t="s">
        <v>73</v>
      </c>
      <c r="M3890" t="s">
        <v>1664</v>
      </c>
      <c r="N3890" t="inlineStr">
        <is>
          <t>lead</t>
        </is>
      </c>
    </row>
    <row r="3891" spans="1:23">
      <c r="A3891">
        <v>25</v>
      </c>
      <c r="B3891">
        <v>11</v>
      </c>
      <c r="C3891">
        <v>2024</v>
      </c>
      <c r="D3891" s="3" t="s">
        <f>B3891&amp;"/"&amp;A3891&amp;"/"&amp;C3891</f>
        <v>3183</v>
      </c>
      <c r="E3891">
        <v>0.89583333333333337</v>
      </c>
      <c r="F3891" t="str">
        <f>I3891&amp;" "&amp;J3891&amp;" "&amp;K3891&amp;" "&amp;L3891&amp;" "&amp;M3891&amp;" "&amp;N3891</f>
        <v>Lokey servicing    </v>
      </c>
      <c r="G3891" t="s">
        <f>TEXT(D3891,"mmm dd")</f>
        <v>1433</v>
      </c>
      <c r="I3891" t="s">
        <v>3041</v>
      </c>
      <c r="J3891" t="s">
        <v>3021</v>
      </c>
    </row>
    <row r="3892" spans="1:23">
      <c r="A3892">
        <v>25</v>
      </c>
      <c r="B3892">
        <v>11</v>
      </c>
      <c r="C3892">
        <v>2024</v>
      </c>
      <c r="D3892" s="3" t="s">
        <f>B3892&amp;"/"&amp;A3892&amp;"/"&amp;C3892</f>
        <v>3183</v>
      </c>
      <c r="E3892">
        <v>0.89583333333333337</v>
      </c>
      <c r="F3892" t="s">
        <f>I3892&amp;" "&amp;J3892&amp;" "&amp;K3892&amp;" "&amp;L3892&amp;" "&amp;M3892&amp;" "&amp;N3892</f>
        <v>3136</v>
      </c>
      <c r="G3892" t="s">
        <f>TEXT(D3892,"mmm dd")</f>
        <v>1433</v>
      </c>
      <c r="I3892" t="s">
        <v>2419</v>
      </c>
      <c r="J3892" t="s">
        <v>53</v>
      </c>
      <c r="K3892" t="s">
        <v>3137</v>
      </c>
      <c r="L3892" t="s">
        <v>2708</v>
      </c>
    </row>
    <row r="3893" spans="1:23">
      <c r="A3893">
        <v>27</v>
      </c>
      <c r="B3893">
        <v>11</v>
      </c>
      <c r="C3893">
        <v>2024</v>
      </c>
      <c r="D3893" s="3" t="str">
        <f>B3893&amp;"/"&amp;A3893&amp;"/"&amp;C3893</f>
        <v>11/27/2024</v>
      </c>
      <c r="E3893">
        <v>0.78125</v>
      </c>
      <c r="F3893" t="str">
        <f>I3893&amp;" "&amp;J3893&amp;" "&amp;K3893&amp;" "&amp;L3893&amp;" "&amp;M3893&amp;" "&amp;N3893</f>
        <v>Humphrey's follow up appointment  </v>
      </c>
      <c r="G3893" t="s">
        <f>TEXT(D3893,"mmm dd")</f>
        <v>1045</v>
      </c>
      <c r="I3893" t="inlineStr">
        <is>
          <t>Humphrey's</t>
        </is>
      </c>
      <c r="J3893" t="s">
        <v>2054</v>
      </c>
      <c r="K3893" t="s">
        <v>807</v>
      </c>
      <c r="L3893" t="s">
        <v>648</v>
      </c>
    </row>
    <row r="3894" spans="1:23">
      <c r="A3894">
        <v>28</v>
      </c>
      <c r="B3894">
        <v>11</v>
      </c>
      <c r="C3894">
        <v>2024</v>
      </c>
      <c r="D3894" s="3" t="s">
        <f>B3894&amp;"/"&amp;A3894&amp;"/"&amp;C3894</f>
        <v>3184</v>
      </c>
      <c r="E3894">
        <v>0.72222222222222221</v>
      </c>
      <c r="F3894" t="s">
        <f>I3894&amp;" "&amp;J3894&amp;" "&amp;K3894&amp;" "&amp;L3894&amp;" "&amp;M3894&amp;" "&amp;N3894</f>
        <v>3178</v>
      </c>
      <c r="G3894" t="s">
        <f>TEXT(D3894,"mmm dd")</f>
        <v>1435</v>
      </c>
      <c r="I3894" t="s">
        <v>1273</v>
      </c>
      <c r="L3894" t="s">
        <v>1851</v>
      </c>
      <c r="M3894" t="s">
        <v>807</v>
      </c>
      <c r="N3894" t="s">
        <v>1773</v>
      </c>
    </row>
    <row r="3895" spans="1:23">
      <c r="A3895">
        <v>28</v>
      </c>
      <c r="B3895">
        <v>11</v>
      </c>
      <c r="C3895">
        <v>2024</v>
      </c>
      <c r="D3895" s="3" t="s">
        <f>B3895&amp;"/"&amp;A3895&amp;"/"&amp;C3895</f>
        <v>3184</v>
      </c>
      <c r="E3895">
        <v>0.75</v>
      </c>
      <c r="F3895" t="s">
        <f>I3895&amp;" "&amp;J3895&amp;" "&amp;K3895&amp;" "&amp;L3895&amp;" "&amp;M3895&amp;" "&amp;N3895</f>
        <v>68</v>
      </c>
      <c r="G3895" t="s">
        <f>TEXT(D3895,"mmm dd")</f>
        <v>1435</v>
      </c>
      <c r="H3895" t="s">
        <f>TEXT(E3895,"h:mm AM/PM")</f>
        <v>3185</v>
      </c>
      <c r="I3895" t="s">
        <v>69</v>
      </c>
      <c r="P3895" t="str">
        <f>"REM "&amp;G3895&amp;" +2 MSG "&amp;F3895&amp;"AT "&amp;H3895&amp;" %b%"</f>
        <v>REM Nov 28 +2 MSG Eucharist     AT 6:00 PM %b%</v>
      </c>
    </row>
    <row r="3896" spans="1:23">
      <c r="A3896">
        <v>6</v>
      </c>
      <c r="B3896">
        <v>12</v>
      </c>
      <c r="C3896">
        <v>2024</v>
      </c>
      <c r="D3896" s="3" t="str">
        <f>B3896&amp;"/"&amp;A3896&amp;"/"&amp;C3896</f>
        <v>12/6/2024</v>
      </c>
      <c r="E3896">
        <v>0.77083333333333337</v>
      </c>
      <c r="F3896" t="str">
        <f>I3896&amp;" "&amp;J3896&amp;" "&amp;K3896&amp;" "&amp;L3896&amp;" "&amp;M3896&amp;" "&amp;N3896</f>
        <v>Linda session    </v>
      </c>
      <c r="G3896" t="s">
        <f>TEXT(D3896,"mmm dd")</f>
        <v>1445</v>
      </c>
      <c r="H3896" t="s">
        <f>TEXT(E3896,"h:mm AM/PM")</f>
        <v>3186</v>
      </c>
      <c r="I3896" t="s">
        <v>2890</v>
      </c>
      <c r="J3896" t="s">
        <v>2845</v>
      </c>
      <c r="P3896" t="str">
        <f>"REM "&amp;G3896&amp;" +2 MSG "&amp;F3896&amp;"AT "&amp;H3896&amp;" %b%"</f>
        <v>REM Dec 06 +2 MSG Linda session    AT 6:30 PM %b%</v>
      </c>
    </row>
    <row r="3897" spans="1:23">
      <c r="A3897">
        <v>7</v>
      </c>
      <c r="B3897">
        <v>12</v>
      </c>
      <c r="C3897">
        <v>2024</v>
      </c>
      <c r="D3897" s="3" t="str">
        <f>B3897&amp;"/"&amp;A3897&amp;"/"&amp;C3897</f>
        <v>12/7/2024</v>
      </c>
      <c r="E3897">
        <v>1.0416666666666667</v>
      </c>
      <c r="F3897" t="s">
        <f>I3897&amp;" "&amp;J3897&amp;" "&amp;K3897&amp;" "&amp;L3897&amp;" "&amp;M3897&amp;" "&amp;N3897</f>
        <v>3154</v>
      </c>
      <c r="G3897" t="s">
        <f>TEXT(D3897,"mmm dd")</f>
        <v>1447</v>
      </c>
      <c r="H3897" t="str">
        <f>TEXT(E3897,"h:mm AM/PM")</f>
        <v>1:00 AM</v>
      </c>
      <c r="I3897" t="s">
        <v>1606</v>
      </c>
      <c r="J3897" t="s">
        <v>3078</v>
      </c>
      <c r="P3897" t="str">
        <f>"REM "&amp;G3897&amp;" +2 MSG "&amp;F3897&amp;"AT "&amp;H3897&amp;" %b%"</f>
        <v>REM Dec 07 +2 MSG DH Celebrate    AT 1:00 AM %b%</v>
      </c>
    </row>
    <row r="3898" spans="1:23">
      <c r="A3898">
        <v>8</v>
      </c>
      <c r="B3898">
        <v>12</v>
      </c>
      <c r="C3898">
        <v>2024</v>
      </c>
      <c r="D3898" s="3" t="str">
        <f>B3898&amp;"/"&amp;A3898&amp;"/"&amp;C3898</f>
        <v>12/8/2024</v>
      </c>
      <c r="E3898">
        <v>0.75</v>
      </c>
      <c r="F3898" t="s">
        <f>I3898&amp;" "&amp;J3898&amp;" "&amp;K3898&amp;" "&amp;L3898&amp;" "&amp;M3898&amp;" "&amp;N3898</f>
        <v>3154</v>
      </c>
      <c r="G3898" t="s">
        <f>TEXT(D3898,"mmm dd")</f>
        <v>2154</v>
      </c>
      <c r="H3898" t="s">
        <f>TEXT(E3898,"h:mm AM/PM")</f>
        <v>3185</v>
      </c>
      <c r="I3898" t="s">
        <v>1606</v>
      </c>
      <c r="J3898" t="s">
        <v>3078</v>
      </c>
      <c r="P3898" t="str">
        <f>"REM "&amp;G3898&amp;" +2 MSG "&amp;F3898&amp;"AT "&amp;H3898&amp;" %b%"</f>
        <v>REM Dec 08 +2 MSG DH Celebrate    AT 6:00 PM %b%</v>
      </c>
    </row>
    <row r="3899" spans="1:23">
      <c r="A3899">
        <v>9</v>
      </c>
      <c r="B3899">
        <v>12</v>
      </c>
      <c r="C3899">
        <v>2024</v>
      </c>
      <c r="D3899" s="3" t="str">
        <f>B3899&amp;"/"&amp;A3899&amp;"/"&amp;C3899</f>
        <v>12/9/2024</v>
      </c>
      <c r="E3899">
        <v>0.79166666666666663</v>
      </c>
      <c r="F3899" t="str">
        <f>I3899&amp;" "&amp;J3899&amp;" "&amp;K3899&amp;" "&amp;L3899&amp;" "&amp;M3899&amp;" "&amp;N3899</f>
        <v>Lou at our house  </v>
      </c>
      <c r="G3899" t="s">
        <f>TEXT(D3899,"mmm dd")</f>
        <v>1064</v>
      </c>
      <c r="H3899" t="s">
        <f>TEXT(E3899,"h:mm AM/PM")</f>
        <v>3187</v>
      </c>
      <c r="I3899" t="s">
        <v>3181</v>
      </c>
      <c r="J3899" t="s">
        <v>53</v>
      </c>
      <c r="K3899" t="s">
        <v>2339</v>
      </c>
      <c r="L3899" t="s">
        <v>726</v>
      </c>
      <c r="P3899" t="str">
        <f>"REM "&amp;G3899&amp;" +2 MSG "&amp;F3899&amp;"AT "&amp;H3899&amp;" %b%"</f>
        <v>REM Dec 09 +2 MSG Lou at our house  AT 7:00 PM %b%</v>
      </c>
    </row>
    <row r="3900" spans="1:23">
      <c r="A3900">
        <v>10</v>
      </c>
      <c r="B3900">
        <v>12</v>
      </c>
      <c r="C3900">
        <v>2024</v>
      </c>
      <c r="D3900" s="3" t="s">
        <f>B3900&amp;"/"&amp;A3900&amp;"/"&amp;C3900</f>
        <v>3188</v>
      </c>
      <c r="E3900">
        <v>0.89583333333333337</v>
      </c>
      <c r="F3900" t="str">
        <f>I3900&amp;" "&amp;J3900&amp;" "&amp;K3900&amp;" "&amp;L3900&amp;" "&amp;M3900&amp;" "&amp;N3900</f>
        <v>Karen add    </v>
      </c>
      <c r="G3900" t="s">
        <f>TEXT(D3900,"mmm dd")</f>
        <v>1452</v>
      </c>
      <c r="H3900" t="str">
        <f>TEXT(E3900,"h:mm AM/PM")</f>
        <v>9:30 PM</v>
      </c>
      <c r="I3900" t="s">
        <v>3189</v>
      </c>
      <c r="J3900" t="inlineStr">
        <is>
          <t>add</t>
        </is>
      </c>
      <c r="P3900" t="str">
        <f>"REM "&amp;G3900&amp;" +2 MSG "&amp;F3900&amp;"AT "&amp;H3900&amp;" %b%"</f>
        <v>REM Dec 10 +2 MSG Karen add    AT 9:30 PM %b%</v>
      </c>
    </row>
    <row r="3901" spans="1:23">
      <c r="A3901">
        <v>10</v>
      </c>
      <c r="B3901">
        <v>12</v>
      </c>
      <c r="C3901">
        <v>2024</v>
      </c>
      <c r="D3901" s="3" t="s">
        <f>B3901&amp;"/"&amp;A3901&amp;"/"&amp;C3901</f>
        <v>3188</v>
      </c>
      <c r="E3901">
        <v>0.13541666666666666</v>
      </c>
      <c r="F3901" t="str">
        <f>I3901&amp;" "&amp;J3901&amp;" "&amp;K3901&amp;" "&amp;L3901&amp;" "&amp;M3901&amp;" "&amp;N3901</f>
        <v>Reservation at Acqua Alta Ristorante </v>
      </c>
      <c r="G3901" t="s">
        <f>TEXT(D3901,"mmm dd")</f>
        <v>1452</v>
      </c>
      <c r="H3901" t="str">
        <f>TEXT(E3901,"h:mm AM/PM")</f>
        <v>3:15 AM</v>
      </c>
      <c r="I3901" t="s">
        <v>2785</v>
      </c>
      <c r="J3901" t="s">
        <v>53</v>
      </c>
      <c r="K3901" t="inlineStr">
        <is>
          <t>Acqua</t>
        </is>
      </c>
      <c r="L3901" t="inlineStr">
        <is>
          <t>Alta</t>
        </is>
      </c>
      <c r="M3901" t="inlineStr">
        <is>
          <t>Ristorante</t>
        </is>
      </c>
      <c r="P3901" t="str">
        <f>"REM "&amp;G3901&amp;" +2 MSG "&amp;F3901&amp;"AT "&amp;H3901&amp;" %b%"</f>
        <v>REM Dec 10 +2 MSG Reservation at Acqua Alta Ristorante AT 3:15 AM %b%</v>
      </c>
    </row>
    <row r="3902" spans="1:23">
      <c r="A3902">
        <v>17</v>
      </c>
      <c r="B3902">
        <v>12</v>
      </c>
      <c r="C3902">
        <v>2024</v>
      </c>
      <c r="D3902" s="3" t="str">
        <f>B3902&amp;"/"&amp;A3902&amp;"/"&amp;C3902</f>
        <v>12/17/2024</v>
      </c>
      <c r="E3902">
        <v>0.85416666666666663</v>
      </c>
      <c r="F3902" t="str">
        <f>I3902&amp;" "&amp;J3902&amp;" "&amp;K3902&amp;" "&amp;L3902&amp;" "&amp;M3902&amp;" "&amp;N3902</f>
        <v>Clergy luncheon (spouses)   </v>
      </c>
      <c r="G3902" t="s">
        <f>TEXT(D3902,"mmm dd")</f>
        <v>1097</v>
      </c>
      <c r="H3902" t="str">
        <f>TEXT(E3902,"h:mm AM/PM")</f>
        <v>8:30 PM</v>
      </c>
      <c r="I3902" t="s">
        <v>46</v>
      </c>
      <c r="J3902" t="s">
        <v>1014</v>
      </c>
      <c r="K3902" t="inlineStr">
        <is>
          <t>(spouses)</t>
        </is>
      </c>
      <c r="P3902" t="str">
        <f>"REM "&amp;G3902&amp;" +2 MSG "&amp;F3902&amp;"AT "&amp;H3902&amp;" %b%"</f>
        <v>REM Dec 17 +2 MSG Clergy luncheon (spouses)   AT 8:30 PM %b%</v>
      </c>
    </row>
    <row r="3903" spans="1:23">
      <c r="A3903">
        <v>19</v>
      </c>
      <c r="B3903">
        <v>12</v>
      </c>
      <c r="C3903">
        <v>2024</v>
      </c>
      <c r="D3903" s="3" t="str">
        <f>B3903&amp;"/"&amp;A3903&amp;"/"&amp;C3903</f>
        <v>12/19/2024</v>
      </c>
      <c r="E3903">
        <v>0.71875</v>
      </c>
      <c r="F3903" t="str">
        <f>I3903&amp;" "&amp;J3903&amp;" "&amp;K3903&amp;" "&amp;L3903&amp;" "&amp;M3903&amp;" "&amp;N3903</f>
        <v>Dr. Aaron Davis   </v>
      </c>
      <c r="G3903" t="s">
        <f>TEXT(D3903,"mmm dd")</f>
        <v>1114</v>
      </c>
      <c r="H3903" t="str">
        <f>TEXT(E3903,"h:mm AM/PM")</f>
        <v>5:15 PM</v>
      </c>
      <c r="I3903" t="s">
        <v>847</v>
      </c>
      <c r="J3903" t="s">
        <v>2757</v>
      </c>
      <c r="K3903" t="s">
        <v>3127</v>
      </c>
      <c r="P3903" t="str">
        <f>"REM "&amp;G3903&amp;" +2 MSG "&amp;F3903&amp;"AT "&amp;H3903&amp;" %b%"</f>
        <v>REM Dec 19 +2 MSG Dr. Aaron Davis   AT 5:15 PM %b%</v>
      </c>
    </row>
    <row r="3904" spans="1:23">
      <c r="A3904">
        <v>9</v>
      </c>
      <c r="B3904">
        <v>1</v>
      </c>
      <c r="C3904">
        <v>2025</v>
      </c>
      <c r="D3904" s="3" t="str">
        <f>B3904&amp;"/"&amp;A3904&amp;"/"&amp;C3904</f>
        <v>1/9/2025</v>
      </c>
      <c r="E3904">
        <v>0.60416666666666663</v>
      </c>
      <c r="F3904" t="str">
        <f>I3904&amp;" "&amp;J3904&amp;" "&amp;K3904&amp;" "&amp;L3904&amp;" "&amp;M3904&amp;" "&amp;N3904</f>
        <v>SD Module 2   </v>
      </c>
      <c r="G3904" t="s">
        <f>TEXT(D3904,"mmm dd")</f>
        <v>1476</v>
      </c>
      <c r="H3904" t="str">
        <f>TEXT(E3904,"h:mm AM/PM")</f>
        <v>2:30 PM</v>
      </c>
      <c r="I3904" t="s">
        <v>3190</v>
      </c>
      <c r="J3904" t="s">
        <v>1371</v>
      </c>
      <c r="K3904">
        <v>2</v>
      </c>
      <c r="P3904" t="str">
        <f>"REM "&amp;G3904&amp;" +2 MSG "&amp;F3904&amp;"AT "&amp;H3904&amp;" %b%"</f>
        <v>REM Jan 09 +2 MSG SD Module 2   AT 2:30 PM %b%</v>
      </c>
    </row>
    <row r="3905" spans="1:23">
      <c r="A3905">
        <v>14</v>
      </c>
      <c r="B3905">
        <v>1</v>
      </c>
      <c r="C3905">
        <v>2025</v>
      </c>
      <c r="D3905" s="3" t="str">
        <f>B3905&amp;"/"&amp;A3905&amp;"/"&amp;C3905</f>
        <v>1/14/2025</v>
      </c>
      <c r="E3905">
        <v>0.83333333333333337</v>
      </c>
      <c r="F3905" t="str">
        <f>I3905&amp;" "&amp;J3905&amp;" "&amp;K3905&amp;" "&amp;L3905&amp;" "&amp;M3905&amp;" "&amp;N3905</f>
        <v>Retired clergy &amp; spouses lunch </v>
      </c>
      <c r="G3905" t="s">
        <f>TEXT(D3905,"mmm dd")</f>
        <v>1166</v>
      </c>
      <c r="H3905" t="str">
        <f>TEXT(E3905,"h:mm AM/PM")</f>
        <v>8:00 PM</v>
      </c>
      <c r="I3905" t="s">
        <v>2250</v>
      </c>
      <c r="J3905" t="s">
        <v>2426</v>
      </c>
      <c r="K3905" t="s">
        <v>73</v>
      </c>
      <c r="L3905" t="inlineStr">
        <is>
          <t>spouses</t>
        </is>
      </c>
      <c r="M3905" t="s">
        <v>440</v>
      </c>
      <c r="P3905" t="str">
        <f>"REM "&amp;G3905&amp;" +2 MSG "&amp;F3905&amp;"AT "&amp;H3905&amp;" %b%"</f>
        <v>REM Jan 14 +2 MSG Retired clergy &amp; spouses lunch AT 8:00 PM %b%</v>
      </c>
    </row>
    <row r="3906" spans="1:23">
      <c r="A3906">
        <v>15</v>
      </c>
      <c r="B3906">
        <v>1</v>
      </c>
      <c r="C3906">
        <v>2025</v>
      </c>
      <c r="D3906" s="3" t="str">
        <f>B3906&amp;"/"&amp;A3906&amp;"/"&amp;C3906</f>
        <v>1/15/2025</v>
      </c>
      <c r="E3906">
        <v>0.79166666666666663</v>
      </c>
      <c r="F3906" t="str">
        <f>I3906&amp;" "&amp;J3906&amp;" "&amp;K3906&amp;" "&amp;L3906&amp;" "&amp;M3906&amp;" "&amp;N3906</f>
        <v>Karen SD    </v>
      </c>
      <c r="G3906" t="s">
        <f>TEXT(D3906,"mmm dd")</f>
        <v>1686</v>
      </c>
      <c r="H3906" t="s">
        <f>TEXT(E3906,"h:mm AM/PM")</f>
        <v>3187</v>
      </c>
      <c r="I3906" t="s">
        <v>3189</v>
      </c>
      <c r="J3906" t="s">
        <v>3190</v>
      </c>
      <c r="P3906" t="str">
        <f>"REM "&amp;G3906&amp;" +2 MSG "&amp;F3906&amp;"AT "&amp;H3906&amp;" %b%"</f>
        <v>REM Jan 15 +2 MSG Karen SD    AT 7:00 PM %b%</v>
      </c>
    </row>
    <row r="3907" spans="1:23">
      <c r="A3907">
        <v>17</v>
      </c>
      <c r="B3907">
        <v>1</v>
      </c>
      <c r="C3907">
        <v>2025</v>
      </c>
      <c r="D3907" s="3" t="str">
        <f>B3907&amp;"/"&amp;A3907&amp;"/"&amp;C3907</f>
        <v>1/17/2025</v>
      </c>
      <c r="E3907">
        <v>0.77083333333333337</v>
      </c>
      <c r="F3907" t="str">
        <f>I3907&amp;" "&amp;J3907&amp;" "&amp;K3907&amp;" "&amp;L3907&amp;" "&amp;M3907&amp;" "&amp;N3907</f>
        <v>Linda SD DH   </v>
      </c>
      <c r="G3907" t="s">
        <f>TEXT(D3907,"mmm dd")</f>
        <v>1174</v>
      </c>
      <c r="H3907" t="s">
        <f>TEXT(E3907,"h:mm AM/PM")</f>
        <v>3186</v>
      </c>
      <c r="I3907" t="s">
        <v>2890</v>
      </c>
      <c r="J3907" t="s">
        <v>3190</v>
      </c>
      <c r="K3907" t="s">
        <v>1606</v>
      </c>
      <c r="P3907" t="str">
        <f>"REM "&amp;G3907&amp;" +2 MSG "&amp;F3907&amp;"AT "&amp;H3907&amp;" %b%"</f>
        <v>REM Jan 17 +2 MSG Linda SD DH   AT 6:30 PM %b%</v>
      </c>
    </row>
    <row r="3908" spans="1:23">
      <c r="A3908">
        <v>1</v>
      </c>
      <c r="B3908">
        <v>2</v>
      </c>
      <c r="C3908">
        <v>2025</v>
      </c>
      <c r="D3908" s="3" t="s">
        <f>B3908&amp;"/"&amp;A3908&amp;"/"&amp;C3908</f>
        <v>3191</v>
      </c>
      <c r="E3908" t="s">
        <v>42</v>
      </c>
      <c r="F3908" t="s">
        <f>I3908&amp;" "&amp;J3908&amp;" "&amp;K3908&amp;" "&amp;L3908&amp;" "&amp;M3908&amp;" "&amp;N3908</f>
        <v>3192</v>
      </c>
      <c r="G3908" t="s">
        <f>TEXT(D3908,"mmm dd")</f>
        <v>1838</v>
      </c>
      <c r="H3908" t="s">
        <f>TEXT(E3908,"h:mm AM/PM")</f>
        <v>42</v>
      </c>
      <c r="I3908" t="s">
        <v>1526</v>
      </c>
      <c r="J3908" t="s">
        <v>1864</v>
      </c>
      <c r="P3908" t="str">
        <f>"REM "&amp;G3908&amp;" +2 MSG "&amp;F3908&amp;"AT "&amp;H3908&amp;" %b%"</f>
        <v>REM Feb 01 +2 MSG Pacific cruise    AT All day %b%</v>
      </c>
    </row>
    <row r="3909" spans="1:23">
      <c r="A3909">
        <v>11</v>
      </c>
      <c r="B3909">
        <v>2</v>
      </c>
      <c r="C3909">
        <v>2025</v>
      </c>
      <c r="D3909" s="3" t="str">
        <f>B3909&amp;"/"&amp;A3909&amp;"/"&amp;C3909</f>
        <v>2/11/2025</v>
      </c>
      <c r="E3909">
        <v>0.875</v>
      </c>
      <c r="F3909" t="str">
        <f>I3909&amp;" "&amp;J3909&amp;" "&amp;K3909&amp;" "&amp;L3909&amp;" "&amp;M3909&amp;" "&amp;N3909</f>
        <v>Folino cleaning    </v>
      </c>
      <c r="G3909" t="s">
        <f>TEXT(D3909,"mmm dd")</f>
        <v>1509</v>
      </c>
      <c r="H3909" t="str">
        <f>TEXT(E3909,"h:mm AM/PM")</f>
        <v>9:00 PM</v>
      </c>
      <c r="I3909" t="s">
        <v>3165</v>
      </c>
      <c r="J3909" t="s">
        <v>2035</v>
      </c>
      <c r="P3909" t="str">
        <f>"REM "&amp;G3909&amp;" +2 MSG "&amp;F3909&amp;"AT "&amp;H3909&amp;" %b%"</f>
        <v>REM Feb 11 +2 MSG Folino cleaning    AT 9:00 PM %b%</v>
      </c>
    </row>
    <row r="3910" spans="1:23">
      <c r="A3910">
        <v>18</v>
      </c>
      <c r="B3910">
        <v>2</v>
      </c>
      <c r="C3910">
        <v>2025</v>
      </c>
      <c r="D3910" s="3" t="str">
        <f>B3910&amp;"/"&amp;A3910&amp;"/"&amp;C3910</f>
        <v>2/18/2025</v>
      </c>
      <c r="E3910">
        <v>0.95833333333333337</v>
      </c>
      <c r="F3910" t="str">
        <f>I3910&amp;" "&amp;J3910&amp;" "&amp;K3910&amp;" "&amp;L3910&amp;" "&amp;M3910&amp;" "&amp;N3910</f>
        <v>Kalani     </v>
      </c>
      <c r="G3910" t="s">
        <f>TEXT(D3910,"mmm dd")</f>
        <v>1206</v>
      </c>
      <c r="H3910" t="str">
        <f>TEXT(E3910,"h:mm AM/PM")</f>
        <v>11:00 PM</v>
      </c>
      <c r="I3910" t="s">
        <v>3172</v>
      </c>
      <c r="P3910" t="str">
        <f>"REM "&amp;G3910&amp;" +2 MSG "&amp;F3910&amp;"AT "&amp;H3910&amp;" %b%"</f>
        <v>REM Feb 18 +2 MSG Kalani     AT 11:00 PM %b%</v>
      </c>
    </row>
    <row r="3911" spans="1:23">
      <c r="A3911">
        <v>27</v>
      </c>
      <c r="B3911">
        <v>2</v>
      </c>
      <c r="C3911">
        <v>2025</v>
      </c>
      <c r="D3911" s="3" t="str">
        <f>B3911&amp;"/"&amp;A3911&amp;"/"&amp;C3911</f>
        <v>2/27/2025</v>
      </c>
      <c r="E3911">
        <v>0.97916666666666663</v>
      </c>
      <c r="F3911" t="str">
        <f>I3911&amp;" "&amp;J3911&amp;" "&amp;K3911&amp;" "&amp;L3911&amp;" "&amp;M3911&amp;" "&amp;N3911</f>
        <v>Victoria dermatologist    </v>
      </c>
      <c r="G3911" t="s">
        <f>TEXT(D3911,"mmm dd")</f>
        <v>1223</v>
      </c>
      <c r="H3911" t="str">
        <f>TEXT(E3911,"h:mm AM/PM")</f>
        <v>11:30 PM</v>
      </c>
      <c r="I3911" t="s">
        <v>1948</v>
      </c>
      <c r="J3911" t="s">
        <v>2702</v>
      </c>
      <c r="P3911" t="str">
        <f>"REM "&amp;G3911&amp;" +2 MSG "&amp;F3911&amp;"AT "&amp;H3911&amp;" %b%"</f>
        <v>REM Feb 27 +2 MSG Victoria dermatologist    AT 11:30 PM %b%</v>
      </c>
    </row>
    <row r="3912" spans="1:23">
      <c r="A3912">
        <v>9</v>
      </c>
      <c r="B3912">
        <v>5</v>
      </c>
      <c r="C3912">
        <v>2025</v>
      </c>
      <c r="D3912" s="3" t="s">
        <f>B3912&amp;"/"&amp;A3912&amp;"/"&amp;C3912</f>
        <v>3193</v>
      </c>
      <c r="E3912" t="s">
        <v>42</v>
      </c>
      <c r="F3912" t="s">
        <f>I3912&amp;" "&amp;J3912&amp;" "&amp;K3912&amp;" "&amp;L3912&amp;" "&amp;M3912&amp;" "&amp;N3912</f>
        <v>3194</v>
      </c>
      <c r="G3912" t="s">
        <f>TEXT(D3912,"mmm dd")</f>
        <v>295</v>
      </c>
      <c r="H3912" t="s">
        <f>TEXT(E3912,"h:mm AM/PM")</f>
        <v>42</v>
      </c>
      <c r="I3912" t="inlineStr">
        <is>
          <t>Prep</t>
        </is>
      </c>
      <c r="J3912" t="s">
        <v>3195</v>
      </c>
      <c r="P3912" t="str">
        <f>"REM "&amp;G3912&amp;" +2 MSG "&amp;F3912&amp;"AT "&amp;H3912&amp;" %b%"</f>
        <v>REM May 09 +2 MSG Prep colonoscopy    AT All day %b%</v>
      </c>
    </row>
    <row r="3913" spans="1:23">
      <c r="A3913">
        <v>12</v>
      </c>
      <c r="B3913">
        <v>5</v>
      </c>
      <c r="C3913">
        <v>2025</v>
      </c>
      <c r="D3913" s="3" t="str">
        <f>B3913&amp;"/"&amp;A3913&amp;"/"&amp;C3913</f>
        <v>5/12/2025</v>
      </c>
      <c r="E3913">
        <v>0.79166666666666663</v>
      </c>
      <c r="F3913" t="str">
        <f>I3913&amp;" "&amp;J3913&amp;" "&amp;K3913&amp;" "&amp;L3913&amp;" "&amp;M3913&amp;" "&amp;N3913</f>
        <v>Humphrey’s colonoscopy    </v>
      </c>
      <c r="G3913" t="s">
        <f>TEXT(D3913,"mmm dd")</f>
        <v>317</v>
      </c>
      <c r="H3913" t="s">
        <f>TEXT(E3913,"h:mm AM/PM")</f>
        <v>3187</v>
      </c>
      <c r="I3913" t="s">
        <v>3196</v>
      </c>
      <c r="J3913" t="s">
        <v>3195</v>
      </c>
      <c r="P3913" t="str">
        <f>"REM "&amp;G3913&amp;" +2 MSG "&amp;F3913&amp;"AT "&amp;H3913&amp;" %b%"</f>
        <v>REM May 12 +2 MSG Humphrey’s colonoscopy    AT 7:00 PM %b%</v>
      </c>
    </row>
    <row r="3914" spans="1:23">
      <c r="A3914">
        <v>19</v>
      </c>
      <c r="B3914">
        <v>5</v>
      </c>
      <c r="C3914">
        <v>2025</v>
      </c>
      <c r="D3914" s="3" t="str">
        <f>B3914&amp;"/"&amp;A3914&amp;"/"&amp;C3914</f>
        <v>5/19/2025</v>
      </c>
      <c r="E3914">
        <v>0.67708333333333337</v>
      </c>
      <c r="F3914" t="str">
        <f>I3914&amp;" "&amp;J3914&amp;" "&amp;K3914&amp;" "&amp;L3914&amp;" "&amp;M3914&amp;" "&amp;N3914</f>
        <v>Dr Irvin DH wellness  </v>
      </c>
      <c r="G3914" t="s">
        <f>TEXT(D3914,"mmm dd")</f>
        <v>344</v>
      </c>
      <c r="H3914" t="str">
        <f>TEXT(E3914,"h:mm AM/PM")</f>
        <v>4:15 PM</v>
      </c>
      <c r="I3914" t="s">
        <v>1791</v>
      </c>
      <c r="J3914" t="s">
        <v>3061</v>
      </c>
      <c r="K3914" t="s">
        <v>1606</v>
      </c>
      <c r="L3914" t="inlineStr">
        <is>
          <t>wellness</t>
        </is>
      </c>
      <c r="P3914" t="str">
        <f>"REM "&amp;G3914&amp;" +2 MSG "&amp;F3914&amp;"AT "&amp;H3914&amp;" %b%"</f>
        <v>REM May 19 +2 MSG Dr Irvin DH wellness  AT 4:15 PM %b%</v>
      </c>
    </row>
    <row r="3915" spans="1:23">
      <c r="A3915">
        <v>2</v>
      </c>
      <c r="B3915">
        <v>6</v>
      </c>
      <c r="C3915">
        <v>2025</v>
      </c>
      <c r="D3915" s="3" t="str">
        <f>B3915&amp;"/"&amp;A3915&amp;"/"&amp;C3915</f>
        <v>6/2/2025</v>
      </c>
      <c r="E3915">
        <v>0.9375</v>
      </c>
      <c r="F3915" t="s">
        <f>I3915&amp;" "&amp;J3915&amp;" "&amp;K3915&amp;" "&amp;L3915&amp;" "&amp;M3915&amp;" "&amp;N3915</f>
        <v>3073</v>
      </c>
      <c r="G3915" t="s">
        <f>TEXT(D3915,"mmm dd")</f>
        <v>430</v>
      </c>
      <c r="H3915" t="str">
        <f>TEXT(E3915,"h:mm AM/PM")</f>
        <v>10:30 PM</v>
      </c>
      <c r="I3915" t="s">
        <v>1791</v>
      </c>
      <c r="J3915" t="s">
        <v>528</v>
      </c>
      <c r="P3915" t="str">
        <f>"REM "&amp;G3915&amp;" +2 MSG "&amp;F3915&amp;"AT "&amp;H3915&amp;" %b%"</f>
        <v>REM Jun 02 +2 MSG Dr Basil    AT 10:30 PM %b%</v>
      </c>
    </row>
    <row r="3916" spans="1:23">
      <c r="A3916">
        <v>4</v>
      </c>
      <c r="B3916">
        <v>6</v>
      </c>
      <c r="C3916">
        <v>2025</v>
      </c>
      <c r="D3916" s="3" t="str">
        <f>B3916&amp;"/"&amp;A3916&amp;"/"&amp;C3916</f>
        <v>6/4/2025</v>
      </c>
      <c r="E3916">
        <v>0.79166666666666663</v>
      </c>
      <c r="F3916" t="str">
        <f>I3916&amp;" "&amp;J3916&amp;" "&amp;K3916&amp;" "&amp;L3916&amp;" "&amp;M3916&amp;" "&amp;N3916</f>
        <v>Humphrey’s follow up   </v>
      </c>
      <c r="G3916" t="s">
        <f>TEXT(D3916,"mmm dd")</f>
        <v>443</v>
      </c>
      <c r="H3916" t="s">
        <f>TEXT(E3916,"h:mm AM/PM")</f>
        <v>3187</v>
      </c>
      <c r="I3916" t="s">
        <v>3196</v>
      </c>
      <c r="J3916" t="s">
        <v>2054</v>
      </c>
      <c r="K3916" t="s">
        <v>807</v>
      </c>
      <c r="P3916" t="str">
        <f>"REM "&amp;G3916&amp;" +2 MSG "&amp;F3916&amp;"AT "&amp;H3916&amp;" %b%"</f>
        <v>REM Jun 04 +2 MSG Humphrey’s follow up   AT 7:00 PM %b%</v>
      </c>
    </row>
    <row r="3917" spans="1:23">
      <c r="A3917">
        <v>13</v>
      </c>
      <c r="B3917">
        <v>6</v>
      </c>
      <c r="C3917">
        <v>2025</v>
      </c>
      <c r="D3917" s="3" t="str">
        <f>B3917&amp;"/"&amp;A3917&amp;"/"&amp;C3917</f>
        <v>6/13/2025</v>
      </c>
      <c r="E3917">
        <v>0.66666666666666663</v>
      </c>
      <c r="F3917" t="s">
        <f>I3917&amp;" "&amp;J3917&amp;" "&amp;K3917&amp;" "&amp;L3917&amp;" "&amp;M3917&amp;" "&amp;N3917</f>
        <v>3052</v>
      </c>
      <c r="G3917" t="s">
        <f>TEXT(D3917,"mmm dd")</f>
        <v>511</v>
      </c>
      <c r="H3917" t="str">
        <f>TEXT(E3917,"h:mm AM/PM")</f>
        <v>4:00 PM</v>
      </c>
      <c r="I3917" t="s">
        <v>3053</v>
      </c>
      <c r="J3917" t="s">
        <v>3054</v>
      </c>
      <c r="P3917" t="str">
        <f>"REM "&amp;G3917&amp;" +2 MSG "&amp;F3917&amp;"AT "&amp;H3917&amp;" %b%"</f>
        <v>REM Jun 13 +2 MSG Gardner Audiology    AT 4:00 PM %b%</v>
      </c>
    </row>
    <row r="3918" spans="1:23">
      <c r="A3918">
        <v>28</v>
      </c>
      <c r="B3918">
        <v>8</v>
      </c>
      <c r="C3918">
        <v>2025</v>
      </c>
      <c r="D3918" s="3" t="s">
        <f>B3918&amp;"/"&amp;A3918&amp;"/"&amp;C3918</f>
        <v>3197</v>
      </c>
      <c r="E3918" t="s">
        <v>42</v>
      </c>
      <c r="F3918" t="s">
        <f>I3918&amp;" "&amp;J3918&amp;" "&amp;K3918&amp;" "&amp;L3918&amp;" "&amp;M3918&amp;" "&amp;N3918</f>
        <v>2772</v>
      </c>
      <c r="G3918" t="s">
        <f>TEXT(D3918,"mmm dd")</f>
        <v>1375</v>
      </c>
      <c r="H3918" t="s">
        <f>TEXT(E3918,"h:mm AM/PM")</f>
        <v>42</v>
      </c>
      <c r="I3918" t="s">
        <v>2773</v>
      </c>
      <c r="J3918" t="s">
        <v>2774</v>
      </c>
      <c r="K3918" t="s">
        <v>2211</v>
      </c>
      <c r="P3918" t="str">
        <f>"REM "&amp;G3918&amp;" +2 MSG "&amp;F3918&amp;"AT "&amp;H3918&amp;" %b%"</f>
        <v>REM Aug 28 +2 MSG Wild Goose Festival   AT All day %b%</v>
      </c>
    </row>
    <row r="3919" spans="1:23">
      <c r="D3919" s="3"/>
    </row>
    <row r="3920" spans="1:23">
      <c r="D3920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I3322" r:id="rId1"/>
  </hyperlinks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48"/>
  <sheetViews>
    <sheetView workbookViewId="0">
      <selection activeCell="A1" sqref="A1"/>
    </sheetView>
  </sheetViews>
  <sheetFormatPr defaultColWidth="12.63" defaultRowHeight="15.75"/>
  <cols>
    <col min="1" max="1" style="1" width="16.71328125" customWidth="1"/>
    <col min="2" max="2" style="1" width="14" customWidth="1"/>
    <col min="3" max="3" style="1" width="34.13" customWidth="1"/>
    <col min="4" max="16384" style="1" width="2.4055697115384618"/>
  </cols>
  <sheetData>
    <row r="1" spans="1:4">
      <c r="A1" s="9">
        <v>45720</v>
      </c>
      <c r="B1" t="str">
        <f>TEXT(A1,"mmm dd yyyy")</f>
        <v>Mar 04 2025</v>
      </c>
      <c r="C1" t="inlineStr">
        <is>
          <t>Fly to Honolulu</t>
        </is>
      </c>
      <c r="D1" s="10" t="str">
        <f>"REM "&amp;B1&amp;" +2 "&amp;"MSG "&amp;C1&amp;" %b%"</f>
        <v>REM Mar 04 2025 +2 MSG Fly to Honolulu %b%</v>
      </c>
    </row>
    <row r="2" spans="1:4">
      <c r="A2" s="11">
        <v>45732</v>
      </c>
      <c r="B2" t="s">
        <f>TEXT(A2,"mmm dd yyyy")</f>
        <v>3198</v>
      </c>
      <c r="C2" t="inlineStr">
        <is>
          <t>at 5pm Auckland, New Zealand</t>
        </is>
      </c>
      <c r="D2" s="10" t="str">
        <f>"REM "&amp;B2&amp;" +2 "&amp;"MSG "&amp;C2&amp;" %b%"</f>
        <v>REM Mar 16 2025 +2 MSG at 5pm Auckland, New Zealand %b%</v>
      </c>
    </row>
    <row r="3" spans="1:4">
      <c r="A3" s="9">
        <v>45732</v>
      </c>
      <c r="B3" t="s">
        <f>TEXT(A3,"mmm dd yyyy")</f>
        <v>3198</v>
      </c>
      <c r="C3" t="inlineStr">
        <is>
          <t>Departs 5pm DAY 1 - AUCKLAND, NEW ZEALAND</t>
        </is>
      </c>
      <c r="D3" s="10" t="str">
        <f>"REM "&amp;B3&amp;" +2 "&amp;"MSG "&amp;C3&amp;" %b%"</f>
        <v>REM Mar 16 2025 +2 MSG Departs 5pm DAY 1 - AUCKLAND, NEW ZEALAND %b%</v>
      </c>
    </row>
    <row r="4" spans="1:4">
      <c r="A4" s="9">
        <v>45733</v>
      </c>
      <c r="B4" t="str">
        <f>TEXT(A4,"mmm dd yyyy")</f>
        <v>Mar 17 2025</v>
      </c>
      <c r="C4" t="inlineStr">
        <is>
          <t>In Port - 8am to 5pm DAY 2 - TAURANGA (ROTORUA), NEW ZEALAND</t>
        </is>
      </c>
      <c r="D4" s="10" t="str">
        <f>"REM "&amp;B4&amp;" +2 "&amp;"MSG "&amp;C4&amp;" %b%"</f>
        <v>REM Mar 17 2025 +2 MSG In Port - 8am to 5pm DAY 2 - TAURANGA (ROTORUA), NEW ZEALAND %b%</v>
      </c>
    </row>
    <row r="5" spans="1:4">
      <c r="A5" s="9">
        <v>45734</v>
      </c>
      <c r="B5" t="str">
        <f>TEXT(A5,"mmm dd yyyy")</f>
        <v>Mar 18 2025</v>
      </c>
      <c r="C5" t="inlineStr">
        <is>
          <t>NAPIER, NEW ZEALAND March 18 In Port - 12am to 6pm</t>
        </is>
      </c>
      <c r="D5" s="10" t="str">
        <f>"REM "&amp;B5&amp;" +2 "&amp;"MSG "&amp;C5&amp;" %b%"</f>
        <v>REM Mar 18 2025 +2 MSG NAPIER, NEW ZEALAND March 18 In Port - 12am to 6pm %b%</v>
      </c>
    </row>
    <row r="6" spans="1:4">
      <c r="A6" s="9">
        <v>45735</v>
      </c>
      <c r="B6" t="str">
        <f>TEXT(A6,"mmm dd yyyy")</f>
        <v>Mar 19 2025</v>
      </c>
      <c r="C6" t="inlineStr">
        <is>
          <t>In Port - 10am to 6pm DAY 4 - WELLINGTON, NEW ZEALAND</t>
        </is>
      </c>
      <c r="D6" s="10" t="str">
        <f>"REM "&amp;B6&amp;" +2 "&amp;"MSG "&amp;C6&amp;" %b%"</f>
        <v>REM Mar 19 2025 +2 MSG In Port - 10am to 6pm DAY 4 - WELLINGTON, NEW ZEALAND %b%</v>
      </c>
    </row>
    <row r="7" spans="1:4">
      <c r="A7" s="9">
        <v>45736</v>
      </c>
      <c r="B7" t="str">
        <f>TEXT(A7,"mmm dd yyyy")</f>
        <v>Mar 20 2025</v>
      </c>
      <c r="C7" t="inlineStr">
        <is>
          <t>In Port - 8am to 5pm DAY 5 - PICTON, NEW ZEALAND</t>
        </is>
      </c>
      <c r="D7" s="10" t="str">
        <f>"REM "&amp;B7&amp;" +2 "&amp;"MSG "&amp;C7&amp;" %b%"</f>
        <v>REM Mar 20 2025 +2 MSG In Port - 8am to 5pm DAY 5 - PICTON, NEW ZEALAND %b%</v>
      </c>
    </row>
    <row r="8" spans="1:4">
      <c r="A8" s="9">
        <v>45737</v>
      </c>
      <c r="B8" t="str">
        <f>TEXT(A8,"mmm dd yyyy")</f>
        <v>Mar 21 2025</v>
      </c>
      <c r="C8" t="inlineStr">
        <is>
          <t>In Port - 8am to 5pm DAY 6 - LYTTELTON (CHRISTCHURCH), NEW ZEALAND</t>
        </is>
      </c>
      <c r="D8" s="10" t="str">
        <f>"REM "&amp;B8&amp;" +2 "&amp;"MSG "&amp;C8&amp;" %b%"</f>
        <v>REM Mar 21 2025 +2 MSG In Port - 8am to 5pm DAY 6 - LYTTELTON (CHRISTCHURCH), NEW ZEALAND %b%</v>
      </c>
    </row>
    <row r="9" spans="1:4">
      <c r="A9" s="9">
        <v>45738</v>
      </c>
      <c r="B9" t="str">
        <f>TEXT(A9,"mmm dd yyyy")</f>
        <v>Mar 22 2025</v>
      </c>
      <c r="C9" t="inlineStr">
        <is>
          <t>In Port - 7am to 6pm DAY 7 - PORT CHALMERS (DUNEDIN), NEW ZEALAND</t>
        </is>
      </c>
      <c r="D9" s="10" t="str">
        <f>"REM "&amp;B9&amp;" +2 "&amp;"MSG "&amp;C9&amp;" %b%"</f>
        <v>REM Mar 22 2025 +2 MSG In Port - 7am to 6pm DAY 7 - PORT CHALMERS (DUNEDIN), NEW ZEALAND %b%</v>
      </c>
    </row>
    <row r="10" spans="1:4">
      <c r="A10" s="9">
        <v>45739</v>
      </c>
      <c r="B10" t="str">
        <f>TEXT(A10,"mmm dd yyyy")</f>
        <v>Mar 23 2025</v>
      </c>
      <c r="C10" t="inlineStr">
        <is>
          <t>DAY 8 - CRUISING FIORDLAND NATL PARK</t>
        </is>
      </c>
      <c r="D10" s="10" t="str">
        <f>"REM "&amp;B10&amp;" +2 "&amp;"MSG "&amp;C10&amp;" %b%"</f>
        <v>REM Mar 23 2025 +2 MSG DAY 8 - CRUISING FIORDLAND NATL PARK %b%</v>
      </c>
    </row>
    <row r="11" spans="1:4">
      <c r="A11" s="9">
        <v>45740</v>
      </c>
      <c r="B11" t="str">
        <f>TEXT(A11,"mmm dd yyyy")</f>
        <v>Mar 24 2025</v>
      </c>
      <c r="C11" t="inlineStr">
        <is>
          <t>DAY 9 - AT SEA</t>
        </is>
      </c>
      <c r="D11" s="10" t="str">
        <f>"REM "&amp;B11&amp;" +2 "&amp;"MSG "&amp;C11&amp;" %b%"</f>
        <v>REM Mar 24 2025 +2 MSG DAY 9 - AT SEA %b%</v>
      </c>
    </row>
    <row r="12" spans="1:4">
      <c r="A12" s="9">
        <v>45741</v>
      </c>
      <c r="B12" t="str">
        <f>TEXT(A12,"mmm dd yyyy")</f>
        <v>Mar 25 2025</v>
      </c>
      <c r="C12" t="inlineStr">
        <is>
          <t>DAY 10 - AT SEA</t>
        </is>
      </c>
      <c r="D12" s="10" t="str">
        <f>"REM "&amp;B12&amp;" +2 "&amp;"MSG "&amp;C12&amp;" %b%"</f>
        <v>REM Mar 25 2025 +2 MSG DAY 10 - AT SEA %b%</v>
      </c>
    </row>
    <row r="13" spans="1:4">
      <c r="A13" s="9">
        <v>45742</v>
      </c>
      <c r="B13" t="str">
        <f>TEXT(A13,"mmm dd yyyy")</f>
        <v>Mar 26 2025</v>
      </c>
      <c r="C13" t="inlineStr">
        <is>
          <t>In Port - 8am to 5pm DAY 11 - HOBART, TASMANIA, AUSTRALIA</t>
        </is>
      </c>
      <c r="D13" s="10" t="str">
        <f>"REM "&amp;B13&amp;" +2 "&amp;"MSG "&amp;C13&amp;" %b%"</f>
        <v>REM Mar 26 2025 +2 MSG In Port - 8am to 5pm DAY 11 - HOBART, TASMANIA, AUSTRALIA %b%</v>
      </c>
    </row>
    <row r="14" spans="1:4">
      <c r="A14" s="9">
        <v>45743</v>
      </c>
      <c r="B14" t="str">
        <f>TEXT(A14,"mmm dd yyyy")</f>
        <v>Mar 27 2025</v>
      </c>
      <c r="C14" t="inlineStr">
        <is>
          <t>DAY 12 - AT SEA</t>
        </is>
      </c>
      <c r="D14" s="10" t="str">
        <f>"REM "&amp;B14&amp;" +2 "&amp;"MSG "&amp;C14&amp;" %b%"</f>
        <v>REM Mar 27 2025 +2 MSG DAY 12 - AT SEA %b%</v>
      </c>
    </row>
    <row r="15" spans="1:4">
      <c r="A15" s="9">
        <v>45744</v>
      </c>
      <c r="B15" t="str">
        <f>TEXT(A15,"mmm dd yyyy")</f>
        <v>Mar 28 2025</v>
      </c>
      <c r="C15" t="inlineStr">
        <is>
          <t>In Port - 8am to 5pm DAY 13 - MELBOURNE, AUSTRALIA</t>
        </is>
      </c>
      <c r="D15" s="10" t="str">
        <f>"REM "&amp;B15&amp;" +2 "&amp;"MSG "&amp;C15&amp;" %b%"</f>
        <v>REM Mar 28 2025 +2 MSG In Port - 8am to 5pm DAY 13 - MELBOURNE, AUSTRALIA %b%</v>
      </c>
    </row>
    <row r="16" spans="1:4">
      <c r="A16" s="9">
        <v>45745</v>
      </c>
      <c r="B16" t="str">
        <f>TEXT(A16,"mmm dd yyyy")</f>
        <v>Mar 29 2025</v>
      </c>
      <c r="C16" t="inlineStr">
        <is>
          <t>DAY 14 - AT SEA</t>
        </is>
      </c>
      <c r="D16" s="10" t="str">
        <f>"REM "&amp;B16&amp;" +2 "&amp;"MSG "&amp;C16&amp;" %b%"</f>
        <v>REM Mar 29 2025 +2 MSG DAY 14 - AT SEA %b%</v>
      </c>
    </row>
    <row r="17" spans="1:4">
      <c r="A17" s="9">
        <v>45746</v>
      </c>
      <c r="B17" t="s">
        <f>TEXT(A17,"mmm dd yyyy")</f>
        <v>3199</v>
      </c>
      <c r="C17" t="inlineStr">
        <is>
          <t>SYDNEY, AUSTRALIA https://www.hollandamerica.com/sf/itinerary?date=1732668544952</t>
        </is>
      </c>
      <c r="D17" s="10" t="str">
        <f>"REM "&amp;B17&amp;" +2 "&amp;"MSG "&amp;C17&amp;" %b%"</f>
        <v>REM Mar 30 2025 +2 MSG SYDNEY, AUSTRALIA https://www.hollandamerica.com/sf/itinerary?date=1732668544952 %b%</v>
      </c>
    </row>
    <row r="18" spans="1:4">
      <c r="A18" s="9">
        <v>45746</v>
      </c>
      <c r="B18" t="s">
        <f>TEXT(A18,"mmm dd yyyy")</f>
        <v>3199</v>
      </c>
      <c r="C18" t="inlineStr">
        <is>
          <t>In Port - 7am to 6:45pm PLANNED ACTIVITIES:</t>
        </is>
      </c>
      <c r="D18" s="10" t="str">
        <f>"REM "&amp;B18&amp;" +2 "&amp;"MSG "&amp;C18&amp;" %b%"</f>
        <v>REM Mar 30 2025 +2 MSG In Port - 7am to 6:45pm PLANNED ACTIVITIES: %b%</v>
      </c>
    </row>
    <row r="19" spans="1:4">
      <c r="A19" s="9">
        <v>45747</v>
      </c>
      <c r="B19" t="str">
        <f>TEXT(A19,"mmm dd yyyy")</f>
        <v>Mar 31 2025</v>
      </c>
      <c r="C19" t="inlineStr">
        <is>
          <t>DAY 16 - AT SEA</t>
        </is>
      </c>
      <c r="D19" s="10" t="str">
        <f>"REM "&amp;B19&amp;" +2 "&amp;"MSG "&amp;C19&amp;" %b%"</f>
        <v>REM Mar 31 2025 +2 MSG DAY 16 - AT SEA %b%</v>
      </c>
    </row>
    <row r="20" spans="1:4">
      <c r="A20" s="9">
        <v>45748</v>
      </c>
      <c r="B20" t="s">
        <f>TEXT(A20,"mmm dd yyyy")</f>
        <v>7</v>
      </c>
      <c r="C20" t="inlineStr">
        <is>
          <t>DAY 17 - AT SEA</t>
        </is>
      </c>
      <c r="D20" s="10" t="str">
        <f>"REM "&amp;B20&amp;" +2 "&amp;"MSG "&amp;C20&amp;" %b%"</f>
        <v>REM Apr 01 2025 +2 MSG DAY 17 - AT SEA %b%</v>
      </c>
    </row>
    <row r="21" spans="1:4">
      <c r="A21" s="9">
        <v>45749</v>
      </c>
      <c r="B21" t="str">
        <f>TEXT(A21,"mmm dd yyyy")</f>
        <v>Apr 02 2025</v>
      </c>
      <c r="C21" t="inlineStr">
        <is>
          <t>In Port - 8am to 10pm DAY 18 - NOUMEA, NEW CALEDONIA</t>
        </is>
      </c>
      <c r="D21" s="10" t="str">
        <f>"REM "&amp;B21&amp;" +2 "&amp;"MSG "&amp;C21&amp;" %b%"</f>
        <v>REM Apr 02 2025 +2 MSG In Port - 8am to 10pm DAY 18 - NOUMEA, NEW CALEDONIA %b%</v>
      </c>
    </row>
    <row r="22" spans="1:4">
      <c r="A22" s="9">
        <v>45750</v>
      </c>
      <c r="B22" t="str">
        <f>TEXT(A22,"mmm dd yyyy")</f>
        <v>Apr 03 2025</v>
      </c>
      <c r="C22" t="inlineStr">
        <is>
          <t>In Port - 8am to 5pm DAY 19 - EASO, LIFOU, NEW CALEDONIA</t>
        </is>
      </c>
      <c r="D22" s="10" t="str">
        <f>"REM "&amp;B22&amp;" +2 "&amp;"MSG "&amp;C22&amp;" %b%"</f>
        <v>REM Apr 03 2025 +2 MSG In Port - 8am to 5pm DAY 19 - EASO, LIFOU, NEW CALEDONIA %b%</v>
      </c>
    </row>
    <row r="23" spans="1:4">
      <c r="A23" s="9">
        <v>45751</v>
      </c>
      <c r="B23" t="str">
        <f>TEXT(A23,"mmm dd yyyy")</f>
        <v>Apr 04 2025</v>
      </c>
      <c r="C23" t="inlineStr">
        <is>
          <t>In Port - 8am to 5pm DAY 20 - MYSTERY ISLAND, VANUATU</t>
        </is>
      </c>
      <c r="D23" s="10" t="str">
        <f>"REM "&amp;B23&amp;" +2 "&amp;"MSG "&amp;C23&amp;" %b%"</f>
        <v>REM Apr 04 2025 +2 MSG In Port - 8am to 5pm DAY 20 - MYSTERY ISLAND, VANUATU %b%</v>
      </c>
    </row>
    <row r="24" spans="1:4">
      <c r="A24" s="9">
        <v>45752</v>
      </c>
      <c r="B24" t="str">
        <f>TEXT(A24,"mmm dd yyyy")</f>
        <v>Apr 05 2025</v>
      </c>
      <c r="C24" t="inlineStr">
        <is>
          <t>In Port - 8am to 5pm DAY 21 - PORT VILA, VANUATU</t>
        </is>
      </c>
      <c r="D24" s="10" t="str">
        <f>"REM "&amp;B24&amp;" +2 "&amp;"MSG "&amp;C24&amp;" %b%"</f>
        <v>REM Apr 05 2025 +2 MSG In Port - 8am to 5pm DAY 21 - PORT VILA, VANUATU %b%</v>
      </c>
    </row>
    <row r="25" spans="1:4">
      <c r="A25" s="9">
        <v>45753</v>
      </c>
      <c r="B25" t="str">
        <f>TEXT(A25,"mmm dd yyyy")</f>
        <v>Apr 06 2025</v>
      </c>
      <c r="C25" t="inlineStr">
        <is>
          <t>DAY 22 - AT SEA</t>
        </is>
      </c>
      <c r="D25" s="10" t="str">
        <f>"REM "&amp;B25&amp;" +2 "&amp;"MSG "&amp;C25&amp;" %b%"</f>
        <v>REM Apr 06 2025 +2 MSG DAY 22 - AT SEA %b%</v>
      </c>
    </row>
    <row r="26" spans="1:4">
      <c r="A26" s="9">
        <v>45754</v>
      </c>
      <c r="B26" t="str">
        <f>TEXT(A26,"mmm dd yyyy")</f>
        <v>Apr 07 2025</v>
      </c>
      <c r="C26" t="inlineStr">
        <is>
          <t>In Port - 8am to 5pm DAY 23 - LAUTOKA, FIJI</t>
        </is>
      </c>
      <c r="D26" s="10" t="str">
        <f>"REM "&amp;B26&amp;" +2 "&amp;"MSG "&amp;C26&amp;" %b%"</f>
        <v>REM Apr 07 2025 +2 MSG In Port - 8am to 5pm DAY 23 - LAUTOKA, FIJI %b%</v>
      </c>
    </row>
    <row r="27" spans="1:4">
      <c r="A27" s="9">
        <v>45755</v>
      </c>
      <c r="B27" t="str">
        <f>TEXT(A27,"mmm dd yyyy")</f>
        <v>Apr 08 2025</v>
      </c>
      <c r="C27" t="inlineStr">
        <is>
          <t>In Port - 8am to 11pm</t>
        </is>
      </c>
      <c r="D27" s="10" t="str">
        <f>"REM "&amp;B27&amp;" +2 "&amp;"MSG "&amp;C27&amp;" %b%"</f>
        <v>REM Apr 08 2025 +2 MSG In Port - 8am to 11pm %b%</v>
      </c>
    </row>
    <row r="28" spans="1:4">
      <c r="A28" s="9">
        <v>45756</v>
      </c>
      <c r="B28" t="str">
        <f>TEXT(A28,"mmm dd yyyy")</f>
        <v>Apr 09 2025</v>
      </c>
      <c r="C28" t="inlineStr">
        <is>
          <t>In Port - 8am to 5pm DAY 25 - DRAVUNI ISLAND, FIJI</t>
        </is>
      </c>
      <c r="D28" s="10" t="str">
        <f>"REM "&amp;B28&amp;" +2 "&amp;"MSG "&amp;C28&amp;" %b%"</f>
        <v>REM Apr 09 2025 +2 MSG In Port - 8am to 5pm DAY 25 - DRAVUNI ISLAND, FIJI %b%</v>
      </c>
    </row>
    <row r="29" spans="1:4">
      <c r="A29" s="9">
        <v>45757</v>
      </c>
      <c r="B29" t="str">
        <f>TEXT(A29,"mmm dd yyyy")</f>
        <v>Apr 10 2025</v>
      </c>
      <c r="C29" t="inlineStr">
        <is>
          <t>In Port - 8am to 4pm DAY 26 - SAVUSAVU, VANUA LEVI, FIJI</t>
        </is>
      </c>
      <c r="D29" s="10" t="str">
        <f>"REM "&amp;B29&amp;" +2 "&amp;"MSG "&amp;C29&amp;" %b%"</f>
        <v>REM Apr 10 2025 +2 MSG In Port - 8am to 4pm DAY 26 - SAVUSAVU, VANUA LEVI, FIJI %b%</v>
      </c>
    </row>
    <row r="30" spans="1:4">
      <c r="A30" s="9">
        <v>45758</v>
      </c>
      <c r="B30" t="str">
        <f>TEXT(A30,"mmm dd yyyy")</f>
        <v>Apr 11 2025</v>
      </c>
      <c r="C30" t="inlineStr">
        <is>
          <t>In Port - 9am to 5pm DAY 27 - PAGO PAGO, TUTUILA, AMERICAN SAMOA</t>
        </is>
      </c>
      <c r="D30" s="10" t="str">
        <f>"REM "&amp;B30&amp;" +2 "&amp;"MSG "&amp;C30&amp;" %b%"</f>
        <v>REM Apr 11 2025 +2 MSG In Port - 9am to 5pm DAY 27 - PAGO PAGO, TUTUILA, AMERICAN SAMOA %b%</v>
      </c>
    </row>
    <row r="31" spans="1:4">
      <c r="A31" s="9">
        <v>45759</v>
      </c>
      <c r="B31" t="str">
        <f>TEXT(A31,"mmm dd yyyy")</f>
        <v>Apr 12 2025</v>
      </c>
      <c r="C31" t="inlineStr">
        <is>
          <t>DAY 28 - AT SEA</t>
        </is>
      </c>
      <c r="D31" s="10" t="str">
        <f>"REM "&amp;B31&amp;" +2 "&amp;"MSG "&amp;C31&amp;" %b%"</f>
        <v>REM Apr 12 2025 +2 MSG DAY 28 - AT SEA %b%</v>
      </c>
    </row>
    <row r="32" spans="1:4">
      <c r="A32" s="9">
        <v>45760</v>
      </c>
      <c r="B32" t="str">
        <f>TEXT(A32,"mmm dd yyyy")</f>
        <v>Apr 13 2025</v>
      </c>
      <c r="C32" t="inlineStr">
        <is>
          <t>DAY 29 - CROSSING THE EQUATOR</t>
        </is>
      </c>
      <c r="D32" s="10" t="str">
        <f>"REM "&amp;B32&amp;" +2 "&amp;"MSG "&amp;C32&amp;" %b%"</f>
        <v>REM Apr 13 2025 +2 MSG DAY 29 - CROSSING THE EQUATOR %b%</v>
      </c>
    </row>
    <row r="33" spans="1:4">
      <c r="A33" s="9">
        <v>45761</v>
      </c>
      <c r="B33" t="str">
        <f>TEXT(A33,"mmm dd yyyy")</f>
        <v>Apr 14 2025</v>
      </c>
      <c r="C33" t="inlineStr">
        <is>
          <t>DAY 30 - AT SEA</t>
        </is>
      </c>
      <c r="D33" s="10" t="str">
        <f>"REM "&amp;B33&amp;" +2 "&amp;"MSG "&amp;C33&amp;" %b%"</f>
        <v>REM Apr 14 2025 +2 MSG DAY 30 - AT SEA %b%</v>
      </c>
    </row>
    <row r="34" spans="1:4">
      <c r="A34" s="9">
        <v>45762</v>
      </c>
      <c r="B34" t="str">
        <f>TEXT(A34,"mmm dd yyyy")</f>
        <v>Apr 15 2025</v>
      </c>
      <c r="C34" t="inlineStr">
        <is>
          <t>DAY 31 - AT SEA</t>
        </is>
      </c>
      <c r="D34" s="10" t="str">
        <f>"REM "&amp;B34&amp;" +2 "&amp;"MSG "&amp;C34&amp;" %b%"</f>
        <v>REM Apr 15 2025 +2 MSG DAY 31 - AT SEA %b%</v>
      </c>
    </row>
    <row r="35" spans="1:4">
      <c r="A35" s="9">
        <v>45763</v>
      </c>
      <c r="B35" t="str">
        <f>TEXT(A35,"mmm dd yyyy")</f>
        <v>Apr 16 2025</v>
      </c>
      <c r="C35" t="inlineStr">
        <is>
          <t>DAY 32 - AT SEA</t>
        </is>
      </c>
      <c r="D35" s="10" t="str">
        <f>"REM "&amp;B35&amp;" +2 "&amp;"MSG "&amp;C35&amp;" %b%"</f>
        <v>REM Apr 16 2025 +2 MSG DAY 32 - AT SEA %b%</v>
      </c>
    </row>
    <row r="36" spans="1:4">
      <c r="A36" s="9">
        <v>45764</v>
      </c>
      <c r="B36" t="str">
        <f>TEXT(A36,"mmm dd yyyy")</f>
        <v>Apr 17 2025</v>
      </c>
      <c r="C36" t="inlineStr">
        <is>
          <t>In Port - 8am to 9pm DAY 33 - KONA, HAWAII, US</t>
        </is>
      </c>
      <c r="D36" s="10" t="str">
        <f>"REM "&amp;B36&amp;" +2 "&amp;"MSG "&amp;C36&amp;" %b%"</f>
        <v>REM Apr 17 2025 +2 MSG In Port - 8am to 9pm DAY 33 - KONA, HAWAII, US %b%</v>
      </c>
    </row>
    <row r="37" spans="1:4">
      <c r="A37" s="9">
        <v>45765</v>
      </c>
      <c r="B37" t="str">
        <f>TEXT(A37,"mmm dd yyyy")</f>
        <v>Apr 18 2025</v>
      </c>
      <c r="C37" t="inlineStr">
        <is>
          <t>In Port - 8am to 5pm DAY 34 - HILO, HAWAII, US</t>
        </is>
      </c>
      <c r="D37" s="10" t="str">
        <f>"REM "&amp;B37&amp;" +2 "&amp;"MSG "&amp;C37&amp;" %b%"</f>
        <v>REM Apr 18 2025 +2 MSG In Port - 8am to 5pm DAY 34 - HILO, HAWAII, US %b%</v>
      </c>
    </row>
    <row r="38" spans="1:4">
      <c r="A38" s="9">
        <v>45766</v>
      </c>
      <c r="B38" t="str">
        <f>TEXT(A38,"mmm dd yyyy")</f>
        <v>Apr 19 2025</v>
      </c>
      <c r="C38" t="inlineStr">
        <is>
          <t>Arrives - 7am DAY 35 - HONOLULU, HAWAII, US</t>
        </is>
      </c>
      <c r="D38" s="10" t="str">
        <f>"REM "&amp;B38&amp;" +2 "&amp;"MSG "&amp;C38&amp;" %b%"</f>
        <v>REM Apr 19 2025 +2 MSG Arrives - 7am DAY 35 - HONOLULU, HAWAII, US %b%</v>
      </c>
    </row>
    <row r="39" spans="1:4">
      <c r="A39" s="9">
        <v>45767</v>
      </c>
      <c r="B39" t="str">
        <f>TEXT(A39,"mmm dd yyyy")</f>
        <v>Apr 20 2025</v>
      </c>
      <c r="C39" t="inlineStr">
        <is>
          <t>Departs 5pm DAY 36 - HONOLULU, HAWAII, US</t>
        </is>
      </c>
      <c r="D39" s="10" t="str">
        <f>"REM "&amp;B39&amp;" +2 "&amp;"MSG "&amp;C39&amp;" %b%"</f>
        <v>REM Apr 20 2025 +2 MSG Departs 5pm DAY 36 - HONOLULU, HAWAII, US %b%</v>
      </c>
    </row>
    <row r="40" spans="1:4">
      <c r="A40" s="9">
        <v>45768</v>
      </c>
      <c r="B40" t="str">
        <f>TEXT(A40,"mmm dd yyyy")</f>
        <v>Apr 21 2025</v>
      </c>
      <c r="C40" t="inlineStr">
        <is>
          <t>DAY 37 - AT SEA</t>
        </is>
      </c>
      <c r="D40" s="10" t="str">
        <f>"REM "&amp;B40&amp;" +2 "&amp;"MSG "&amp;C40&amp;" %b%"</f>
        <v>REM Apr 21 2025 +2 MSG DAY 37 - AT SEA %b%</v>
      </c>
    </row>
    <row r="41" spans="1:4">
      <c r="A41" s="9">
        <v>45769</v>
      </c>
      <c r="B41" t="str">
        <f>TEXT(A41,"mmm dd yyyy")</f>
        <v>Apr 22 2025</v>
      </c>
      <c r="C41" t="inlineStr">
        <is>
          <t>DAY 38 - AT SEA</t>
        </is>
      </c>
      <c r="D41" s="10" t="str">
        <f>"REM "&amp;B41&amp;" +2 "&amp;"MSG "&amp;C41&amp;" %b%"</f>
        <v>REM Apr 22 2025 +2 MSG DAY 38 - AT SEA %b%</v>
      </c>
    </row>
    <row r="42" spans="1:4">
      <c r="A42" s="9">
        <v>45770</v>
      </c>
      <c r="B42" t="str">
        <f>TEXT(A42,"mmm dd yyyy")</f>
        <v>Apr 23 2025</v>
      </c>
      <c r="C42" t="inlineStr">
        <is>
          <t>DAY 39 - AT SEA</t>
        </is>
      </c>
      <c r="D42" s="10" t="str">
        <f>"REM "&amp;B42&amp;" +2 "&amp;"MSG "&amp;C42&amp;" %b%"</f>
        <v>REM Apr 23 2025 +2 MSG DAY 39 - AT SEA %b%</v>
      </c>
    </row>
    <row r="43" spans="1:4">
      <c r="A43" s="9">
        <v>45771</v>
      </c>
      <c r="B43" t="str">
        <f>TEXT(A43,"mmm dd yyyy")</f>
        <v>Apr 24 2025</v>
      </c>
      <c r="C43" t="inlineStr">
        <is>
          <t>DAY 40 - AT SEA</t>
        </is>
      </c>
      <c r="D43" s="10" t="str">
        <f>"REM "&amp;B43&amp;" +2 "&amp;"MSG "&amp;C43&amp;" %b%"</f>
        <v>REM Apr 24 2025 +2 MSG DAY 40 - AT SEA %b%</v>
      </c>
    </row>
    <row r="44" spans="1:4">
      <c r="A44" s="9">
        <v>45772</v>
      </c>
      <c r="B44" t="str">
        <f>TEXT(A44,"mmm dd yyyy")</f>
        <v>Apr 25 2025</v>
      </c>
      <c r="C44" t="inlineStr">
        <is>
          <t>DAY 41 - AT SEA</t>
        </is>
      </c>
      <c r="D44" s="10" t="str">
        <f>"REM "&amp;B44&amp;" +2 "&amp;"MSG "&amp;C44&amp;" %b%"</f>
        <v>REM Apr 25 2025 +2 MSG DAY 41 - AT SEA %b%</v>
      </c>
    </row>
    <row r="45" spans="1:4">
      <c r="A45" s="9">
        <v>45773</v>
      </c>
      <c r="B45" t="str">
        <f>TEXT(A45,"mmm dd yyyy")</f>
        <v>Apr 26 2025</v>
      </c>
      <c r="C45" t="inlineStr">
        <is>
          <t>In Port - 8am to 11pm DAY 42 - VICTORIA, BRITISH COLUMBIA, CANADA</t>
        </is>
      </c>
      <c r="D45" s="10" t="str">
        <f>"REM "&amp;B45&amp;" +2 "&amp;"MSG "&amp;C45&amp;" %b%"</f>
        <v>REM Apr 26 2025 +2 MSG In Port - 8am to 11pm DAY 42 - VICTORIA, BRITISH COLUMBIA, CANADA %b%</v>
      </c>
    </row>
    <row r="46" spans="1:4">
      <c r="A46" s="9">
        <v>45774</v>
      </c>
      <c r="B46" t="str">
        <f>TEXT(A46,"mmm dd yyyy")</f>
        <v>Apr 27 2025</v>
      </c>
      <c r="C46" t="inlineStr">
        <is>
          <t>Arrives - 7am DAY 43 - SEATTLE, WASHINGTON, US</t>
        </is>
      </c>
      <c r="D46" s="10" t="str">
        <f>"REM "&amp;B46&amp;" +2 "&amp;"MSG "&amp;C46&amp;" %b%"</f>
        <v>REM Apr 27 2025 +2 MSG Arrives - 7am DAY 43 - SEATTLE, WASHINGTON, US %b%</v>
      </c>
    </row>
    <row r="47" spans="1:4">
      <c r="A47" s="9"/>
    </row>
    <row r="48" spans="1:4">
      <c r="A48" s="9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A97"/>
  <sheetViews>
    <sheetView workbookViewId="0">
      <selection activeCell="E2" sqref="E2"/>
    </sheetView>
  </sheetViews>
  <sheetFormatPr defaultColWidth="12.63" defaultRowHeight="15.75"/>
  <cols>
    <col min="1" max="1" style="1" width="9.99939903846154" customWidth="1"/>
    <col min="2" max="2" style="1" width="11.713581730769231" customWidth="1"/>
    <col min="3" max="3" style="1" width="8.14236778846154" customWidth="1"/>
    <col min="4" max="4" style="1" width="32.38" customWidth="1"/>
    <col min="5" max="6" style="1" width="9.428004807692309" customWidth="1"/>
    <col min="7" max="16384" style="1" width="2.4055697115384618"/>
  </cols>
  <sheetData>
    <row r="1" spans="1:27">
      <c r="A1" s="12" t="s">
        <v>0</v>
      </c>
      <c r="B1" s="12" t="s">
        <v>3</v>
      </c>
      <c r="C1" s="12" t="s">
        <v>42</v>
      </c>
      <c r="D1" s="12" t="s">
        <v>2</v>
      </c>
      <c r="E1" s="12" t="s">
        <v>3200</v>
      </c>
      <c r="F1" s="12" t="s">
        <v>964</v>
      </c>
      <c r="G1" s="12" t="s">
        <v>3201</v>
      </c>
      <c r="H1" s="12" t="s">
        <v>374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>
      <c r="A2" s="3" t="s">
        <v>41</v>
      </c>
      <c r="B2" s="13" t="s">
        <f>TEXT(A2,"dd mm")</f>
        <v>3202</v>
      </c>
      <c r="C2" t="s">
        <v>42</v>
      </c>
      <c r="D2" t="s">
        <v>3203</v>
      </c>
      <c r="E2" t="s">
        <f>TEXT(A2,"mmm dd")</f>
        <v>43</v>
      </c>
      <c r="F2" t="s">
        <v>3204</v>
      </c>
      <c r="H2" s="10" t="s">
        <f>"REM "&amp;E2&amp;" +2 "&amp;"MSG "&amp;D2&amp;"%b%"""</f>
        <v>3205</v>
      </c>
    </row>
    <row r="3" spans="1:27">
      <c r="A3" s="3" t="s">
        <v>151</v>
      </c>
      <c r="B3" s="3"/>
      <c r="C3" t="s">
        <v>42</v>
      </c>
      <c r="D3" t="inlineStr">
        <is>
          <t>William Law; Priest; 1761  </t>
        </is>
      </c>
      <c r="E3" t="s">
        <f>TEXT(A3,"mmm dd")</f>
        <v>153</v>
      </c>
      <c r="F3" t="s">
        <v>3204</v>
      </c>
      <c r="H3" s="10" t="str">
        <f>"REM "&amp;E3&amp;" +2 "&amp;"MSG "&amp;D3&amp;"%b%"""</f>
        <v>REM Apr 10 +2 MSG William Law; Priest; 1761  %b%"</v>
      </c>
    </row>
    <row r="4" spans="1:27">
      <c r="A4" s="3" t="s">
        <v>159</v>
      </c>
      <c r="B4" s="3"/>
      <c r="C4" t="s">
        <v>42</v>
      </c>
      <c r="D4" t="inlineStr">
        <is>
          <t>George Augustus Selwyn; Bishop of New</t>
        </is>
      </c>
      <c r="E4" t="s">
        <f>TEXT(A4,"mmm dd")</f>
        <v>161</v>
      </c>
      <c r="F4" t="s">
        <v>3204</v>
      </c>
      <c r="H4" s="10" t="str">
        <f>"REM "&amp;E4&amp;" +2 "&amp;"MSG "&amp;D4&amp;"%b%"""</f>
        <v>REM Apr 11 +2 MSG George Augustus Selwyn; Bishop of New%b%"</v>
      </c>
    </row>
    <row r="5" spans="1:27">
      <c r="A5" s="3" t="s">
        <v>195</v>
      </c>
      <c r="B5" s="3"/>
      <c r="C5" t="s">
        <v>42</v>
      </c>
      <c r="D5" t="inlineStr">
        <is>
          <t>Alphege; Archbishop of Canterbury; and Martyr;</t>
        </is>
      </c>
      <c r="E5" t="s">
        <f>TEXT(A5,"mmm dd")</f>
        <v>196</v>
      </c>
      <c r="F5" t="s">
        <v>3204</v>
      </c>
      <c r="H5" s="10" t="str">
        <f>"REM "&amp;E5&amp;" +2 "&amp;"MSG "&amp;D5&amp;"%b%"""</f>
        <v>REM Apr 19 +2 MSG Alphege; Archbishop of Canterbury; and Martyr;%b%"</v>
      </c>
    </row>
    <row r="6" spans="1:27">
      <c r="A6" s="3" t="s">
        <v>63</v>
      </c>
      <c r="B6" s="3"/>
      <c r="C6" t="s">
        <v>42</v>
      </c>
      <c r="D6" t="inlineStr">
        <is>
          <t>James Lloyd Breck; Priest; 1876 </t>
        </is>
      </c>
      <c r="E6" t="s">
        <f>TEXT(A6,"mmm dd")</f>
        <v>65</v>
      </c>
      <c r="F6" t="s">
        <v>3204</v>
      </c>
      <c r="H6" s="10" t="str">
        <f>"REM "&amp;E6&amp;" +2 "&amp;"MSG "&amp;D6&amp;"%b%"""</f>
        <v>REM Apr 02 +2 MSG James Lloyd Breck; Priest; 1876 %b%"</v>
      </c>
    </row>
    <row r="7" spans="1:27">
      <c r="A7" s="3" t="s">
        <v>209</v>
      </c>
      <c r="B7" s="3"/>
      <c r="C7" t="s">
        <v>42</v>
      </c>
      <c r="D7" t="inlineStr">
        <is>
          <t>Anselm; Archbishop of Canterbury; 1109 </t>
        </is>
      </c>
      <c r="E7" t="s">
        <f>TEXT(A7,"mmm dd")</f>
        <v>211</v>
      </c>
      <c r="F7" t="s">
        <v>3204</v>
      </c>
      <c r="H7" s="10" t="str">
        <f>"REM "&amp;E7&amp;" +2 "&amp;"MSG "&amp;D7&amp;"%b%"""</f>
        <v>REM Apr 21 +2 MSG Anselm; Archbishop of Canterbury; 1109 %b%"</v>
      </c>
    </row>
    <row r="8" spans="1:27">
      <c r="A8" s="3" t="s">
        <v>225</v>
      </c>
      <c r="B8" s="3"/>
      <c r="C8" t="s">
        <v>42</v>
      </c>
      <c r="D8" t="s">
        <v>226</v>
      </c>
      <c r="E8" t="s">
        <f>TEXT(A8,"mmm dd")</f>
        <v>227</v>
      </c>
      <c r="F8" t="s">
        <v>3204</v>
      </c>
      <c r="H8" s="10" t="str">
        <f>"REM "&amp;E8&amp;" +2 "&amp;"MSG "&amp;D8&amp;"%b%"""</f>
        <v>REM Apr 25 +2 MSG Saint Mark the Evangelist  %b%"</v>
      </c>
    </row>
    <row r="9" spans="1:27">
      <c r="A9" s="3" t="s">
        <v>237</v>
      </c>
      <c r="B9" s="3"/>
      <c r="C9" t="s">
        <v>42</v>
      </c>
      <c r="D9" t="inlineStr">
        <is>
          <t>Catherine of Siena; 1380  </t>
        </is>
      </c>
      <c r="E9" t="s">
        <f>TEXT(A9,"mmm dd")</f>
        <v>239</v>
      </c>
      <c r="F9" t="s">
        <v>3204</v>
      </c>
      <c r="H9" s="10" t="str">
        <f>"REM "&amp;E9&amp;" +2 "&amp;"MSG "&amp;D9&amp;"%b%"""</f>
        <v>REM Apr 29 +2 MSG Catherine of Siena; 1380  %b%"</v>
      </c>
    </row>
    <row r="10" spans="1:27">
      <c r="A10" s="3" t="s">
        <v>81</v>
      </c>
      <c r="B10" s="3"/>
      <c r="C10" t="s">
        <v>42</v>
      </c>
      <c r="D10" t="inlineStr">
        <is>
          <t>Richard; Bishop of Chichester; 1253 </t>
        </is>
      </c>
      <c r="E10" t="s">
        <f>TEXT(A10,"mmm dd")</f>
        <v>83</v>
      </c>
      <c r="F10" t="s">
        <v>3204</v>
      </c>
      <c r="H10" s="10" t="str">
        <f>"REM "&amp;E10&amp;" +2 "&amp;"MSG "&amp;D10&amp;"%b%"""</f>
        <v>REM Apr 03 +2 MSG Richard; Bishop of Chichester; 1253 %b%"</v>
      </c>
    </row>
    <row r="11" spans="1:27">
      <c r="A11" s="3" t="s">
        <v>89</v>
      </c>
      <c r="B11" s="3"/>
      <c r="C11" t="s">
        <v>42</v>
      </c>
      <c r="D11" t="inlineStr">
        <is>
          <t>Martin Luther King; Jr.; Civil Rights</t>
        </is>
      </c>
      <c r="E11" t="s">
        <f>TEXT(A11,"mmm dd")</f>
        <v>91</v>
      </c>
      <c r="F11" t="s">
        <v>3204</v>
      </c>
      <c r="H11" s="10" t="str">
        <f>"REM "&amp;E11&amp;" +2 "&amp;"MSG "&amp;D11&amp;"%b%"""</f>
        <v>REM Apr 04 +2 MSG Martin Luther King; Jr.; Civil Rights%b%"</v>
      </c>
    </row>
    <row r="12" spans="1:27">
      <c r="A12" s="3" t="s">
        <v>123</v>
      </c>
      <c r="B12" s="3"/>
      <c r="C12" t="s">
        <v>42</v>
      </c>
      <c r="D12" t="inlineStr">
        <is>
          <t>Tikhon; Patriach of Russia and Confessor;</t>
        </is>
      </c>
      <c r="E12" t="s">
        <f>TEXT(A12,"mmm dd")</f>
        <v>125</v>
      </c>
      <c r="F12" t="s">
        <v>3204</v>
      </c>
      <c r="H12" s="10" t="str">
        <f>"REM "&amp;E12&amp;" +2 "&amp;"MSG "&amp;D12&amp;"%b%"""</f>
        <v>REM Apr 07 +2 MSG Tikhon; Patriach of Russia and Confessor;%b%"</v>
      </c>
    </row>
    <row r="13" spans="1:27">
      <c r="A13" s="3" t="s">
        <v>140</v>
      </c>
      <c r="B13" s="3"/>
      <c r="C13" t="s">
        <v>42</v>
      </c>
      <c r="D13" t="inlineStr">
        <is>
          <t>William Augustus Muhlenberg; Priest; 1877 </t>
        </is>
      </c>
      <c r="E13" t="s">
        <f>TEXT(A13,"mmm dd")</f>
        <v>141</v>
      </c>
      <c r="F13" t="s">
        <v>3204</v>
      </c>
      <c r="H13" s="10" t="str">
        <f>"REM "&amp;E13&amp;" +2 "&amp;"MSG "&amp;D13&amp;"%b%"""</f>
        <v>REM Apr 08 +2 MSG William Augustus Muhlenberg; Priest; 1877 %b%"</v>
      </c>
    </row>
    <row r="14" spans="1:27">
      <c r="A14" s="3" t="s">
        <v>146</v>
      </c>
      <c r="B14" s="3"/>
      <c r="C14" t="s">
        <v>42</v>
      </c>
      <c r="D14" t="inlineStr">
        <is>
          <t>Dietrich Bonhoeffer; 1945   </t>
        </is>
      </c>
      <c r="E14" t="s">
        <f>TEXT(A14,"mmm dd")</f>
        <v>147</v>
      </c>
      <c r="F14" t="s">
        <v>3204</v>
      </c>
      <c r="H14" s="10" t="str">
        <f>"REM "&amp;E14&amp;" +2 "&amp;"MSG "&amp;D14&amp;"%b%"""</f>
        <v>REM Apr 09 +2 MSG Dietrich Bonhoeffer; 1945   %b%"</v>
      </c>
    </row>
    <row r="15" spans="1:27">
      <c r="A15" s="3" t="s">
        <v>247</v>
      </c>
      <c r="B15" s="3"/>
      <c r="C15" t="s">
        <v>42</v>
      </c>
      <c r="D15" t="inlineStr">
        <is>
          <t>Saint Philip and Saint James; Apostles</t>
        </is>
      </c>
      <c r="E15" t="s">
        <f>TEXT(A15,"mmm dd")</f>
        <v>249</v>
      </c>
      <c r="F15" t="s">
        <v>3204</v>
      </c>
      <c r="H15" s="10" t="str">
        <f>"REM "&amp;E15&amp;" +2 "&amp;"MSG "&amp;D15&amp;"%b%"""</f>
        <v>REM May 01 +2 MSG Saint Philip and Saint James; Apostles%b%"</v>
      </c>
    </row>
    <row r="16" spans="1:27">
      <c r="A16" s="3" t="s">
        <v>327</v>
      </c>
      <c r="B16" s="3"/>
      <c r="C16" t="s">
        <v>42</v>
      </c>
      <c r="D16" t="inlineStr">
        <is>
          <t>Martyrs of Sudan; 1983  </t>
        </is>
      </c>
      <c r="E16" t="s">
        <f>TEXT(A16,"mmm dd")</f>
        <v>328</v>
      </c>
      <c r="F16" t="s">
        <v>3204</v>
      </c>
      <c r="H16" s="10" t="str">
        <f>"REM "&amp;E16&amp;" +2 "&amp;"MSG "&amp;D16&amp;"%b%"""</f>
        <v>REM May 16 +2 MSG Martyrs of Sudan; 1983  %b%"</v>
      </c>
    </row>
    <row r="17" spans="1:27">
      <c r="A17" s="3" t="s">
        <v>342</v>
      </c>
      <c r="B17" s="3"/>
      <c r="C17" t="s">
        <v>42</v>
      </c>
      <c r="D17" t="inlineStr">
        <is>
          <t>Dunstan; Archbishop of Canterbury; 988 </t>
        </is>
      </c>
      <c r="E17" t="s">
        <f>TEXT(A17,"mmm dd")</f>
        <v>344</v>
      </c>
      <c r="F17" t="s">
        <v>3204</v>
      </c>
      <c r="H17" s="10" t="str">
        <f>"REM "&amp;E17&amp;" +2 "&amp;"MSG "&amp;D17&amp;"%b%"""</f>
        <v>REM May 19 +2 MSG Dunstan; Archbishop of Canterbury; 988 %b%"</v>
      </c>
    </row>
    <row r="18" spans="1:27">
      <c r="A18" s="3" t="s">
        <v>255</v>
      </c>
      <c r="B18" s="3"/>
      <c r="C18" t="s">
        <v>42</v>
      </c>
      <c r="D18" t="inlineStr">
        <is>
          <t>Athanasius; Bishop of Alexandria; 373 </t>
        </is>
      </c>
      <c r="E18" t="s">
        <f>TEXT(A18,"mmm dd")</f>
        <v>256</v>
      </c>
      <c r="F18" t="s">
        <v>3204</v>
      </c>
      <c r="H18" s="10" t="str">
        <f>"REM "&amp;E18&amp;" +2 "&amp;"MSG "&amp;D18&amp;"%b%"""</f>
        <v>REM May 02 +2 MSG Athanasius; Bishop of Alexandria; 373 %b%"</v>
      </c>
    </row>
    <row r="19" spans="1:27">
      <c r="A19" s="3" t="s">
        <v>346</v>
      </c>
      <c r="B19" s="3"/>
      <c r="C19" t="s">
        <v>42</v>
      </c>
      <c r="D19" t="inlineStr">
        <is>
          <t>Alcuin; Deacon; and Abbot of Tours;</t>
        </is>
      </c>
      <c r="E19" t="s">
        <f>TEXT(A19,"mmm dd")</f>
        <v>347</v>
      </c>
      <c r="F19" t="s">
        <v>3204</v>
      </c>
      <c r="H19" s="10" t="str">
        <f>"REM "&amp;E19&amp;" +2 "&amp;"MSG "&amp;D19&amp;"%b%"""</f>
        <v>REM May 20 +2 MSG Alcuin; Deacon; and Abbot of Tours;%b%"</v>
      </c>
    </row>
    <row r="20" spans="1:27">
      <c r="A20" s="3" t="s">
        <v>365</v>
      </c>
      <c r="B20" s="3"/>
      <c r="C20" t="s">
        <v>42</v>
      </c>
      <c r="D20" t="inlineStr">
        <is>
          <t>Jackson Kemper; First Missionary Bishop in</t>
        </is>
      </c>
      <c r="E20" t="s">
        <f>TEXT(A20,"mmm dd")</f>
        <v>367</v>
      </c>
      <c r="F20" t="s">
        <v>3204</v>
      </c>
      <c r="H20" s="10" t="str">
        <f>"REM "&amp;E20&amp;" +2 "&amp;"MSG "&amp;D20&amp;"%b%"""</f>
        <v>REM May 24 +2 MSG Jackson Kemper; First Missionary Bishop in%b%"</v>
      </c>
    </row>
    <row r="21" spans="1:27">
      <c r="A21" s="3" t="s">
        <v>378</v>
      </c>
      <c r="B21" s="3"/>
      <c r="C21" t="s">
        <v>42</v>
      </c>
      <c r="D21" t="inlineStr">
        <is>
          <t>Bede; the Venerable; Priest; and Monk</t>
        </is>
      </c>
      <c r="E21" t="s">
        <f>TEXT(A21,"mmm dd")</f>
        <v>380</v>
      </c>
      <c r="F21" t="s">
        <v>3204</v>
      </c>
      <c r="H21" s="10" t="str">
        <f>"REM "&amp;E21&amp;" +2 "&amp;"MSG "&amp;D21&amp;"%b%"""</f>
        <v>REM May 25 +2 MSG Bede; the Venerable; Priest; and Monk%b%"</v>
      </c>
    </row>
    <row r="22" spans="1:27">
      <c r="A22" s="3" t="s">
        <v>384</v>
      </c>
      <c r="B22" s="3"/>
      <c r="C22" t="s">
        <v>42</v>
      </c>
      <c r="D22" t="inlineStr">
        <is>
          <t>Augustine; First Archbishop of Canterbury; 605</t>
        </is>
      </c>
      <c r="E22" t="s">
        <f>TEXT(A22,"mmm dd")</f>
        <v>386</v>
      </c>
      <c r="F22" t="s">
        <v>3204</v>
      </c>
      <c r="H22" s="10" t="str">
        <f>"REM "&amp;E22&amp;" +2 "&amp;"MSG "&amp;D22&amp;"%b%"""</f>
        <v>REM May 26 +2 MSG Augustine; First Archbishop of Canterbury; 605%b%"</v>
      </c>
    </row>
    <row r="23" spans="1:27">
      <c r="A23" s="3" t="s">
        <v>404</v>
      </c>
      <c r="B23" s="3"/>
      <c r="C23" t="s">
        <v>42</v>
      </c>
      <c r="D23" t="s">
        <v>405</v>
      </c>
      <c r="E23" t="s">
        <f>TEXT(A23,"mmm dd")</f>
        <v>406</v>
      </c>
      <c r="F23" t="s">
        <v>3204</v>
      </c>
      <c r="H23" s="10" t="str">
        <f>"REM "&amp;E23&amp;" +2 "&amp;"MSG "&amp;D23&amp;"%b%"""</f>
        <v>REM May 31 +2 MSG The Visitation of the Virgin Mary%b%"</v>
      </c>
    </row>
    <row r="24" spans="1:27">
      <c r="A24" s="3" t="s">
        <v>266</v>
      </c>
      <c r="B24" s="3"/>
      <c r="C24" t="s">
        <v>42</v>
      </c>
      <c r="D24" t="inlineStr">
        <is>
          <t>Monnica; Mother of Augustine of Hippo;</t>
        </is>
      </c>
      <c r="E24" t="s">
        <f>TEXT(A24,"mmm dd")</f>
        <v>268</v>
      </c>
      <c r="F24" t="s">
        <v>3204</v>
      </c>
      <c r="H24" s="10" t="str">
        <f>"REM "&amp;E24&amp;" +2 "&amp;"MSG "&amp;D24&amp;"%b%"""</f>
        <v>REM May 04 +2 MSG Monnica; Mother of Augustine of Hippo;%b%"</v>
      </c>
    </row>
    <row r="25" spans="1:27">
      <c r="A25" s="3" t="s">
        <v>280</v>
      </c>
      <c r="B25" s="3"/>
      <c r="C25" t="s">
        <v>42</v>
      </c>
      <c r="D25" t="inlineStr">
        <is>
          <t>Dame Julian of Norwich; c. 1417</t>
        </is>
      </c>
      <c r="E25" t="s">
        <f>TEXT(A25,"mmm dd")</f>
        <v>282</v>
      </c>
      <c r="F25" t="s">
        <v>3204</v>
      </c>
      <c r="H25" s="10" t="str">
        <f>"REM "&amp;E25&amp;" +2 "&amp;"MSG "&amp;D25&amp;"%b%"""</f>
        <v>REM May 08 +2 MSG Dame Julian of Norwich; c. 1417%b%"</v>
      </c>
    </row>
    <row r="26" spans="1:27">
      <c r="A26" s="3" t="s">
        <v>293</v>
      </c>
      <c r="B26" s="3"/>
      <c r="C26" t="s">
        <v>42</v>
      </c>
      <c r="D26" t="inlineStr">
        <is>
          <t>Gregory of Nazianzus; Bishop of Constantinople;</t>
        </is>
      </c>
      <c r="E26" t="s">
        <f>TEXT(A26,"mmm dd")</f>
        <v>295</v>
      </c>
      <c r="F26" t="s">
        <v>3204</v>
      </c>
      <c r="H26" s="10" t="str">
        <f>"REM "&amp;E26&amp;" +2 "&amp;"MSG "&amp;D26&amp;"%b%"""</f>
        <v>REM May 09 +2 MSG Gregory of Nazianzus; Bishop of Constantinople;%b%"</v>
      </c>
    </row>
    <row r="27" spans="1:27">
      <c r="A27" s="3" t="s">
        <v>419</v>
      </c>
      <c r="B27" s="3"/>
      <c r="C27" t="s">
        <v>42</v>
      </c>
      <c r="D27" t="inlineStr">
        <is>
          <t>Justin; Martyr at Rome; c. 167</t>
        </is>
      </c>
      <c r="E27" t="s">
        <f>TEXT(A27,"mmm dd")</f>
        <v>421</v>
      </c>
      <c r="F27" t="s">
        <v>3204</v>
      </c>
      <c r="H27" s="10" t="str">
        <f>"REM "&amp;E27&amp;" +2 "&amp;"MSG "&amp;D27&amp;"%b%"""</f>
        <v>REM Jun 01 +2 MSG Justin; Martyr at Rome; c. 167%b%"</v>
      </c>
    </row>
    <row r="28" spans="1:27">
      <c r="A28" s="3" t="s">
        <v>474</v>
      </c>
      <c r="B28" s="3"/>
      <c r="C28" t="s">
        <v>42</v>
      </c>
      <c r="D28" t="inlineStr">
        <is>
          <t>Ephrem of Edessa; Syria; Deacon; 373</t>
        </is>
      </c>
      <c r="E28" t="s">
        <f>TEXT(A28,"mmm dd")</f>
        <v>475</v>
      </c>
      <c r="F28" t="s">
        <v>3204</v>
      </c>
      <c r="H28" s="10" t="str">
        <f>"REM "&amp;E28&amp;" +2 "&amp;"MSG "&amp;D28&amp;"%b%"""</f>
        <v>REM Jun 10 +2 MSG Ephrem of Edessa; Syria; Deacon; 373%b%"</v>
      </c>
    </row>
    <row r="29" spans="1:27">
      <c r="A29" s="3" t="s">
        <v>486</v>
      </c>
      <c r="B29" s="3"/>
      <c r="C29" t="s">
        <v>42</v>
      </c>
      <c r="D29" t="s">
        <v>488</v>
      </c>
      <c r="E29" t="s">
        <f>TEXT(A29,"mmm dd")</f>
        <v>487</v>
      </c>
      <c r="F29" t="s">
        <v>3204</v>
      </c>
      <c r="H29" s="10" t="str">
        <f>"REM "&amp;E29&amp;" +2 "&amp;"MSG "&amp;D29&amp;"%b%"""</f>
        <v>REM Jun 11 +2 MSG Saint Barnabas the Apostle  %b%"</v>
      </c>
    </row>
    <row r="30" spans="1:27">
      <c r="A30" s="3" t="s">
        <v>499</v>
      </c>
      <c r="B30" s="3"/>
      <c r="C30" t="s">
        <v>42</v>
      </c>
      <c r="D30" t="inlineStr">
        <is>
          <t>Enmegahbowh; Priest and Missionary; 1902 </t>
        </is>
      </c>
      <c r="E30" t="s">
        <f>TEXT(A30,"mmm dd")</f>
        <v>501</v>
      </c>
      <c r="F30" t="s">
        <v>3204</v>
      </c>
      <c r="H30" s="10" t="str">
        <f>"REM "&amp;E30&amp;" +2 "&amp;"MSG "&amp;D30&amp;"%b%"""</f>
        <v>REM Jun 12 +2 MSG Enmegahbowh; Priest and Missionary; 1902 %b%"</v>
      </c>
    </row>
    <row r="31" spans="1:27">
      <c r="A31" s="3" t="s">
        <v>522</v>
      </c>
      <c r="B31" s="3"/>
      <c r="C31" t="s">
        <v>42</v>
      </c>
      <c r="D31" t="inlineStr">
        <is>
          <t>Basil the Great; Bishop of Caesarea;</t>
        </is>
      </c>
      <c r="E31" t="s">
        <f>TEXT(A31,"mmm dd")</f>
        <v>524</v>
      </c>
      <c r="F31" t="s">
        <v>3204</v>
      </c>
      <c r="H31" s="10" t="str">
        <f>"REM "&amp;E31&amp;" +2 "&amp;"MSG "&amp;D31&amp;"%b%"""</f>
        <v>REM Jun 14 +2 MSG Basil the Great; Bishop of Caesarea;%b%"</v>
      </c>
    </row>
    <row r="32" spans="1:27">
      <c r="A32" s="3" t="s">
        <v>531</v>
      </c>
      <c r="B32" s="3"/>
      <c r="C32" t="s">
        <v>42</v>
      </c>
      <c r="D32" t="inlineStr">
        <is>
          <t>Evelyn Underhill; 1941   </t>
        </is>
      </c>
      <c r="E32" t="s">
        <f>TEXT(A32,"mmm dd")</f>
        <v>533</v>
      </c>
      <c r="F32" t="s">
        <v>3204</v>
      </c>
      <c r="H32" s="10" t="str">
        <f>"REM "&amp;E32&amp;" +2 "&amp;"MSG "&amp;D32&amp;"%b%"""</f>
        <v>REM Jun 15 +2 MSG Evelyn Underhill; 1941   %b%"</v>
      </c>
    </row>
    <row r="33" spans="1:27">
      <c r="A33" s="3" t="s">
        <v>541</v>
      </c>
      <c r="B33" s="3"/>
      <c r="C33" t="s">
        <v>42</v>
      </c>
      <c r="D33" t="inlineStr">
        <is>
          <t>Joseph Butler; Bishop of Durham; 1752</t>
        </is>
      </c>
      <c r="E33" t="s">
        <f>TEXT(A33,"mmm dd")</f>
        <v>543</v>
      </c>
      <c r="F33" t="s">
        <v>3204</v>
      </c>
      <c r="H33" s="10" t="str">
        <f>"REM "&amp;E33&amp;" +2 "&amp;"MSG "&amp;D33&amp;"%b%"""</f>
        <v>REM Jun 16 +2 MSG Joseph Butler; Bishop of Durham; 1752%b%"</v>
      </c>
    </row>
    <row r="34" spans="1:27">
      <c r="A34" s="3" t="s">
        <v>557</v>
      </c>
      <c r="B34" s="3"/>
      <c r="C34" t="s">
        <v>42</v>
      </c>
      <c r="D34" t="inlineStr">
        <is>
          <t>Bernard Mizeki; Catechist and Martyr in</t>
        </is>
      </c>
      <c r="E34" t="s">
        <f>TEXT(A34,"mmm dd")</f>
        <v>558</v>
      </c>
      <c r="F34" t="s">
        <v>3204</v>
      </c>
      <c r="H34" s="10" t="str">
        <f>"REM "&amp;E34&amp;" +2 "&amp;"MSG "&amp;D34&amp;"%b%"""</f>
        <v>REM Jun 18 +2 MSG Bernard Mizeki; Catechist and Martyr in%b%"</v>
      </c>
    </row>
    <row r="35" spans="1:27">
      <c r="A35" s="3" t="s">
        <v>428</v>
      </c>
      <c r="B35" s="3"/>
      <c r="C35" t="s">
        <v>42</v>
      </c>
      <c r="D35" t="inlineStr">
        <is>
          <t>The Martyrs of Lyons; 177 </t>
        </is>
      </c>
      <c r="E35" t="s">
        <f>TEXT(A35,"mmm dd")</f>
        <v>430</v>
      </c>
      <c r="F35" t="s">
        <v>3204</v>
      </c>
      <c r="H35" s="10" t="str">
        <f>"REM "&amp;E35&amp;" +2 "&amp;"MSG "&amp;D35&amp;"%b%"""</f>
        <v>REM Jun 02 +2 MSG The Martyrs of Lyons; 177 %b%"</v>
      </c>
    </row>
    <row r="36" spans="1:27">
      <c r="A36" s="3" t="s">
        <v>572</v>
      </c>
      <c r="B36" s="3"/>
      <c r="C36" t="s">
        <v>42</v>
      </c>
      <c r="D36" t="inlineStr">
        <is>
          <t>Alban; First Martyr of Britain; c.</t>
        </is>
      </c>
      <c r="E36" t="s">
        <f>TEXT(A36,"mmm dd")</f>
        <v>574</v>
      </c>
      <c r="F36" t="s">
        <v>3204</v>
      </c>
      <c r="H36" s="10" t="str">
        <f>"REM "&amp;E36&amp;" +2 "&amp;"MSG "&amp;D36&amp;"%b%"""</f>
        <v>REM Jun 22 +2 MSG Alban; First Martyr of Britain; c.%b%"</v>
      </c>
    </row>
    <row r="37" spans="1:27">
      <c r="A37" s="3" t="s">
        <v>582</v>
      </c>
      <c r="B37" s="3"/>
      <c r="C37" t="s">
        <v>42</v>
      </c>
      <c r="D37" t="s">
        <v>584</v>
      </c>
      <c r="E37" t="s">
        <f>TEXT(A37,"mmm dd")</f>
        <v>583</v>
      </c>
      <c r="F37" t="s">
        <v>3204</v>
      </c>
      <c r="H37" s="10" t="str">
        <f>"REM "&amp;E37&amp;" +2 "&amp;"MSG "&amp;D37&amp;"%b%"""</f>
        <v>REM Jun 24 +2 MSG The Nativity of Saint John the%b%"</v>
      </c>
    </row>
    <row r="38" spans="1:27">
      <c r="A38" s="3" t="s">
        <v>596</v>
      </c>
      <c r="B38" s="3"/>
      <c r="C38" t="s">
        <v>42</v>
      </c>
      <c r="D38" t="inlineStr">
        <is>
          <t>Irenaeus; Bishop of Lyons; c. 202</t>
        </is>
      </c>
      <c r="E38" t="s">
        <f>TEXT(A38,"mmm dd")</f>
        <v>597</v>
      </c>
      <c r="F38" t="s">
        <v>3204</v>
      </c>
      <c r="H38" s="10" t="str">
        <f>"REM "&amp;E38&amp;" +2 "&amp;"MSG "&amp;D38&amp;"%b%"""</f>
        <v>REM Jun 28 +2 MSG Irenaeus; Bishop of Lyons; c. 202%b%"</v>
      </c>
    </row>
    <row r="39" spans="1:27">
      <c r="A39" s="3" t="s">
        <v>601</v>
      </c>
      <c r="B39" s="3"/>
      <c r="C39" t="s">
        <v>42</v>
      </c>
      <c r="D39" t="inlineStr">
        <is>
          <t>Saint Peter and Saint Paul; Apostles</t>
        </is>
      </c>
      <c r="E39" t="s">
        <f>TEXT(A39,"mmm dd")</f>
        <v>603</v>
      </c>
      <c r="F39" t="s">
        <v>3204</v>
      </c>
      <c r="H39" s="10" t="str">
        <f>"REM "&amp;E39&amp;" +2 "&amp;"MSG "&amp;D39&amp;"%b%"""</f>
        <v>REM Jun 29 +2 MSG Saint Peter and Saint Paul; Apostles%b%"</v>
      </c>
    </row>
    <row r="40" spans="1:27">
      <c r="A40" s="3" t="s">
        <v>432</v>
      </c>
      <c r="B40" s="3"/>
      <c r="C40" t="s">
        <v>42</v>
      </c>
      <c r="D40" t="inlineStr">
        <is>
          <t>The Martyrs of Uganda; 1886 </t>
        </is>
      </c>
      <c r="E40" t="s">
        <f>TEXT(A40,"mmm dd")</f>
        <v>434</v>
      </c>
      <c r="F40" t="s">
        <v>3204</v>
      </c>
      <c r="H40" s="10" t="str">
        <f>"REM "&amp;E40&amp;" +2 "&amp;"MSG "&amp;D40&amp;"%b%"""</f>
        <v>REM Jun 03 +2 MSG The Martyrs of Uganda; 1886 %b%"</v>
      </c>
    </row>
    <row r="41" spans="1:27">
      <c r="A41" s="3" t="s">
        <v>444</v>
      </c>
      <c r="B41" s="3"/>
      <c r="C41" t="s">
        <v>42</v>
      </c>
      <c r="D41" t="inlineStr">
        <is>
          <t>Boniface; Archbishop of Mainz; Missionary to</t>
        </is>
      </c>
      <c r="E41" t="s">
        <f>TEXT(A41,"mmm dd")</f>
        <v>446</v>
      </c>
      <c r="F41" t="s">
        <v>3204</v>
      </c>
      <c r="H41" s="10" t="str">
        <f>"REM "&amp;E41&amp;" +2 "&amp;"MSG "&amp;D41&amp;"%b%"""</f>
        <v>REM Jun 05 +2 MSG Boniface; Archbishop of Mainz; Missionary to%b%"</v>
      </c>
    </row>
    <row r="42" spans="1:27">
      <c r="A42" s="3" t="s">
        <v>465</v>
      </c>
      <c r="B42" s="3"/>
      <c r="C42" t="s">
        <v>42</v>
      </c>
      <c r="D42" t="inlineStr">
        <is>
          <t>Columba; Abbot of Iona; 597 </t>
        </is>
      </c>
      <c r="E42" t="s">
        <f>TEXT(A42,"mmm dd")</f>
        <v>467</v>
      </c>
      <c r="F42" t="s">
        <v>3204</v>
      </c>
      <c r="H42" s="10" t="str">
        <f>"REM "&amp;E42&amp;" +2 "&amp;"MSG "&amp;D42&amp;"%b%"""</f>
        <v>REM Jun 09 +2 MSG Columba; Abbot of Iona; 597 %b%"</v>
      </c>
    </row>
    <row r="43" spans="1:27">
      <c r="A43" s="3" t="s">
        <v>626</v>
      </c>
      <c r="B43" s="3"/>
      <c r="C43" t="s">
        <v>42</v>
      </c>
      <c r="D43" t="inlineStr">
        <is>
          <t>Benedict of Nursia; Abbot of Monte</t>
        </is>
      </c>
      <c r="E43" t="s">
        <f>TEXT(A43,"mmm dd")</f>
        <v>628</v>
      </c>
      <c r="F43" t="s">
        <v>3204</v>
      </c>
      <c r="H43" s="10" t="str">
        <f>"REM "&amp;E43&amp;" +2 "&amp;"MSG "&amp;D43&amp;"%b%"""</f>
        <v>REM Jul 11 +2 MSG Benedict of Nursia; Abbot of Monte%b%"</v>
      </c>
    </row>
    <row r="44" spans="1:27">
      <c r="A44" s="3" t="s">
        <v>652</v>
      </c>
      <c r="B44" s="3"/>
      <c r="C44" t="s">
        <v>42</v>
      </c>
      <c r="D44" t="inlineStr">
        <is>
          <t>William White; Bishop of Pennsylvania; 1836</t>
        </is>
      </c>
      <c r="E44" t="s">
        <f>TEXT(A44,"mmm dd")</f>
        <v>653</v>
      </c>
      <c r="F44" t="s">
        <v>3204</v>
      </c>
      <c r="H44" s="10" t="str">
        <f>"REM "&amp;E44&amp;" +2 "&amp;"MSG "&amp;D44&amp;"%b%"""</f>
        <v>REM Jul 17 +2 MSG William White; Bishop of Pennsylvania; 1836%b%"</v>
      </c>
    </row>
    <row r="45" spans="1:27">
      <c r="A45" s="3" t="s">
        <v>659</v>
      </c>
      <c r="B45" s="3"/>
      <c r="C45" t="s">
        <v>42</v>
      </c>
      <c r="D45" t="inlineStr">
        <is>
          <t>Macrina; 379    </t>
        </is>
      </c>
      <c r="E45" t="s">
        <f>TEXT(A45,"mmm dd")</f>
        <v>28</v>
      </c>
      <c r="F45" t="s">
        <v>3204</v>
      </c>
      <c r="H45" s="10" t="str">
        <f>"REM "&amp;E45&amp;" +2 "&amp;"MSG "&amp;D45&amp;"%b%"""</f>
        <v>REM Jul 19 +2 MSG Macrina; 379    %b%"</v>
      </c>
    </row>
    <row r="46" spans="1:27">
      <c r="A46" s="3" t="s">
        <v>662</v>
      </c>
      <c r="B46" s="3"/>
      <c r="C46" t="s">
        <v>42</v>
      </c>
      <c r="D46" t="inlineStr">
        <is>
          <t>Elizabeth Cady Stanton; Amelia Bloomer; Sojourner</t>
        </is>
      </c>
      <c r="E46" t="s">
        <f>TEXT(A46,"mmm dd")</f>
        <v>29</v>
      </c>
      <c r="F46" t="s">
        <v>3204</v>
      </c>
      <c r="H46" s="10" t="str">
        <f>"REM "&amp;E46&amp;" +2 "&amp;"MSG "&amp;D46&amp;"%b%"""</f>
        <v>REM Jul 20 +2 MSG Elizabeth Cady Stanton; Amelia Bloomer; Sojourner%b%"</v>
      </c>
    </row>
    <row r="47" spans="1:27">
      <c r="A47" s="3" t="s">
        <v>676</v>
      </c>
      <c r="B47" s="3"/>
      <c r="C47" t="s">
        <v>42</v>
      </c>
      <c r="D47" t="s">
        <v>677</v>
      </c>
      <c r="E47" t="s">
        <f>TEXT(A47,"mmm dd")</f>
        <v>678</v>
      </c>
      <c r="F47" t="s">
        <v>3204</v>
      </c>
      <c r="H47" s="10" t="str">
        <f>"REM "&amp;E47&amp;" +2 "&amp;"MSG "&amp;D47&amp;"%b%"""</f>
        <v>REM Jul 22 +2 MSG Saint Mary Magdalene   %b%"</v>
      </c>
    </row>
    <row r="48" spans="1:27">
      <c r="A48" s="3" t="s">
        <v>682</v>
      </c>
      <c r="B48" s="3"/>
      <c r="C48" t="s">
        <v>42</v>
      </c>
      <c r="D48" t="inlineStr">
        <is>
          <t>Thomas a Kempis; Priest; 1471 </t>
        </is>
      </c>
      <c r="E48" t="s">
        <f>TEXT(A48,"mmm dd")</f>
        <v>684</v>
      </c>
      <c r="F48" t="s">
        <v>3204</v>
      </c>
      <c r="H48" s="10" t="str">
        <f>"REM "&amp;E48&amp;" +2 "&amp;"MSG "&amp;D48&amp;"%b%"""</f>
        <v>REM Jul 24 +2 MSG Thomas a Kempis; Priest; 1471 %b%"</v>
      </c>
    </row>
    <row r="49" spans="1:27">
      <c r="A49" s="3" t="s">
        <v>688</v>
      </c>
      <c r="B49" s="3"/>
      <c r="C49" t="s">
        <v>42</v>
      </c>
      <c r="D49" t="s">
        <v>689</v>
      </c>
      <c r="E49" t="s">
        <f>TEXT(A49,"mmm dd")</f>
        <v>25</v>
      </c>
      <c r="F49" t="s">
        <v>3204</v>
      </c>
      <c r="H49" s="10" t="str">
        <f>"REM "&amp;E49&amp;" +2 "&amp;"MSG "&amp;D49&amp;"%b%"""</f>
        <v>REM Jul 25 +2 MSG Saint James the Apostle  %b%"</v>
      </c>
    </row>
    <row r="50" spans="1:27">
      <c r="A50" s="3" t="s">
        <v>693</v>
      </c>
      <c r="B50" s="3"/>
      <c r="C50" t="s">
        <v>42</v>
      </c>
      <c r="D50" t="s">
        <v>694</v>
      </c>
      <c r="E50" t="s">
        <f>TEXT(A50,"mmm dd")</f>
        <v>27</v>
      </c>
      <c r="F50" t="s">
        <v>3204</v>
      </c>
      <c r="H50" s="10" t="str">
        <f>"REM "&amp;E50&amp;" +2 "&amp;"MSG "&amp;D50&amp;"%b%"""</f>
        <v>REM Jul 26 +2 MSG The Parents of the Blessed Virgin%b%"</v>
      </c>
    </row>
    <row r="51" spans="1:27">
      <c r="A51" s="3" t="s">
        <v>697</v>
      </c>
      <c r="B51" s="3"/>
      <c r="C51" t="s">
        <v>42</v>
      </c>
      <c r="D51" t="inlineStr">
        <is>
          <t>William Reed Huntington; Priest; 1909 </t>
        </is>
      </c>
      <c r="E51" t="s">
        <f>TEXT(A51,"mmm dd")</f>
        <v>699</v>
      </c>
      <c r="F51" t="s">
        <v>3204</v>
      </c>
      <c r="H51" s="10" t="str">
        <f>"REM "&amp;E51&amp;" +2 "&amp;"MSG "&amp;D51&amp;"%b%"""</f>
        <v>REM Jul 27 +2 MSG William Reed Huntington; Priest; 1909 %b%"</v>
      </c>
    </row>
    <row r="52" spans="1:27">
      <c r="A52" s="3" t="s">
        <v>703</v>
      </c>
      <c r="B52" s="3"/>
      <c r="C52" t="s">
        <v>42</v>
      </c>
      <c r="D52" t="s">
        <v>704</v>
      </c>
      <c r="E52" t="s">
        <f>TEXT(A52,"mmm dd")</f>
        <v>705</v>
      </c>
      <c r="F52" t="s">
        <v>3204</v>
      </c>
      <c r="H52" s="10" t="s">
        <f>"REM "&amp;E52&amp;" +2 "&amp;"MSG "&amp;D52&amp;"%b%"""</f>
        <v>3206</v>
      </c>
    </row>
    <row r="53" spans="1:27">
      <c r="A53" s="3" t="s">
        <v>708</v>
      </c>
      <c r="B53" s="3"/>
      <c r="C53" t="s">
        <v>42</v>
      </c>
      <c r="D53" t="inlineStr">
        <is>
          <t>William Wilberforce; 1833   </t>
        </is>
      </c>
      <c r="E53" t="s">
        <f>TEXT(A53,"mmm dd")</f>
        <v>709</v>
      </c>
      <c r="F53" t="s">
        <v>3204</v>
      </c>
      <c r="H53" s="10" t="str">
        <f>"REM "&amp;E53&amp;" +2 "&amp;"MSG "&amp;D53&amp;"%b%"""</f>
        <v>REM Jul 30 +2 MSG William Wilberforce; 1833   %b%"</v>
      </c>
    </row>
    <row r="54" spans="1:27">
      <c r="A54" s="3" t="s">
        <v>712</v>
      </c>
      <c r="B54" s="3"/>
      <c r="C54" t="s">
        <v>42</v>
      </c>
      <c r="D54" t="inlineStr">
        <is>
          <t>Ignatius of Loyola; 1556  </t>
        </is>
      </c>
      <c r="E54" t="s">
        <f>TEXT(A54,"mmm dd")</f>
        <v>714</v>
      </c>
      <c r="F54" t="s">
        <v>3204</v>
      </c>
      <c r="H54" s="10" t="str">
        <f>"REM "&amp;E54&amp;" +2 "&amp;"MSG "&amp;D54&amp;"%b%"""</f>
        <v>REM Jul 31 +2 MSG Ignatius of Loyola; 1556  %b%"</v>
      </c>
    </row>
    <row r="55" spans="1:27">
      <c r="A55" s="3" t="s">
        <v>1814</v>
      </c>
      <c r="B55" s="3"/>
      <c r="C55" t="s">
        <v>42</v>
      </c>
      <c r="D55" t="inlineStr">
        <is>
          <t>Murray bday 1945</t>
        </is>
      </c>
      <c r="E55" t="s">
        <f>TEXT(A55,"mmm dd")</f>
        <v>1170</v>
      </c>
      <c r="G55" t="s">
        <v>3204</v>
      </c>
      <c r="H55" s="10" t="str">
        <f>"REM "&amp;E55&amp;" +2 "&amp;"MSG "&amp;D55&amp;"%b%"""</f>
        <v>REM Jan 16 +2 MSG Murray bday 1945%b%"</v>
      </c>
    </row>
    <row r="56" spans="1:27">
      <c r="A56" s="3" t="s">
        <v>2276</v>
      </c>
      <c r="B56" s="3"/>
      <c r="C56" t="s">
        <v>42</v>
      </c>
      <c r="D56" t="s">
        <v>2277</v>
      </c>
      <c r="E56" t="s">
        <f>TEXT(A56,"mmm dd")</f>
        <v>1170</v>
      </c>
      <c r="G56" t="s">
        <v>3204</v>
      </c>
      <c r="H56" s="10" t="str">
        <f>"REM "&amp;E56&amp;" +2 "&amp;"MSG "&amp;D56&amp;"%b%"""</f>
        <v>REM Jan 16 +2 MSG Helen Detwiler birthday   %b%"</v>
      </c>
    </row>
    <row r="57" spans="1:27">
      <c r="A57" s="3" t="s">
        <v>2174</v>
      </c>
      <c r="B57" s="3"/>
      <c r="C57" t="s">
        <v>42</v>
      </c>
      <c r="D57" t="s">
        <v>2175</v>
      </c>
      <c r="E57" t="s">
        <f>TEXT(A57,"mmm dd")</f>
        <v>1830</v>
      </c>
      <c r="G57" t="s">
        <v>3204</v>
      </c>
      <c r="H57" s="10" t="str">
        <f>"REM "&amp;E57&amp;" +2 "&amp;"MSG "&amp;D57&amp;"%b%"""</f>
        <v>REM Jan 25 +2 MSG Karla Hackstaff birthday   %b%"</v>
      </c>
    </row>
    <row r="58" spans="1:27">
      <c r="A58" s="3" t="s">
        <v>2483</v>
      </c>
      <c r="B58" s="3"/>
      <c r="C58" t="s">
        <v>42</v>
      </c>
      <c r="D58" t="s">
        <v>2484</v>
      </c>
      <c r="E58" t="s">
        <f>TEXT(A58,"mmm dd")</f>
        <v>1677</v>
      </c>
      <c r="G58" t="s">
        <v>3204</v>
      </c>
      <c r="H58" s="10" t="str">
        <f>"REM "&amp;E58&amp;" +2 "&amp;"MSG "&amp;D58&amp;"%b%"""</f>
        <v>REM Jan 04 +2 MSG Sean birthday    %b%"</v>
      </c>
    </row>
    <row r="59" spans="1:27">
      <c r="A59" s="3" t="s">
        <v>2631</v>
      </c>
      <c r="B59" s="3"/>
      <c r="C59" t="s">
        <v>42</v>
      </c>
      <c r="D59" t="s">
        <v>2635</v>
      </c>
      <c r="E59" t="s">
        <f>TEXT(A59,"mmm dd")</f>
        <v>2099</v>
      </c>
      <c r="G59" t="s">
        <v>3204</v>
      </c>
      <c r="H59" s="10" t="str">
        <f>"REM "&amp;E59&amp;" +2 "&amp;"MSG "&amp;D59&amp;"%b%"""</f>
        <v>REM Oct 01 +2 MSG Scott Jansen birthday   %b%"</v>
      </c>
    </row>
    <row r="60" spans="1:27">
      <c r="A60" s="3" t="s">
        <v>2631</v>
      </c>
      <c r="B60" s="3"/>
      <c r="C60" t="s">
        <v>42</v>
      </c>
      <c r="D60" t="s">
        <v>2632</v>
      </c>
      <c r="E60" t="s">
        <f>TEXT(A60,"mmm dd")</f>
        <v>2099</v>
      </c>
      <c r="G60" t="s">
        <v>3204</v>
      </c>
      <c r="H60" s="10" t="str">
        <f>"REM "&amp;E60&amp;" +2 "&amp;"MSG "&amp;D60&amp;"%b%"""</f>
        <v>REM Oct 01 +2 MSG Terry McCandliss Dowdell birthday  %b%"</v>
      </c>
    </row>
    <row r="61" spans="1:27">
      <c r="A61" s="3" t="s">
        <v>2102</v>
      </c>
      <c r="B61" s="3"/>
      <c r="C61" t="s">
        <v>42</v>
      </c>
      <c r="D61" t="s">
        <v>2107</v>
      </c>
      <c r="E61" t="s">
        <f>TEXT(A61,"mmm dd")</f>
        <v>2103</v>
      </c>
      <c r="G61" t="s">
        <v>3204</v>
      </c>
      <c r="H61" s="10" t="str">
        <f>"REM "&amp;E61&amp;" +2 "&amp;"MSG "&amp;D61&amp;"%b%"""</f>
        <v>REM Oct 02 +2 MSG Howie Smith birthday   %b%"</v>
      </c>
    </row>
    <row r="62" spans="1:27">
      <c r="A62" s="3" t="s">
        <v>2102</v>
      </c>
      <c r="B62" s="3"/>
      <c r="C62" t="s">
        <v>42</v>
      </c>
      <c r="D62" t="s">
        <v>2105</v>
      </c>
      <c r="E62" t="s">
        <f>TEXT(A62,"mmm dd")</f>
        <v>2103</v>
      </c>
      <c r="G62" t="s">
        <v>3204</v>
      </c>
      <c r="H62" s="10" t="str">
        <f>"REM "&amp;E62&amp;" +2 "&amp;"MSG "&amp;D62&amp;"%b%"""</f>
        <v>REM Oct 02 +2 MSG Joe Sjostrom birthday   %b%"</v>
      </c>
    </row>
    <row r="63" spans="1:27">
      <c r="A63" s="3" t="s">
        <v>2124</v>
      </c>
      <c r="B63" s="3"/>
      <c r="C63" t="s">
        <v>42</v>
      </c>
      <c r="D63" t="s">
        <v>2127</v>
      </c>
      <c r="E63" t="s">
        <f>TEXT(A63,"mmm dd")</f>
        <v>1408</v>
      </c>
      <c r="G63" t="s">
        <v>3204</v>
      </c>
      <c r="H63" s="10" t="str">
        <f>"REM "&amp;E63&amp;" +2 "&amp;"MSG "&amp;D63&amp;"%b%"""</f>
        <v>REM Oct 20 +2 MSG Barb Street birthday   %b%"</v>
      </c>
    </row>
    <row r="64" spans="1:27">
      <c r="A64" s="3" t="s">
        <v>2113</v>
      </c>
      <c r="B64" s="3"/>
      <c r="C64" t="s">
        <v>42</v>
      </c>
      <c r="D64" t="s">
        <v>2114</v>
      </c>
      <c r="E64" t="s">
        <f>TEXT(A64,"mmm dd")</f>
        <v>1615</v>
      </c>
      <c r="G64" t="s">
        <v>3204</v>
      </c>
      <c r="H64" s="10" t="str">
        <f>"REM "&amp;E64&amp;" +2 "&amp;"MSG "&amp;D64&amp;"%b%"""</f>
        <v>REM Oct 06 +2 MSG Gary's birthday    %b%"</v>
      </c>
    </row>
    <row r="65" spans="1:27">
      <c r="A65" s="3" t="s">
        <v>2875</v>
      </c>
      <c r="B65" s="3"/>
      <c r="C65" t="s">
        <v>42</v>
      </c>
      <c r="D65" t="s">
        <v>2876</v>
      </c>
      <c r="E65" t="s">
        <f>TEXT(A65,"mmm dd")</f>
        <v>1007</v>
      </c>
      <c r="G65" t="s">
        <v>3204</v>
      </c>
      <c r="H65" s="10" t="str">
        <f>"REM "&amp;E65&amp;" +2 "&amp;"MSG "&amp;D65&amp;"%b%"""</f>
        <v>REM Nov 14 +2 MSG Emma Birthday    %b%"</v>
      </c>
    </row>
    <row r="66" spans="1:27">
      <c r="A66" s="3" t="s">
        <v>2555</v>
      </c>
      <c r="B66" s="3"/>
      <c r="C66" t="s">
        <v>42</v>
      </c>
      <c r="D66" t="s">
        <v>2556</v>
      </c>
      <c r="E66" t="s">
        <f>TEXT(A66,"mmm dd")</f>
        <v>1428</v>
      </c>
      <c r="G66" t="s">
        <v>3204</v>
      </c>
      <c r="H66" s="10" t="str">
        <f>"REM "&amp;E66&amp;" +2 "&amp;"MSG "&amp;D66&amp;"%b%"""</f>
        <v>REM Nov 22 +2 MSG George died    %b%"</v>
      </c>
    </row>
    <row r="67" spans="1:27">
      <c r="A67" s="3" t="s">
        <v>2462</v>
      </c>
      <c r="B67" s="3"/>
      <c r="C67" t="s">
        <v>42</v>
      </c>
      <c r="D67" t="s">
        <v>2463</v>
      </c>
      <c r="E67" t="s">
        <f>TEXT(A67,"mmm dd")</f>
        <v>33</v>
      </c>
      <c r="G67" t="s">
        <v>3204</v>
      </c>
      <c r="H67" s="10" t="str">
        <f>"REM "&amp;E67&amp;" +2 "&amp;"MSG "&amp;D67&amp;"%b%"""</f>
        <v>REM Nov 03 +2 MSG Will Corum birthday   %b%"</v>
      </c>
    </row>
    <row r="68" spans="1:27">
      <c r="A68" s="3" t="s">
        <v>2742</v>
      </c>
      <c r="B68" s="3"/>
      <c r="C68" t="s">
        <v>42</v>
      </c>
      <c r="D68" t="s">
        <v>2743</v>
      </c>
      <c r="E68" t="s">
        <f>TEXT(A68,"mmm dd")</f>
        <v>1093</v>
      </c>
      <c r="G68" t="s">
        <v>3204</v>
      </c>
      <c r="H68" s="10" t="str">
        <f>"REM "&amp;E68&amp;" +2 "&amp;"MSG "&amp;D68&amp;"%b%"""</f>
        <v>REM Dec 16 +2 MSG Kay Okutani funeral   %b%"</v>
      </c>
    </row>
    <row r="69" spans="1:27">
      <c r="A69" s="3" t="s">
        <v>2998</v>
      </c>
      <c r="B69" s="3"/>
      <c r="C69" t="s">
        <v>42</v>
      </c>
      <c r="D69" t="inlineStr">
        <is>
          <t>Mary Jean's Birthday   </t>
        </is>
      </c>
      <c r="E69" t="s">
        <f>TEXT(A69,"mmm dd")</f>
        <v>1104</v>
      </c>
      <c r="G69" t="s">
        <v>3204</v>
      </c>
      <c r="H69" s="10" t="str">
        <f>"REM "&amp;E69&amp;" +2 "&amp;"MSG "&amp;D69&amp;"%b%"""</f>
        <v>REM Dec 18 +2 MSG Mary Jean's Birthday   %b%"</v>
      </c>
    </row>
    <row r="70" spans="1:27">
      <c r="A70" s="3" t="s">
        <v>2476</v>
      </c>
      <c r="B70" s="3"/>
      <c r="C70" t="s">
        <v>42</v>
      </c>
      <c r="D70" t="s">
        <v>2477</v>
      </c>
      <c r="E70" t="s">
        <f>TEXT(A70,"mmm dd")</f>
        <v>1114</v>
      </c>
      <c r="G70" t="s">
        <v>3204</v>
      </c>
      <c r="H70" s="10" t="str">
        <f>"REM "&amp;E70&amp;" +2 "&amp;"MSG "&amp;D70&amp;"%b%"""</f>
        <v>REM Dec 19 +2 MSG George Detailer birthday   %b%"</v>
      </c>
    </row>
    <row r="71" spans="1:27">
      <c r="A71" s="3" t="s">
        <v>1673</v>
      </c>
      <c r="B71" s="3"/>
      <c r="C71" t="s">
        <v>42</v>
      </c>
      <c r="D71" t="s">
        <v>1674</v>
      </c>
      <c r="E71" t="s">
        <f>TEXT(A71,"mmm dd")</f>
        <v>1675</v>
      </c>
      <c r="G71" t="s">
        <v>3204</v>
      </c>
      <c r="H71" s="10" t="str">
        <f>"REM "&amp;E71&amp;" +2 "&amp;"MSG "&amp;D71&amp;"%b%"""</f>
        <v>REM Dec 28 +2 MSG Lydia's birthday    %b%"</v>
      </c>
    </row>
    <row r="72" spans="1:27">
      <c r="A72" s="3" t="s">
        <v>3191</v>
      </c>
      <c r="B72" s="3"/>
      <c r="C72" t="s">
        <v>42</v>
      </c>
      <c r="D72" t="s">
        <v>3192</v>
      </c>
      <c r="E72" t="s">
        <f>TEXT(A72,"mmm dd")</f>
        <v>1838</v>
      </c>
      <c r="G72" t="s">
        <v>3204</v>
      </c>
      <c r="H72" s="10" t="str">
        <f>"REM "&amp;E72&amp;" +2 "&amp;"MSG "&amp;D72&amp;"%b%"""</f>
        <v>REM Feb 01 +2 MSG Pacific cruise    %b%"</v>
      </c>
    </row>
    <row r="73" spans="1:27">
      <c r="A73" s="3" t="s">
        <v>1505</v>
      </c>
      <c r="B73" s="3"/>
      <c r="C73" t="s">
        <v>42</v>
      </c>
      <c r="D73" t="s">
        <v>1506</v>
      </c>
      <c r="E73" t="s">
        <f>TEXT(A73,"mmm dd")</f>
        <v>1190</v>
      </c>
      <c r="G73" t="s">
        <v>3204</v>
      </c>
      <c r="H73" s="10" t="str">
        <f>"REM "&amp;E73&amp;" +2 "&amp;"MSG "&amp;D73&amp;"%b%"""</f>
        <v>REM Feb 10 +2 MSG Bill's birthday    %b%"</v>
      </c>
    </row>
    <row r="74" spans="1:27">
      <c r="A74" s="3" t="s">
        <v>1199</v>
      </c>
      <c r="B74" s="3"/>
      <c r="C74" t="s">
        <v>42</v>
      </c>
      <c r="D74" t="s">
        <v>1200</v>
      </c>
      <c r="E74" t="s">
        <f>TEXT(A74,"mmm dd")</f>
        <v>1201</v>
      </c>
      <c r="G74" t="s">
        <v>3204</v>
      </c>
      <c r="H74" s="10" t="str">
        <f>"REM "&amp;E74&amp;" +2 "&amp;"MSG "&amp;D74&amp;"%b%"""</f>
        <v>REM Feb 16 +2 MSG Great Aloha run   %b%"</v>
      </c>
    </row>
    <row r="75" spans="1:27">
      <c r="A75" s="3" t="s">
        <v>1528</v>
      </c>
      <c r="B75" s="3"/>
      <c r="C75" t="s">
        <v>42</v>
      </c>
      <c r="D75" t="s">
        <v>1529</v>
      </c>
      <c r="E75" t="s">
        <f>TEXT(A75,"mmm dd")</f>
        <v>1530</v>
      </c>
      <c r="G75" t="s">
        <v>3204</v>
      </c>
      <c r="H75" s="10" t="str">
        <f>"REM "&amp;E75&amp;" +2 "&amp;"MSG "&amp;D75&amp;"%b%"""</f>
        <v>REM Feb 21 +2 MSG Julian's Bday    %b%"</v>
      </c>
    </row>
    <row r="76" spans="1:27">
      <c r="A76" s="3" t="s">
        <v>1548</v>
      </c>
      <c r="B76" s="3"/>
      <c r="C76" t="s">
        <v>42</v>
      </c>
      <c r="D76" t="s">
        <v>1549</v>
      </c>
      <c r="E76" t="s">
        <f>TEXT(A76,"mmm dd")</f>
        <v>1550</v>
      </c>
      <c r="G76" t="s">
        <v>3204</v>
      </c>
      <c r="H76" s="10" t="str">
        <f>"REM "&amp;E76&amp;" +2 "&amp;"MSG "&amp;D76&amp;"%b%"""</f>
        <v>REM Mar 11 +2 MSG David's Bday    %b%"</v>
      </c>
    </row>
    <row r="77" spans="1:27">
      <c r="A77" s="3" t="s">
        <v>2379</v>
      </c>
      <c r="B77" s="3"/>
      <c r="C77" t="s">
        <v>42</v>
      </c>
      <c r="D77" t="s">
        <v>2380</v>
      </c>
      <c r="E77" t="s">
        <f>TEXT(A77,"mmm dd")</f>
        <v>1877</v>
      </c>
      <c r="G77" t="s">
        <v>3204</v>
      </c>
      <c r="H77" s="10" t="str">
        <f>"REM "&amp;E77&amp;" +2 "&amp;"MSG "&amp;D77&amp;"%b%"""</f>
        <v>REM Mar 14 +2 MSG Mary Pat father's death  %b%"</v>
      </c>
    </row>
    <row r="78" spans="1:27">
      <c r="A78" s="3" t="s">
        <v>1284</v>
      </c>
      <c r="B78" s="3"/>
      <c r="C78" t="s">
        <v>42</v>
      </c>
      <c r="D78" t="s">
        <v>1285</v>
      </c>
      <c r="E78" t="s">
        <f>TEXT(A78,"mmm dd")</f>
        <v>224</v>
      </c>
      <c r="G78" t="s">
        <v>3204</v>
      </c>
      <c r="H78" s="10" t="str">
        <f>"REM "&amp;E78&amp;" +2 "&amp;"MSG "&amp;D78&amp;"%b%"""</f>
        <v>REM Apr 24 +2 MSG Leen's presentation @ UH  %b%"</v>
      </c>
    </row>
    <row r="79" spans="1:27">
      <c r="A79" s="3" t="s">
        <v>2677</v>
      </c>
      <c r="B79" s="3"/>
      <c r="C79" t="s">
        <v>42</v>
      </c>
      <c r="D79" t="s">
        <v>2678</v>
      </c>
      <c r="E79" t="s">
        <f>TEXT(A79,"mmm dd")</f>
        <v>232</v>
      </c>
      <c r="G79" t="s">
        <v>3204</v>
      </c>
      <c r="H79" s="10" t="str">
        <f>"REM "&amp;E79&amp;" +2 "&amp;"MSG "&amp;D79&amp;"%b%"""</f>
        <v>REM Apr 26 +2 MSG Helen Marie Swanson left us %b%"</v>
      </c>
    </row>
    <row r="80" spans="1:27">
      <c r="A80" s="3" t="s">
        <v>2522</v>
      </c>
      <c r="B80" s="3"/>
      <c r="C80" t="s">
        <v>42</v>
      </c>
      <c r="D80" t="s">
        <v>2524</v>
      </c>
      <c r="E80" t="s">
        <f>TEXT(A80,"mmm dd")</f>
        <v>360</v>
      </c>
      <c r="G80" t="s">
        <v>3204</v>
      </c>
      <c r="H80" s="10" t="str">
        <f>"REM "&amp;E80&amp;" +2 "&amp;"MSG "&amp;D80&amp;"%b%"""</f>
        <v>REM May 23 +2 MSG T's death in 2015  %b%"</v>
      </c>
    </row>
    <row r="81" spans="1:27">
      <c r="A81" s="3" t="s">
        <v>3074</v>
      </c>
      <c r="B81" s="3"/>
      <c r="C81" t="s">
        <v>42</v>
      </c>
      <c r="D81" t="s">
        <v>3075</v>
      </c>
      <c r="E81" t="s">
        <f>TEXT(A81,"mmm dd")</f>
        <v>360</v>
      </c>
      <c r="G81" t="s">
        <v>3204</v>
      </c>
      <c r="H81" s="10" t="str">
        <f>"REM "&amp;E81&amp;" +2 "&amp;"MSG "&amp;D81&amp;"%b%"""</f>
        <v>REM May 23 +2 MSG Laura Guttierez birthday   %b%"</v>
      </c>
    </row>
    <row r="82" spans="1:27">
      <c r="A82" s="3" t="s">
        <v>3193</v>
      </c>
      <c r="B82" s="3"/>
      <c r="C82" t="s">
        <v>42</v>
      </c>
      <c r="D82" t="s">
        <v>3194</v>
      </c>
      <c r="E82" t="s">
        <f>TEXT(A82,"mmm dd")</f>
        <v>295</v>
      </c>
      <c r="G82" t="s">
        <v>3204</v>
      </c>
      <c r="H82" s="10" t="str">
        <f>"REM "&amp;E82&amp;" +2 "&amp;"MSG "&amp;D82&amp;"%b%"""</f>
        <v>REM May 09 +2 MSG Prep colonoscopy    %b%"</v>
      </c>
    </row>
    <row r="83" spans="1:27">
      <c r="A83" s="3" t="s">
        <v>522</v>
      </c>
      <c r="B83" s="3"/>
      <c r="C83" t="s">
        <v>42</v>
      </c>
      <c r="D83" t="s">
        <v>523</v>
      </c>
      <c r="E83" t="s">
        <f>TEXT(A83,"mmm dd")</f>
        <v>524</v>
      </c>
      <c r="G83" t="s">
        <v>3204</v>
      </c>
      <c r="H83" s="10" t="str">
        <f>"REM "&amp;E83&amp;" +2 "&amp;"MSG "&amp;D83&amp;"%b%"""</f>
        <v>REM Jun 14 +2 MSG Miriam's Wedding    %b%"</v>
      </c>
    </row>
    <row r="84" spans="1:27">
      <c r="A84" s="3" t="s">
        <v>3081</v>
      </c>
      <c r="B84" s="3"/>
      <c r="C84" t="s">
        <v>42</v>
      </c>
      <c r="D84" t="s">
        <v>3082</v>
      </c>
      <c r="E84" t="s">
        <f>TEXT(A84,"mmm dd")</f>
        <v>524</v>
      </c>
      <c r="G84" t="s">
        <v>3204</v>
      </c>
      <c r="H84" s="10" t="str">
        <f>"REM "&amp;E84&amp;" +2 "&amp;"MSG "&amp;D84&amp;"%b%"""</f>
        <v>REM Jun 14 +2 MSG Miriam &amp; Lee's Anniversary -2008 %b%"</v>
      </c>
    </row>
    <row r="85" spans="1:27">
      <c r="A85" s="3" t="s">
        <v>2325</v>
      </c>
      <c r="B85" s="3"/>
      <c r="C85" t="s">
        <v>42</v>
      </c>
      <c r="D85" t="inlineStr">
        <is>
          <t>Les Phillips left   2014</t>
        </is>
      </c>
      <c r="E85" t="s">
        <f>TEXT(A85,"mmm dd")</f>
        <v>1335</v>
      </c>
      <c r="G85" t="s">
        <v>3204</v>
      </c>
      <c r="H85" s="10" t="str">
        <f>"REM "&amp;E85&amp;" +2 "&amp;"MSG "&amp;D85&amp;"%b%"""</f>
        <v>REM Jun 26 +2 MSG Les Phillips left   2014%b%"</v>
      </c>
    </row>
    <row r="86" spans="1:27">
      <c r="A86" s="3" t="s">
        <v>2219</v>
      </c>
      <c r="B86" s="3"/>
      <c r="C86" t="s">
        <v>42</v>
      </c>
      <c r="D86" t="s">
        <v>2021</v>
      </c>
      <c r="E86" t="s">
        <f>TEXT(A86,"mmm dd")</f>
        <v>12</v>
      </c>
      <c r="G86" t="s">
        <v>3204</v>
      </c>
      <c r="H86" s="10" t="str">
        <f>"REM "&amp;E86&amp;" +2 "&amp;"MSG "&amp;D86&amp;"%b%"""</f>
        <v>REM Jun 30 +2 MSG Cruise     %b%"</v>
      </c>
    </row>
    <row r="87" spans="1:27">
      <c r="A87" s="3" t="s">
        <v>1318</v>
      </c>
      <c r="B87" s="3"/>
      <c r="C87" t="s">
        <v>42</v>
      </c>
      <c r="D87" t="s">
        <v>1321</v>
      </c>
      <c r="E87" t="s">
        <f>TEXT(A87,"mmm dd")</f>
        <v>462</v>
      </c>
      <c r="G87" t="s">
        <v>3204</v>
      </c>
      <c r="H87" s="10" t="str">
        <f>"REM "&amp;E87&amp;" +2 "&amp;"MSG "&amp;D87&amp;"%b%"""</f>
        <v>REM Jun 06 +2 MSG Leen leaves    %b%"</v>
      </c>
    </row>
    <row r="88" spans="1:27">
      <c r="A88" s="3" t="s">
        <v>1964</v>
      </c>
      <c r="B88" s="3"/>
      <c r="C88" t="s">
        <v>42</v>
      </c>
      <c r="D88" t="s">
        <v>1965</v>
      </c>
      <c r="E88" t="s">
        <f>TEXT(A88,"mmm dd")</f>
        <v>464</v>
      </c>
      <c r="G88" t="s">
        <v>3204</v>
      </c>
      <c r="H88" s="10" t="str">
        <f>"REM "&amp;E88&amp;" +2 "&amp;"MSG "&amp;D88&amp;"%b%"""</f>
        <v>REM Jun 07 +2 MSG Bill and Karl anniversary -20 %b%"</v>
      </c>
    </row>
    <row r="89" spans="1:27">
      <c r="A89" s="3" t="s">
        <v>2530</v>
      </c>
      <c r="B89" s="3"/>
      <c r="C89" t="s">
        <v>42</v>
      </c>
      <c r="D89" t="s">
        <v>2531</v>
      </c>
      <c r="E89" t="s">
        <f>TEXT(A89,"mmm dd")</f>
        <v>22</v>
      </c>
      <c r="G89" t="s">
        <v>3204</v>
      </c>
      <c r="H89" s="10" t="str">
        <f>"REM "&amp;E89&amp;" +2 "&amp;"MSG "&amp;D89&amp;"%b%"""</f>
        <v>REM Jul 06 +2 MSG Amy's birthday    %b%"</v>
      </c>
    </row>
    <row r="90" spans="1:27">
      <c r="A90" s="3" t="s">
        <v>3099</v>
      </c>
      <c r="B90" s="3"/>
      <c r="C90" t="s">
        <v>42</v>
      </c>
      <c r="D90" t="s">
        <v>3100</v>
      </c>
      <c r="E90" t="s">
        <f>TEXT(A90,"mmm dd")</f>
        <v>754</v>
      </c>
      <c r="G90" t="s">
        <v>3204</v>
      </c>
      <c r="H90" s="10" t="str">
        <f>"REM "&amp;E90&amp;" +2 "&amp;"MSG "&amp;D90&amp;"%b%"""</f>
        <v>REM Aug 13 +2 MSG Bob Sjostrom birthday -1921  %b%"</v>
      </c>
    </row>
    <row r="91" spans="1:27">
      <c r="A91" s="3" t="s">
        <v>1607</v>
      </c>
      <c r="B91" s="3"/>
      <c r="C91" t="s">
        <v>42</v>
      </c>
      <c r="D91" t="s">
        <v>1608</v>
      </c>
      <c r="E91" t="s">
        <f>TEXT(A91,"mmm dd")</f>
        <v>812</v>
      </c>
      <c r="G91" t="s">
        <v>3204</v>
      </c>
      <c r="H91" s="10" t="str">
        <f>"REM "&amp;E91&amp;" +2 "&amp;"MSG "&amp;D91&amp;"%b%"""</f>
        <v>REM Aug 20 +2 MSG Statehood Day    %b%"</v>
      </c>
    </row>
    <row r="92" spans="1:27">
      <c r="A92" s="3" t="s">
        <v>2611</v>
      </c>
      <c r="B92" s="3"/>
      <c r="C92" t="s">
        <v>42</v>
      </c>
      <c r="D92" t="s">
        <v>2612</v>
      </c>
      <c r="E92" t="s">
        <f>TEXT(A92,"mmm dd")</f>
        <v>818</v>
      </c>
      <c r="G92" t="s">
        <v>3204</v>
      </c>
      <c r="H92" s="10" t="str">
        <f>"REM "&amp;E92&amp;" +2 "&amp;"MSG "&amp;D92&amp;"%b%"""</f>
        <v>REM Aug 21 +2 MSG Solar eclipse?    %b%"</v>
      </c>
    </row>
    <row r="93" spans="1:27">
      <c r="A93" s="3" t="s">
        <v>2049</v>
      </c>
      <c r="B93" s="3"/>
      <c r="C93" t="s">
        <v>42</v>
      </c>
      <c r="D93" t="s">
        <v>2050</v>
      </c>
      <c r="E93" t="s">
        <f>TEXT(A93,"mmm dd")</f>
        <v>837</v>
      </c>
      <c r="G93" t="s">
        <v>3204</v>
      </c>
      <c r="H93" s="10" t="str">
        <f>"REM "&amp;E93&amp;" +2 "&amp;"MSG "&amp;D93&amp;"%b%"""</f>
        <v>REM Aug 26 +2 MSG River birthday    %b%"</v>
      </c>
    </row>
    <row r="94" spans="1:27">
      <c r="A94" s="3" t="s">
        <v>3197</v>
      </c>
      <c r="B94" s="3"/>
      <c r="C94" t="s">
        <v>42</v>
      </c>
      <c r="D94" t="s">
        <v>2772</v>
      </c>
      <c r="E94" t="s">
        <f>TEXT(A94,"mmm dd")</f>
        <v>1375</v>
      </c>
      <c r="G94" t="s">
        <v>3204</v>
      </c>
      <c r="H94" s="10" t="str">
        <f>"REM "&amp;E94&amp;" +2 "&amp;"MSG "&amp;D94&amp;"%b%"""</f>
        <v>REM Aug 28 +2 MSG Wild Goose Festival   %b%"</v>
      </c>
    </row>
    <row r="95" spans="1:27">
      <c r="A95" s="3" t="s">
        <v>2437</v>
      </c>
      <c r="B95" s="3"/>
      <c r="C95" t="s">
        <v>42</v>
      </c>
      <c r="D95" t="s">
        <v>2438</v>
      </c>
      <c r="E95" t="s">
        <f>TEXT(A95,"mmm dd")</f>
        <v>841</v>
      </c>
      <c r="G95" t="s">
        <v>3204</v>
      </c>
      <c r="H95" s="10" t="str">
        <f>"REM "&amp;E95&amp;" +2 "&amp;"MSG "&amp;D95&amp;"%b%"""</f>
        <v>REM Aug 29 +2 MSG Gini's birthday    %b%"</v>
      </c>
    </row>
    <row r="96" spans="1:27">
      <c r="A96" s="3" t="s">
        <v>2439</v>
      </c>
      <c r="B96" s="3"/>
      <c r="C96" t="s">
        <v>42</v>
      </c>
      <c r="D96" t="s">
        <v>2440</v>
      </c>
      <c r="E96" t="s">
        <f>TEXT(A96,"mmm dd")</f>
        <v>2061</v>
      </c>
      <c r="G96" t="s">
        <v>3204</v>
      </c>
      <c r="H96" s="10" t="str">
        <f>"REM "&amp;E96&amp;" +2 "&amp;"MSG "&amp;D96&amp;"%b%"""</f>
        <v>REM Aug 31 +2 MSG Ralph &amp; Carol Ahle's anniversary %b%"</v>
      </c>
    </row>
    <row r="97" spans="1:27">
      <c r="A97" s="3" t="s">
        <v>1767</v>
      </c>
      <c r="B97" s="3"/>
      <c r="C97" t="s">
        <v>42</v>
      </c>
      <c r="D97" t="s">
        <v>1768</v>
      </c>
      <c r="E97" t="s">
        <f>TEXT(A97,"mmm dd")</f>
        <v>870</v>
      </c>
      <c r="G97" t="s">
        <v>3204</v>
      </c>
      <c r="H97" s="10" t="str">
        <f>"REM "&amp;E97&amp;" +2 "&amp;"MSG "&amp;D97&amp;"%b%"""</f>
        <v>REM Sep 16 +2 MSG Ethan Street birthday   %b%"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J18"/>
  <sheetViews>
    <sheetView workbookViewId="0">
      <selection activeCell="A1" sqref="A1"/>
    </sheetView>
  </sheetViews>
  <sheetFormatPr defaultColWidth="12.63" defaultRowHeight="15.75"/>
  <cols>
    <col min="1" max="5" style="1" width="2.4055697115384618"/>
    <col min="6" max="6" style="1" width="30.13" customWidth="1"/>
    <col min="7" max="7" style="1" width="2.4055697115384618"/>
    <col min="8" max="9" style="1" width="12.63" hidden="1" bestFit="1" customWidth="1"/>
    <col min="10" max="16384" style="1" width="2.4055697115384618"/>
  </cols>
  <sheetData>
    <row r="1" spans="1:10">
      <c r="A1" s="12" t="s">
        <v>0</v>
      </c>
      <c r="B1" s="12" t="inlineStr">
        <is>
          <t>Other date</t>
        </is>
      </c>
      <c r="C1" s="12" t="s">
        <v>3</v>
      </c>
      <c r="D1" s="12" t="s">
        <v>42</v>
      </c>
      <c r="E1" s="12" t="s">
        <v>4</v>
      </c>
      <c r="F1" s="12" t="s">
        <v>2</v>
      </c>
      <c r="G1" s="12" t="s">
        <v>3200</v>
      </c>
      <c r="H1" s="12" t="s">
        <v>964</v>
      </c>
      <c r="I1" s="12" t="s">
        <v>3201</v>
      </c>
      <c r="J1" s="12" t="s">
        <v>374</v>
      </c>
    </row>
    <row r="2" spans="1:10">
      <c r="A2" s="3" t="s">
        <v>41</v>
      </c>
      <c r="B2" s="3"/>
      <c r="C2" s="13" t="str">
        <f>TEXT(A2,"MM dd")</f>
        <v>04 01</v>
      </c>
      <c r="D2" t="s">
        <v>42</v>
      </c>
      <c r="F2" t="s">
        <v>3203</v>
      </c>
      <c r="G2" t="s">
        <f>TEXT(A2,"mmm dd")</f>
        <v>43</v>
      </c>
      <c r="H2" t="s">
        <v>3204</v>
      </c>
      <c r="J2" s="10" t="s">
        <f>"REM "&amp;G2&amp;" +2 "&amp;"MSG "&amp;F2&amp;"%b%"""</f>
        <v>3205</v>
      </c>
    </row>
    <row r="3" spans="1:10">
      <c r="A3" s="3">
        <v>45646</v>
      </c>
      <c r="B3" s="3"/>
      <c r="C3" s="13" t="str">
        <f>TEXT(A3,"MMM dd yyyy")</f>
        <v>Dec 20 2024</v>
      </c>
      <c r="D3" s="4">
        <v>0.52083333333333337</v>
      </c>
      <c r="E3" s="4" t="s">
        <f>TEXT(D3,"HH:MM AM/PM")</f>
        <v>3207</v>
      </c>
      <c r="F3" t="inlineStr">
        <is>
          <t>Haircut Sonina</t>
        </is>
      </c>
      <c r="G3" t="s">
        <f>TEXT(A3,"mmm dd")</f>
        <v>1120</v>
      </c>
      <c r="H3" t="s">
        <v>3204</v>
      </c>
      <c r="J3" s="10" t="str">
        <f>"REM "&amp;C3&amp;" +2 "&amp;"MSG "&amp;F3&amp;" AT "&amp;E3&amp;" %b% "</f>
        <v>REM Dec 20 2024 +2 MSG Haircut Sonina AT 12:30 PM %b% </v>
      </c>
    </row>
    <row r="4" spans="1:10">
      <c r="B4" s="14"/>
      <c r="C4" s="15" t="inlineStr">
        <is>
          <t>Fri Dec</t>
        </is>
      </c>
      <c r="D4" s="4">
        <v>0.52083333333333337</v>
      </c>
      <c r="E4" s="4" t="s">
        <f>TEXT(D4,"HH:MM AM/PM")</f>
        <v>3207</v>
      </c>
      <c r="F4" t="inlineStr">
        <is>
          <t>Happy Hour with Benford's</t>
        </is>
      </c>
      <c r="G4" t="s">
        <f>TEXT(A4,"mmm dd")</f>
        <v>38</v>
      </c>
      <c r="H4" t="s">
        <v>3204</v>
      </c>
      <c r="J4" s="10" t="str">
        <f>"REM "&amp;C4&amp;" +2 "&amp;"MSG "&amp;F4&amp;" AT "&amp;E4&amp;" %b% "</f>
        <v>REM Fri Dec +2 MSG Happy Hour with Benford's AT 12:30 PM %b% </v>
      </c>
    </row>
    <row r="5" spans="1:10">
      <c r="A5" t="inlineStr">
        <is>
          <t>------------------------------------------------------------------------</t>
        </is>
      </c>
      <c r="B5" s="3"/>
      <c r="C5" s="13"/>
      <c r="D5" s="4"/>
      <c r="E5" s="4"/>
      <c r="J5" s="10"/>
    </row>
    <row r="6" spans="1:10">
      <c r="A6" s="3">
        <v>45661</v>
      </c>
      <c r="B6" s="3"/>
      <c r="C6" s="13" t="s">
        <f>TEXT(A6,"MM dd")</f>
        <v>3202</v>
      </c>
      <c r="D6" t="s">
        <v>42</v>
      </c>
      <c r="F6" t="s">
        <v>3203</v>
      </c>
      <c r="G6" t="s">
        <f>TEXT(A6,"mmm dd")</f>
        <v>1677</v>
      </c>
      <c r="H6" t="s">
        <v>3204</v>
      </c>
      <c r="J6" s="10" t="str">
        <f>"REM "&amp;C6&amp;" +2 "&amp;"MSG "&amp;F6&amp;" AT "&amp;E6&amp;" %b% "</f>
        <v>REM 01 04 +2 MSG Frederick Denison Maurice; Priest; 1872  AT  %b% </v>
      </c>
    </row>
    <row r="7" spans="1:10">
      <c r="A7" s="3"/>
      <c r="B7" s="3"/>
      <c r="C7" s="15" t="s">
        <v>3208</v>
      </c>
      <c r="D7" s="4">
        <v>0.4375</v>
      </c>
      <c r="E7" s="4" t="s">
        <f>TEXT(D7,"HH:MM AM/PM")</f>
        <v>3209</v>
      </c>
      <c r="F7" t="inlineStr">
        <is>
          <t>Centering Prayer</t>
        </is>
      </c>
      <c r="G7" t="s">
        <f>TEXT(A7,"mmm dd")</f>
        <v>38</v>
      </c>
      <c r="H7" t="s">
        <v>3204</v>
      </c>
      <c r="J7" s="10" t="str">
        <f>"REM "&amp;C7&amp;" +2 "&amp;"MSG "&amp;F7&amp;" AT "&amp;E7&amp;" %b% "</f>
        <v>REM Thu  +2 MSG Centering Prayer AT 10:30 AM %b% </v>
      </c>
    </row>
    <row r="8" spans="1:10">
      <c r="A8" s="3"/>
      <c r="B8" s="3"/>
      <c r="C8" s="15" t="s">
        <v>3208</v>
      </c>
      <c r="D8" s="4">
        <v>0.5</v>
      </c>
      <c r="E8" s="4" t="s">
        <f>TEXT(D8,"HH:MM AM/PM")</f>
        <v>3210</v>
      </c>
      <c r="F8" t="inlineStr">
        <is>
          <t>Mass St. Alfred's</t>
        </is>
      </c>
      <c r="G8" t="s">
        <f>TEXT(A8,"mmm dd")</f>
        <v>38</v>
      </c>
      <c r="H8" t="s">
        <v>3204</v>
      </c>
      <c r="J8" s="10" t="str">
        <f>"REM "&amp;C8&amp;" +2 "&amp;"MSG "&amp;F8&amp;" AT "&amp;E8&amp;" %b% "</f>
        <v>REM Thu  +2 MSG Mass St. Alfred's AT 12:00 PM %b% </v>
      </c>
    </row>
    <row r="9" spans="1:10">
      <c r="A9" s="3">
        <v>45661</v>
      </c>
      <c r="B9" s="3"/>
      <c r="C9" s="13" t="s">
        <f>TEXT(A9,"MM dd")</f>
        <v>3202</v>
      </c>
      <c r="D9" t="s">
        <v>42</v>
      </c>
      <c r="E9" s="4" t="s">
        <f>TEXT(D9,"HH:MM AM/PM")</f>
        <v>42</v>
      </c>
      <c r="F9" t="inlineStr">
        <is>
          <t>Welcoming Prayer -- Mary Dwyer</t>
        </is>
      </c>
      <c r="G9" t="s">
        <f>TEXT(A9,"mmm dd")</f>
        <v>1677</v>
      </c>
      <c r="H9" t="s">
        <v>3204</v>
      </c>
      <c r="J9" s="10" t="str">
        <f>"REM "&amp;C9&amp;" +2 "&amp;"MSG "&amp;F9&amp;" AT "&amp;E9&amp;" %b% "</f>
        <v>REM 01 04 +2 MSG Welcoming Prayer -- Mary Dwyer AT All day %b% </v>
      </c>
    </row>
    <row r="10" spans="1:10">
      <c r="A10" s="3">
        <v>45664</v>
      </c>
      <c r="B10" s="3"/>
      <c r="C10" s="13" t="str">
        <f>TEXT(A10,"MM dd")</f>
        <v>01 07</v>
      </c>
      <c r="D10" t="s">
        <v>42</v>
      </c>
      <c r="E10" s="4" t="s">
        <f>TEXT(D10,"HH:MM AM/PM")</f>
        <v>42</v>
      </c>
      <c r="F10" t="inlineStr">
        <is>
          <t>Schedule call Bud Berta</t>
        </is>
      </c>
      <c r="G10" t="s">
        <f>TEXT(A10,"mmm dd")</f>
        <v>1682</v>
      </c>
      <c r="H10" t="s">
        <v>3204</v>
      </c>
      <c r="J10" s="10" t="str">
        <f>"REM "&amp;C10&amp;" +2 "&amp;"MSG "&amp;F10&amp;" AT "&amp;E10&amp;" %b% "</f>
        <v>REM 01 07 +2 MSG Schedule call Bud Berta AT All day %b% </v>
      </c>
    </row>
    <row r="11" spans="1:10">
      <c r="A11" s="3">
        <v>45670</v>
      </c>
      <c r="B11" s="3"/>
      <c r="C11" s="13" t="str">
        <f>TEXT(A11,"MMM dd yyyy")</f>
        <v>Jan 13 2025</v>
      </c>
      <c r="D11" s="4">
        <v>0.40625</v>
      </c>
      <c r="E11" s="4" t="str">
        <f>TEXT(D11,"HH:MM AM/PM")</f>
        <v>09:45 AM</v>
      </c>
      <c r="F11" t="inlineStr">
        <is>
          <t>Highland Lakes boat trip</t>
        </is>
      </c>
      <c r="G11" t="s">
        <f>TEXT(A11,"mmm dd")</f>
        <v>1164</v>
      </c>
      <c r="H11" t="s">
        <v>3204</v>
      </c>
      <c r="J11" s="10" t="str">
        <f>"REM "&amp;C11&amp;" +2 "&amp;"MSG "&amp;F11&amp;" AT "&amp;E11&amp;" %b% "</f>
        <v>REM Jan 13 2025 +2 MSG Highland Lakes boat trip AT 09:45 AM %b% </v>
      </c>
    </row>
    <row r="12" spans="1:10">
      <c r="A12" s="3">
        <v>45671</v>
      </c>
      <c r="B12" s="3"/>
      <c r="C12" s="13" t="s">
        <f>TEXT(A12,"MMM dd yyyy")</f>
        <v>3211</v>
      </c>
      <c r="D12" s="4">
        <v>0.5</v>
      </c>
      <c r="E12" s="4" t="s">
        <f>TEXT(D12,"HH:MM AM/PM")</f>
        <v>3210</v>
      </c>
      <c r="F12" t="inlineStr">
        <is>
          <t>Retired clergy/spouse lunch</t>
        </is>
      </c>
      <c r="G12" t="s">
        <f>TEXT(A12,"mmm dd")</f>
        <v>1166</v>
      </c>
      <c r="H12" t="s">
        <v>3204</v>
      </c>
      <c r="J12" s="10" t="str">
        <f>"REM "&amp;C12&amp;" +2 "&amp;"MSG "&amp;F12&amp;" AT "&amp;E12&amp;" %b% "</f>
        <v>REM Jan 14 2025 +2 MSG Retired clergy/spouse lunch AT 12:00 PM %b% </v>
      </c>
    </row>
    <row r="13" spans="1:10">
      <c r="A13" s="3">
        <v>45671</v>
      </c>
      <c r="B13" s="3"/>
      <c r="C13" s="13" t="s">
        <f>TEXT(A13,"MMM dd yyyy")</f>
        <v>3211</v>
      </c>
      <c r="D13" s="4">
        <v>0.64583333333333337</v>
      </c>
      <c r="E13" s="4" t="s">
        <f>TEXT(D13,"HH:MM AM/PM")</f>
        <v>3212</v>
      </c>
      <c r="F13" t="inlineStr">
        <is>
          <t>Kalani vascular ultrasound</t>
        </is>
      </c>
      <c r="G13" t="s">
        <f>TEXT(A13,"mmm dd")</f>
        <v>1166</v>
      </c>
      <c r="J13" s="10" t="str">
        <f>"REM "&amp;C13&amp;" +2 "&amp;"MSG "&amp;F13&amp;" AT "&amp;E13&amp;" %b% "</f>
        <v>REM Jan 14 2025 +2 MSG Kalani vascular ultrasound AT 03:30 PM %b% </v>
      </c>
    </row>
    <row r="14" spans="1:10">
      <c r="A14" s="3">
        <v>45674</v>
      </c>
      <c r="B14" s="3"/>
      <c r="C14" s="13" t="s">
        <f>TEXT(A14,"MMM dd yyyy")</f>
        <v>3213</v>
      </c>
      <c r="D14" s="4">
        <v>0.47916666666666669</v>
      </c>
      <c r="E14" s="4" t="s">
        <f>TEXT(D14,"HH:MM AM/PM")</f>
        <v>3214</v>
      </c>
      <c r="F14" t="inlineStr">
        <is>
          <t>Spiritual Direction w/ Liz</t>
        </is>
      </c>
      <c r="G14" t="s">
        <f>TEXT(A14,"mmm dd")</f>
        <v>1174</v>
      </c>
      <c r="J14" s="10" t="str">
        <f>"REM "&amp;C14&amp;" +2 "&amp;"MSG "&amp;F14&amp;" AT "&amp;E14&amp;" %b% "</f>
        <v>REM Jan 17 2025 +2 MSG Spiritual Direction w/ Liz AT 11:30 AM %b% </v>
      </c>
    </row>
    <row r="15" spans="1:10">
      <c r="A15" s="3">
        <v>45674</v>
      </c>
      <c r="B15" s="3"/>
      <c r="C15" s="13" t="s">
        <f>TEXT(A15,"MMM dd yyyy")</f>
        <v>3213</v>
      </c>
      <c r="D15" s="4">
        <v>0.4375</v>
      </c>
      <c r="E15" s="4" t="s">
        <f>TEXT(D15,"HH:MM AM/PM")</f>
        <v>3209</v>
      </c>
      <c r="F15" t="inlineStr">
        <is>
          <t>SD with Linda</t>
        </is>
      </c>
      <c r="G15" t="s">
        <f>TEXT(A15,"mmm dd")</f>
        <v>1174</v>
      </c>
      <c r="J15" s="10" t="str">
        <f>"REM "&amp;C15&amp;" +2 "&amp;"MSG "&amp;F15&amp;" AT "&amp;E15&amp;" %b% "</f>
        <v>REM Jan 17 2025 +2 MSG SD with Linda AT 10:30 AM %b% </v>
      </c>
    </row>
    <row r="16" spans="1:10">
      <c r="A16" s="3">
        <v>45675</v>
      </c>
      <c r="B16" s="3"/>
      <c r="C16" s="13" t="str">
        <f>TEXT(A16,"MMM dd yyyy")</f>
        <v>Jan 18 2025</v>
      </c>
      <c r="D16" s="4">
        <v>0.5</v>
      </c>
      <c r="E16" s="4" t="s">
        <f>TEXT(D16,"HH:MM AM/PM")</f>
        <v>3210</v>
      </c>
      <c r="F16" t="inlineStr">
        <is>
          <t>COTB in person - Dayspring</t>
        </is>
      </c>
      <c r="G16" t="s">
        <f>TEXT(A16,"mmm dd")</f>
        <v>1687</v>
      </c>
      <c r="J16" s="10" t="str">
        <f>"REM "&amp;C16&amp;" +2 "&amp;"MSG "&amp;F16&amp;" AT "&amp;E16&amp;" %b% "</f>
        <v>REM Jan 18 2025 +2 MSG COTB in person - Dayspring AT 12:00 PM %b% </v>
      </c>
    </row>
    <row r="17" spans="1:10">
      <c r="A17" s="3">
        <v>45683</v>
      </c>
      <c r="B17" s="3"/>
      <c r="C17" s="13" t="str">
        <f>TEXT(A17,"MMM dd yyyy")</f>
        <v>Jan 26 2025</v>
      </c>
      <c r="D17" s="4">
        <v>0.47916666666666669</v>
      </c>
      <c r="E17" s="4" t="s">
        <f>TEXT(D17,"HH:MM AM/PM")</f>
        <v>3214</v>
      </c>
      <c r="F17" t="inlineStr">
        <is>
          <t>St. Alfred's annual meeting</t>
        </is>
      </c>
      <c r="G17" t="s">
        <f>TEXT(A17,"mmm dd")</f>
        <v>1488</v>
      </c>
      <c r="J17" s="10" t="str">
        <f>"REM "&amp;C17&amp;" +2 "&amp;"MSG "&amp;F17&amp;" AT "&amp;E17&amp;" %b% "</f>
        <v>REM Jan 26 2025 +2 MSG St. Alfred's annual meeting AT 11:30 AM %b% </v>
      </c>
    </row>
    <row r="18" spans="1:10">
      <c r="A18" s="3">
        <v>45686</v>
      </c>
      <c r="B18" s="3"/>
      <c r="C18" s="13" t="str">
        <f>TEXT(A18,"MMM dd yyyy")</f>
        <v>Jan 29 2025</v>
      </c>
      <c r="D18" s="4">
        <v>0.40277777777777779</v>
      </c>
      <c r="E18" s="4" t="str">
        <f>TEXT(D18,"HH:MM AM/PM")</f>
        <v>09:40 AM</v>
      </c>
      <c r="F18" t="inlineStr">
        <is>
          <t>Fasting Labs (MPS)</t>
        </is>
      </c>
      <c r="G18" t="s">
        <f>TEXT(A18,"mmm dd")</f>
        <v>1497</v>
      </c>
      <c r="J18" s="10" t="str">
        <f>"REM "&amp;C18&amp;" +2 "&amp;"MSG "&amp;F18&amp;" AT "&amp;E18&amp;" %b% "</f>
        <v>REM Jan 29 2025 +2 MSG Fasting Labs (MPS) AT 09:40 AM %b% 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260"/>
  <sheetViews>
    <sheetView workbookViewId="0">
      <selection activeCell="A1" sqref="A1"/>
    </sheetView>
  </sheetViews>
  <sheetFormatPr defaultColWidth="12.63" defaultRowHeight="15.75"/>
  <cols>
    <col min="1" max="3" style="1" width="2.4055697115384618"/>
    <col min="4" max="4" style="1" width="39.13" customWidth="1"/>
    <col min="5" max="16384" style="1" width="2.4055697115384618"/>
  </cols>
  <sheetData>
    <row r="1" spans="1:5">
      <c r="C1" s="12" t="s">
        <v>0</v>
      </c>
    </row>
    <row r="2" spans="1:5">
      <c r="A2" t="s">
        <v>1819</v>
      </c>
      <c r="B2">
        <v>4</v>
      </c>
      <c r="C2" t="str">
        <f>(A2&amp;" "&amp;B2)</f>
        <v>Jan 4</v>
      </c>
      <c r="D2" t="inlineStr">
        <is>
          <t>Elizabeth Seton, Vowed Religious and Educator, 1821</t>
        </is>
      </c>
      <c r="E2" s="10" t="str">
        <f>"REM "&amp;C2&amp;" +2 "&amp;"MSG "&amp;D2&amp;" %b%"""</f>
        <v>REM Jan 4 +2 MSG Elizabeth Seton, Vowed Religious and Educator, 1821 %b%"</v>
      </c>
    </row>
    <row r="3" spans="1:5">
      <c r="A3" t="s">
        <v>1819</v>
      </c>
      <c r="B3">
        <v>5</v>
      </c>
      <c r="C3" t="str">
        <f>(A3&amp;" "&amp;B3)</f>
        <v>Jan 5</v>
      </c>
      <c r="D3" t="inlineStr">
        <is>
          <t>Sarah, Theodora, and Syncletica of Egypt, Desert Mothers, fourth–fifth century</t>
        </is>
      </c>
      <c r="E3" s="10" t="str">
        <f>"REM "&amp;C3&amp;" +2 "&amp;"MSG "&amp;D3&amp;" %b%"""</f>
        <v>REM Jan 5 +2 MSG Sarah, Theodora, and Syncletica of Egypt, Desert Mothers, fourth–fifth century %b%"</v>
      </c>
    </row>
    <row r="4" spans="1:5">
      <c r="A4" t="s">
        <v>1819</v>
      </c>
      <c r="B4">
        <v>8</v>
      </c>
      <c r="C4" t="str">
        <f>(A4&amp;" "&amp;B4)</f>
        <v>Jan 8</v>
      </c>
      <c r="D4" t="inlineStr">
        <is>
          <t>Harriet Bedell, Deaconess and Missionary, 1969</t>
        </is>
      </c>
      <c r="E4" s="10" t="str">
        <f>"REM "&amp;C4&amp;" +2 "&amp;"MSG "&amp;D4&amp;" %b%"""</f>
        <v>REM Jan 8 +2 MSG Harriet Bedell, Deaconess and Missionary, 1969 %b%"</v>
      </c>
    </row>
    <row r="5" spans="1:5">
      <c r="A5" t="s">
        <v>1819</v>
      </c>
      <c r="B5">
        <v>9</v>
      </c>
      <c r="C5" t="str">
        <f>(A5&amp;" "&amp;B5)</f>
        <v>Jan 9</v>
      </c>
      <c r="D5" t="inlineStr">
        <is>
          <t>Julia Chester Emery, Lay Leader and Missionary, 1922</t>
        </is>
      </c>
      <c r="E5" s="10" t="str">
        <f>"REM "&amp;C5&amp;" +2 "&amp;"MSG "&amp;D5&amp;" %b%"""</f>
        <v>REM Jan 9 +2 MSG Julia Chester Emery, Lay Leader and Missionary, 1922 %b%"</v>
      </c>
    </row>
    <row r="6" spans="1:5">
      <c r="A6" t="s">
        <v>1819</v>
      </c>
      <c r="B6">
        <v>10</v>
      </c>
      <c r="C6" t="s">
        <f>(A6&amp;" "&amp;B6)</f>
        <v>1146</v>
      </c>
      <c r="D6" t="inlineStr">
        <is>
          <t>William Laud, Archbishop of Canterbury, 1645</t>
        </is>
      </c>
      <c r="E6" s="10" t="str">
        <f>"REM "&amp;C6&amp;" +2 "&amp;"MSG "&amp;D6&amp;" %b%"""</f>
        <v>REM Jan 10 +2 MSG William Laud, Archbishop of Canterbury, 1645 %b%"</v>
      </c>
    </row>
    <row r="7" spans="1:5">
      <c r="A7" t="s">
        <v>1819</v>
      </c>
      <c r="B7">
        <v>12</v>
      </c>
      <c r="C7" t="s">
        <f>(A7&amp;" "&amp;B7)</f>
        <v>1478</v>
      </c>
      <c r="D7" t="inlineStr">
        <is>
          <t>Aelred of Rievaulx, Monastic and Theologian, 1167</t>
        </is>
      </c>
      <c r="E7" s="10" t="str">
        <f>"REM "&amp;C7&amp;" +2 "&amp;"MSG "&amp;D7&amp;" %b%"""</f>
        <v>REM Jan 12 +2 MSG Aelred of Rievaulx, Monastic and Theologian, 1167 %b%"</v>
      </c>
    </row>
    <row r="8" spans="1:5">
      <c r="A8" t="s">
        <v>1819</v>
      </c>
      <c r="B8">
        <v>13</v>
      </c>
      <c r="C8" t="s">
        <f>(A8&amp;" "&amp;B8)</f>
        <v>1164</v>
      </c>
      <c r="D8" t="inlineStr">
        <is>
          <t>Hilary of Poitiers, Bishop, 367</t>
        </is>
      </c>
      <c r="E8" s="10" t="str">
        <f>"REM "&amp;C8&amp;" +2 "&amp;"MSG "&amp;D8&amp;" %b%"""</f>
        <v>REM Jan 13 +2 MSG Hilary of Poitiers, Bishop, 367 %b%"</v>
      </c>
    </row>
    <row r="9" spans="1:5">
      <c r="A9" t="s">
        <v>1819</v>
      </c>
      <c r="B9">
        <v>16</v>
      </c>
      <c r="C9" t="s">
        <f>(A9&amp;" "&amp;B9)</f>
        <v>1170</v>
      </c>
      <c r="D9" t="inlineStr">
        <is>
          <t>Richard Meux Benson, Priest, and Charles Gore, Bishop, 1915 and 1932</t>
        </is>
      </c>
      <c r="E9" s="10" t="str">
        <f>"REM "&amp;C9&amp;" +2 "&amp;"MSG "&amp;D9&amp;" %b%"""</f>
        <v>REM Jan 16 +2 MSG Richard Meux Benson, Priest, and Charles Gore, Bishop, 1915 and 1932 %b%"</v>
      </c>
    </row>
    <row r="10" spans="1:5">
      <c r="A10" t="s">
        <v>1819</v>
      </c>
      <c r="B10">
        <v>17</v>
      </c>
      <c r="C10" t="s">
        <f>(A10&amp;" "&amp;B10)</f>
        <v>1174</v>
      </c>
      <c r="D10" t="inlineStr">
        <is>
          <t>Antony of Egypt, Monastic</t>
        </is>
      </c>
      <c r="E10" s="10" t="str">
        <f>"REM "&amp;C10&amp;" +2 "&amp;"MSG "&amp;D10&amp;" %b%"""</f>
        <v>REM Jan 17 +2 MSG Antony of Egypt, Monastic %b%"</v>
      </c>
    </row>
    <row r="11" spans="1:5">
      <c r="A11" t="s">
        <v>1819</v>
      </c>
      <c r="B11">
        <v>19</v>
      </c>
      <c r="C11" t="s">
        <f>(A11&amp;" "&amp;B11)</f>
        <v>1481</v>
      </c>
      <c r="D11" t="inlineStr">
        <is>
          <t>Wulfstan of Worcester, Bishop, 1095</t>
        </is>
      </c>
      <c r="E11" s="10" t="str">
        <f>"REM "&amp;C11&amp;" +2 "&amp;"MSG "&amp;D11&amp;" %b%"""</f>
        <v>REM Jan 19 +2 MSG Wulfstan of Worcester, Bishop, 1095 %b%"</v>
      </c>
    </row>
    <row r="12" spans="1:5">
      <c r="A12" t="s">
        <v>1819</v>
      </c>
      <c r="B12">
        <v>20</v>
      </c>
      <c r="C12" t="s">
        <f>(A12&amp;" "&amp;B12)</f>
        <v>1482</v>
      </c>
      <c r="D12" t="inlineStr">
        <is>
          <t>Fabian, Bishop and Martyr, 250</t>
        </is>
      </c>
      <c r="E12" s="10" t="str">
        <f>"REM "&amp;C12&amp;" +2 "&amp;"MSG "&amp;D12&amp;" %b%"""</f>
        <v>REM Jan 20 +2 MSG Fabian, Bishop and Martyr, 250 %b%"</v>
      </c>
    </row>
    <row r="13" spans="1:5">
      <c r="A13" t="s">
        <v>1819</v>
      </c>
      <c r="B13">
        <v>21</v>
      </c>
      <c r="C13" t="s">
        <f>(A13&amp;" "&amp;B13)</f>
        <v>1485</v>
      </c>
      <c r="D13" t="inlineStr">
        <is>
          <t>Agnes and Cecilia of Rome, Martyrs, 304 and c.230</t>
        </is>
      </c>
      <c r="E13" s="10" t="str">
        <f>"REM "&amp;C13&amp;" +2 "&amp;"MSG "&amp;D13&amp;" %b%"""</f>
        <v>REM Jan 21 +2 MSG Agnes and Cecilia of Rome, Martyrs, 304 and c.230 %b%"</v>
      </c>
    </row>
    <row r="14" spans="1:5">
      <c r="A14" t="s">
        <v>1819</v>
      </c>
      <c r="B14">
        <v>22</v>
      </c>
      <c r="C14" t="s">
        <f>(A14&amp;" "&amp;B14)</f>
        <v>1692</v>
      </c>
      <c r="D14" t="inlineStr">
        <is>
          <t>Vincent of Saragossa, Deacon and Martyr, 304</t>
        </is>
      </c>
      <c r="E14" s="10" t="str">
        <f>"REM "&amp;C14&amp;" +2 "&amp;"MSG "&amp;D14&amp;" %b%"""</f>
        <v>REM Jan 22 +2 MSG Vincent of Saragossa, Deacon and Martyr, 304 %b%"</v>
      </c>
    </row>
    <row r="15" spans="1:5">
      <c r="A15" t="s">
        <v>1819</v>
      </c>
      <c r="B15">
        <v>23</v>
      </c>
      <c r="C15" t="s">
        <f>(A15&amp;" "&amp;B15)</f>
        <v>1179</v>
      </c>
      <c r="D15" t="inlineStr">
        <is>
          <t>Phillips Brooks, Bishop, 1893</t>
        </is>
      </c>
      <c r="E15" s="10" t="str">
        <f>"REM "&amp;C15&amp;" +2 "&amp;"MSG "&amp;D15&amp;" %b%"""</f>
        <v>REM Jan 23 +2 MSG Phillips Brooks, Bishop, 1893 %b%"</v>
      </c>
    </row>
    <row r="16" spans="1:5">
      <c r="A16" t="s">
        <v>1819</v>
      </c>
      <c r="B16">
        <v>24</v>
      </c>
      <c r="C16" t="s">
        <f>(A16&amp;" "&amp;B16)</f>
        <v>1829</v>
      </c>
      <c r="D16" t="inlineStr">
        <is>
          <t>Florence Li Tim-Oi, Priest, 1992</t>
        </is>
      </c>
      <c r="E16" s="10" t="str">
        <f>"REM "&amp;C16&amp;" +2 "&amp;"MSG "&amp;D16&amp;" %b%"""</f>
        <v>REM Jan 24 +2 MSG Florence Li Tim-Oi, Priest, 1992 %b%"</v>
      </c>
    </row>
    <row r="17" spans="1:5">
      <c r="A17" t="s">
        <v>1819</v>
      </c>
      <c r="B17">
        <v>26</v>
      </c>
      <c r="C17" t="s">
        <f>(A17&amp;" "&amp;B17)</f>
        <v>1488</v>
      </c>
      <c r="D17" t="inlineStr">
        <is>
          <t>Timothy and Titus , Companions of Saint Paul</t>
        </is>
      </c>
      <c r="E17" s="10" t="str">
        <f>"REM "&amp;C17&amp;" +2 "&amp;"MSG "&amp;D17&amp;" %b%"""</f>
        <v>REM Jan 26 +2 MSG Timothy and Titus , Companions of Saint Paul %b%"</v>
      </c>
    </row>
    <row r="18" spans="1:5">
      <c r="A18" t="s">
        <v>1819</v>
      </c>
      <c r="B18">
        <v>27</v>
      </c>
      <c r="C18" t="s">
        <f>(A18&amp;" "&amp;B18)</f>
        <v>1696</v>
      </c>
      <c r="D18" t="inlineStr">
        <is>
          <t>John Chrysostom, Bishop and Theologian, 407</t>
        </is>
      </c>
      <c r="E18" s="10" t="str">
        <f>"REM "&amp;C18&amp;" +2 "&amp;"MSG "&amp;D18&amp;" %b%"""</f>
        <v>REM Jan 27 +2 MSG John Chrysostom, Bishop and Theologian, 407 %b%"</v>
      </c>
    </row>
    <row r="19" spans="1:5">
      <c r="A19" t="s">
        <v>1819</v>
      </c>
      <c r="B19">
        <v>28</v>
      </c>
      <c r="C19" t="s">
        <f>(A19&amp;" "&amp;B19)</f>
        <v>1492</v>
      </c>
      <c r="D19" t="inlineStr">
        <is>
          <t>Thomas Aquinas, Friar and Theologian, 1274</t>
        </is>
      </c>
      <c r="E19" s="10" t="str">
        <f>"REM "&amp;C19&amp;" +2 "&amp;"MSG "&amp;D19&amp;" %b%"""</f>
        <v>REM Jan 28 +2 MSG Thomas Aquinas, Friar and Theologian, 1274 %b%"</v>
      </c>
    </row>
    <row r="20" spans="1:5">
      <c r="A20" t="s">
        <v>1819</v>
      </c>
      <c r="B20">
        <v>29</v>
      </c>
      <c r="C20" t="s">
        <f>(A20&amp;" "&amp;B20)</f>
        <v>1497</v>
      </c>
      <c r="D20" t="inlineStr">
        <is>
          <t>[Liliʻuokalani of Hawai’i]</t>
        </is>
      </c>
      <c r="E20" s="10" t="str">
        <f>"REM "&amp;C20&amp;" +2 "&amp;"MSG "&amp;D20&amp;" %b%"""</f>
        <v>REM Jan 29 +2 MSG [Liliʻuokalani of Hawai’i] %b%"</v>
      </c>
    </row>
    <row r="21" spans="1:5">
      <c r="A21" t="s">
        <v>1819</v>
      </c>
      <c r="B21">
        <v>31</v>
      </c>
      <c r="C21" t="s">
        <f>(A21&amp;" "&amp;B21)</f>
        <v>1500</v>
      </c>
      <c r="D21" t="inlineStr">
        <is>
          <t>Marcella of Rome, Monastic and Scholar, 410</t>
        </is>
      </c>
      <c r="E21" s="10" t="str">
        <f>"REM "&amp;C21&amp;" +2 "&amp;"MSG "&amp;D21&amp;" %b%"""</f>
        <v>REM Jan 31 +2 MSG Marcella of Rome, Monastic and Scholar, 410 %b%"</v>
      </c>
    </row>
    <row r="22" spans="1:5">
      <c r="A22" t="s">
        <v>3215</v>
      </c>
      <c r="B22">
        <v>1</v>
      </c>
      <c r="C22" t="str">
        <f>(A22&amp;" "&amp;B22)</f>
        <v>Feb 1</v>
      </c>
      <c r="D22" t="inlineStr">
        <is>
          <t>Brigid of Kildare Monastic, c.523</t>
        </is>
      </c>
      <c r="E22" s="10" t="str">
        <f>"REM "&amp;C22&amp;" +2 "&amp;"MSG "&amp;D22&amp;" %b%"""</f>
        <v>REM Feb 1 +2 MSG Brigid of Kildare Monastic, c.523 %b%"</v>
      </c>
    </row>
    <row r="23" spans="1:5">
      <c r="A23" t="s">
        <v>3215</v>
      </c>
      <c r="B23">
        <v>3</v>
      </c>
      <c r="C23" t="str">
        <f>(A23&amp;" "&amp;B23)</f>
        <v>Feb 3</v>
      </c>
      <c r="D23" t="inlineStr">
        <is>
          <t>Anskar, Bishop and Missionary, 865</t>
        </is>
      </c>
      <c r="E23" s="10" t="str">
        <f>"REM "&amp;C23&amp;" +2 "&amp;"MSG "&amp;D23&amp;" %b%"""</f>
        <v>REM Feb 3 +2 MSG Anskar, Bishop and Missionary, 865 %b%"</v>
      </c>
    </row>
    <row r="24" spans="1:5">
      <c r="A24" t="s">
        <v>3215</v>
      </c>
      <c r="B24">
        <v>4</v>
      </c>
      <c r="C24" t="str">
        <f>(A24&amp;" "&amp;B24)</f>
        <v>Feb 4</v>
      </c>
      <c r="D24" t="inlineStr">
        <is>
          <t>Manche Masemola, Martyr, 1928</t>
        </is>
      </c>
      <c r="E24" s="10" t="str">
        <f>"REM "&amp;C24&amp;" +2 "&amp;"MSG "&amp;D24&amp;" %b%"""</f>
        <v>REM Feb 4 +2 MSG Manche Masemola, Martyr, 1928 %b%"</v>
      </c>
    </row>
    <row r="25" spans="1:5">
      <c r="A25" t="s">
        <v>3215</v>
      </c>
      <c r="B25">
        <v>5</v>
      </c>
      <c r="C25" t="str">
        <f>(A25&amp;" "&amp;B25)</f>
        <v>Feb 5</v>
      </c>
      <c r="D25" t="inlineStr">
        <is>
          <t>Agatha of Sicily, Martyr, c.251</t>
        </is>
      </c>
      <c r="E25" s="10" t="str">
        <f>"REM "&amp;C25&amp;" +2 "&amp;"MSG "&amp;D25&amp;" %b%"""</f>
        <v>REM Feb 5 +2 MSG Agatha of Sicily, Martyr, c.251 %b%"</v>
      </c>
    </row>
    <row r="26" spans="1:5">
      <c r="A26" t="s">
        <v>3215</v>
      </c>
      <c r="B26">
        <v>6</v>
      </c>
      <c r="C26" t="str">
        <f>(A26&amp;" "&amp;B26)</f>
        <v>Feb 6</v>
      </c>
      <c r="D26" t="inlineStr">
        <is>
          <t>The Martyrs of Japan, 1597</t>
        </is>
      </c>
      <c r="E26" s="10" t="str">
        <f>"REM "&amp;C26&amp;" +2 "&amp;"MSG "&amp;D26&amp;" %b%"""</f>
        <v>REM Feb 6 +2 MSG The Martyrs of Japan, 1597 %b%"</v>
      </c>
    </row>
    <row r="27" spans="1:5">
      <c r="A27" t="s">
        <v>3215</v>
      </c>
      <c r="B27">
        <v>8</v>
      </c>
      <c r="C27" t="str">
        <f>(A27&amp;" "&amp;B27)</f>
        <v>Feb 8</v>
      </c>
      <c r="D27" t="inlineStr">
        <is>
          <t>Bakhita (Josephine Margaret Bakhita), Monastic, 1947</t>
        </is>
      </c>
      <c r="E27" s="10" t="str">
        <f>"REM "&amp;C27&amp;" +2 "&amp;"MSG "&amp;D27&amp;" %b%"""</f>
        <v>REM Feb 8 +2 MSG Bakhita (Josephine Margaret Bakhita), Monastic, 1947 %b%"</v>
      </c>
    </row>
    <row r="28" spans="1:5">
      <c r="A28" t="s">
        <v>3215</v>
      </c>
      <c r="B28">
        <v>10</v>
      </c>
      <c r="C28" t="s">
        <f>(A28&amp;" "&amp;B28)</f>
        <v>1190</v>
      </c>
      <c r="D28" t="inlineStr">
        <is>
          <t>Scholastica, Monastic, 543</t>
        </is>
      </c>
      <c r="E28" s="10" t="str">
        <f>"REM "&amp;C28&amp;" +2 "&amp;"MSG "&amp;D28&amp;" %b%"""</f>
        <v>REM Feb 10 +2 MSG Scholastica, Monastic, 543 %b%"</v>
      </c>
    </row>
    <row r="29" spans="1:5">
      <c r="A29" t="s">
        <v>3215</v>
      </c>
      <c r="B29">
        <v>11</v>
      </c>
      <c r="C29" t="s">
        <f>(A29&amp;" "&amp;B29)</f>
        <v>1509</v>
      </c>
      <c r="D29" t="inlineStr">
        <is>
          <t>The Consecration of Barbara Clementine Harris, First Woman Bishop in the Anglican Communion, 1989</t>
        </is>
      </c>
      <c r="E29" s="10" t="str">
        <f>"REM "&amp;C29&amp;" +2 "&amp;"MSG "&amp;D29&amp;" %b%"""</f>
        <v>REM Feb 11 +2 MSG The Consecration of Barbara Clementine Harris, First Woman Bishop in the Anglican Communion, 1989 %b%"</v>
      </c>
    </row>
    <row r="30" spans="1:5">
      <c r="A30" t="s">
        <v>3215</v>
      </c>
      <c r="B30">
        <v>12</v>
      </c>
      <c r="C30" t="s">
        <f>(A30&amp;" "&amp;B30)</f>
        <v>1194</v>
      </c>
      <c r="D30" t="inlineStr">
        <is>
          <t>Theodora, Empress, c.867</t>
        </is>
      </c>
      <c r="E30" s="10" t="str">
        <f>"REM "&amp;C30&amp;" +2 "&amp;"MSG "&amp;D30&amp;" %b%"""</f>
        <v>REM Feb 12 +2 MSG Theodora, Empress, c.867 %b%"</v>
      </c>
    </row>
    <row r="31" spans="1:5">
      <c r="A31" t="s">
        <v>3215</v>
      </c>
      <c r="B31">
        <v>13</v>
      </c>
      <c r="C31" t="s">
        <f>(A31&amp;" "&amp;B31)</f>
        <v>1198</v>
      </c>
      <c r="D31" t="inlineStr">
        <is>
          <t>Absalom Jones, Priest, 1818</t>
        </is>
      </c>
      <c r="E31" s="10" t="str">
        <f>"REM "&amp;C31&amp;" +2 "&amp;"MSG "&amp;D31&amp;" %b%"""</f>
        <v>REM Feb 13 +2 MSG Absalom Jones, Priest, 1818 %b%"</v>
      </c>
    </row>
    <row r="32" spans="1:5">
      <c r="A32" t="s">
        <v>3215</v>
      </c>
      <c r="B32">
        <v>14</v>
      </c>
      <c r="C32" t="s">
        <f>(A32&amp;" "&amp;B32)</f>
        <v>2180</v>
      </c>
      <c r="D32" t="inlineStr">
        <is>
          <t>Cyril and Methodius, Missionaries, 869 and 885</t>
        </is>
      </c>
      <c r="E32" s="10" t="str">
        <f>"REM "&amp;C32&amp;" +2 "&amp;"MSG "&amp;D32&amp;" %b%"""</f>
        <v>REM Feb 14 +2 MSG Cyril and Methodius, Missionaries, 869 and 885 %b%"</v>
      </c>
    </row>
    <row r="33" spans="1:5">
      <c r="A33" t="s">
        <v>3215</v>
      </c>
      <c r="B33">
        <v>15</v>
      </c>
      <c r="C33" t="s">
        <f>(A33&amp;" "&amp;B33)</f>
        <v>1849</v>
      </c>
      <c r="D33" t="inlineStr">
        <is>
          <t>Thomas Bray, Priest and Missionary, 1730</t>
        </is>
      </c>
      <c r="E33" s="10" t="str">
        <f>"REM "&amp;C33&amp;" +2 "&amp;"MSG "&amp;D33&amp;" %b%"""</f>
        <v>REM Feb 15 +2 MSG Thomas Bray, Priest and Missionary, 1730 %b%"</v>
      </c>
    </row>
    <row r="34" spans="1:5">
      <c r="A34" t="s">
        <v>3215</v>
      </c>
      <c r="B34">
        <v>17</v>
      </c>
      <c r="C34" t="s">
        <f>(A34&amp;" "&amp;B34)</f>
        <v>1521</v>
      </c>
      <c r="D34" t="inlineStr">
        <is>
          <t>Janani Luwum, Archbishop and Martyr, 1977</t>
        </is>
      </c>
      <c r="E34" s="10" t="str">
        <f>"REM "&amp;C34&amp;" +2 "&amp;"MSG "&amp;D34&amp;" %b%"""</f>
        <v>REM Feb 17 +2 MSG Janani Luwum, Archbishop and Martyr, 1977 %b%"</v>
      </c>
    </row>
    <row r="35" spans="1:5">
      <c r="A35" t="s">
        <v>3215</v>
      </c>
      <c r="B35">
        <v>18</v>
      </c>
      <c r="C35" t="s">
        <f>(A35&amp;" "&amp;B35)</f>
        <v>1206</v>
      </c>
      <c r="D35" t="inlineStr">
        <is>
          <t>Martin Luther, Pastor and Reformer, 1546</t>
        </is>
      </c>
      <c r="E35" s="10" t="str">
        <f>"REM "&amp;C35&amp;" +2 "&amp;"MSG "&amp;D35&amp;" %b%"""</f>
        <v>REM Feb 18 +2 MSG Martin Luther, Pastor and Reformer, 1546 %b%"</v>
      </c>
    </row>
    <row r="36" spans="1:5">
      <c r="A36" t="s">
        <v>3215</v>
      </c>
      <c r="B36">
        <v>19</v>
      </c>
      <c r="C36" t="s">
        <f>(A36&amp;" "&amp;B36)</f>
        <v>1209</v>
      </c>
      <c r="D36" t="inlineStr">
        <is>
          <t>Agnes Tsao Kou Ying, Agatha Lin Zhao, and Lucy Yi Zhenmei, Catechists and Martyrs, 1856, 1858, and 1862</t>
        </is>
      </c>
      <c r="E36" s="10" t="str">
        <f>"REM "&amp;C36&amp;" +2 "&amp;"MSG "&amp;D36&amp;" %b%"""</f>
        <v>REM Feb 19 +2 MSG Agnes Tsao Kou Ying, Agatha Lin Zhao, and Lucy Yi Zhenmei, Catechists and Martyrs, 1856, 1858, and 1862 %b%"</v>
      </c>
    </row>
    <row r="37" spans="1:5">
      <c r="A37" t="s">
        <v>3215</v>
      </c>
      <c r="B37">
        <v>20</v>
      </c>
      <c r="C37" t="s">
        <f>(A37&amp;" "&amp;B37)</f>
        <v>1525</v>
      </c>
      <c r="D37" t="inlineStr">
        <is>
          <t>Frederick Douglass, Social Reformer, 1895</t>
        </is>
      </c>
      <c r="E37" s="10" t="str">
        <f>"REM "&amp;C37&amp;" +2 "&amp;"MSG "&amp;D37&amp;" %b%"""</f>
        <v>REM Feb 20 +2 MSG Frederick Douglass, Social Reformer, 1895 %b%"</v>
      </c>
    </row>
    <row r="38" spans="1:5">
      <c r="A38" t="s">
        <v>3215</v>
      </c>
      <c r="B38">
        <v>22</v>
      </c>
      <c r="C38" t="s">
        <f>(A38&amp;" "&amp;B38)</f>
        <v>1213</v>
      </c>
      <c r="D38" t="inlineStr">
        <is>
          <t>Margaret of Cortona, Monastic, 1297</t>
        </is>
      </c>
      <c r="E38" s="10" t="str">
        <f>"REM "&amp;C38&amp;" +2 "&amp;"MSG "&amp;D38&amp;" %b%"""</f>
        <v>REM Feb 22 +2 MSG Margaret of Cortona, Monastic, 1297 %b%"</v>
      </c>
    </row>
    <row r="39" spans="1:5">
      <c r="A39" t="s">
        <v>3215</v>
      </c>
      <c r="B39">
        <v>23</v>
      </c>
      <c r="C39" t="s">
        <f>(A39&amp;" "&amp;B39)</f>
        <v>1532</v>
      </c>
      <c r="D39" t="inlineStr">
        <is>
          <t>Polycarp, Bishop and Martyr of Smyrna, 156</t>
        </is>
      </c>
      <c r="E39" s="10" t="str">
        <f>"REM "&amp;C39&amp;" +2 "&amp;"MSG "&amp;D39&amp;" %b%"""</f>
        <v>REM Feb 23 +2 MSG Polycarp, Bishop and Martyr of Smyrna, 156 %b%"</v>
      </c>
    </row>
    <row r="40" spans="1:5">
      <c r="A40" t="s">
        <v>3215</v>
      </c>
      <c r="B40">
        <v>25</v>
      </c>
      <c r="C40" t="s">
        <f>(A40&amp;" "&amp;B40)</f>
        <v>1216</v>
      </c>
      <c r="D40" t="inlineStr">
        <is>
          <t>Emily Malbone Morgan, Lay Leader and Contemplative, 1937</t>
        </is>
      </c>
      <c r="E40" s="10" t="str">
        <f>"REM "&amp;C40&amp;" +2 "&amp;"MSG "&amp;D40&amp;" %b%"""</f>
        <v>REM Feb 25 +2 MSG Emily Malbone Morgan, Lay Leader and Contemplative, 1937 %b%"</v>
      </c>
    </row>
    <row r="41" spans="1:5">
      <c r="A41" t="s">
        <v>3215</v>
      </c>
      <c r="B41">
        <v>26</v>
      </c>
      <c r="C41" t="s">
        <f>(A41&amp;" "&amp;B41)</f>
        <v>1219</v>
      </c>
      <c r="D41" t="inlineStr">
        <is>
          <t>Photini, The Samaritan Woman, c.67</t>
        </is>
      </c>
      <c r="E41" s="10" t="str">
        <f>"REM "&amp;C41&amp;" +2 "&amp;"MSG "&amp;D41&amp;" %b%"""</f>
        <v>REM Feb 26 +2 MSG Photini, The Samaritan Woman, c.67 %b%"</v>
      </c>
    </row>
    <row r="42" spans="1:5">
      <c r="A42" t="s">
        <v>3215</v>
      </c>
      <c r="B42">
        <v>27</v>
      </c>
      <c r="C42" t="s">
        <f>(A42&amp;" "&amp;B42)</f>
        <v>1223</v>
      </c>
      <c r="D42" t="inlineStr">
        <is>
          <t>George Herbert, Priest and Poet, 1633</t>
        </is>
      </c>
      <c r="E42" s="10" t="str">
        <f>"REM "&amp;C42&amp;" +2 "&amp;"MSG "&amp;D42&amp;" %b%"""</f>
        <v>REM Feb 27 +2 MSG George Herbert, Priest and Poet, 1633 %b%"</v>
      </c>
    </row>
    <row r="43" spans="1:5">
      <c r="A43" t="s">
        <v>3215</v>
      </c>
      <c r="B43">
        <v>28</v>
      </c>
      <c r="C43" t="s">
        <f>(A43&amp;" "&amp;B43)</f>
        <v>1227</v>
      </c>
      <c r="D43" t="inlineStr">
        <is>
          <t>Anna Julia Haywood Cooper, Educator, 1964</t>
        </is>
      </c>
      <c r="E43" s="10" t="str">
        <f>"REM "&amp;C43&amp;" +2 "&amp;"MSG "&amp;D43&amp;" %b%"""</f>
        <v>REM Feb 28 +2 MSG Anna Julia Haywood Cooper, Educator, 1964 %b%"</v>
      </c>
    </row>
    <row r="44" spans="1:5">
      <c r="A44" t="s">
        <v>3216</v>
      </c>
      <c r="B44">
        <v>1</v>
      </c>
      <c r="C44" t="str">
        <f>(A44&amp;" "&amp;B44)</f>
        <v>Mar 1</v>
      </c>
      <c r="D44" t="inlineStr">
        <is>
          <t>David of Wales, Bishop, c. 544</t>
        </is>
      </c>
      <c r="E44" s="10" t="str">
        <f>"REM "&amp;C44&amp;" +2 "&amp;"MSG "&amp;D44&amp;" %b%"""</f>
        <v>REM Mar 1 +2 MSG David of Wales, Bishop, c. 544 %b%"</v>
      </c>
    </row>
    <row r="45" spans="1:5">
      <c r="A45" t="s">
        <v>3216</v>
      </c>
      <c r="B45">
        <v>2</v>
      </c>
      <c r="C45" t="str">
        <f>(A45&amp;" "&amp;B45)</f>
        <v>Mar 2</v>
      </c>
      <c r="D45" t="inlineStr">
        <is>
          <t>Chad of Lichfield, Bishop, 672</t>
        </is>
      </c>
      <c r="E45" s="10" t="str">
        <f>"REM "&amp;C45&amp;" +2 "&amp;"MSG "&amp;D45&amp;" %b%"""</f>
        <v>REM Mar 2 +2 MSG Chad of Lichfield, Bishop, 672 %b%"</v>
      </c>
    </row>
    <row r="46" spans="1:5">
      <c r="A46" t="s">
        <v>3216</v>
      </c>
      <c r="B46">
        <v>3</v>
      </c>
      <c r="C46" t="str">
        <f>(A46&amp;" "&amp;B46)</f>
        <v>Mar 3</v>
      </c>
      <c r="D46" t="inlineStr">
        <is>
          <t>John and Charles Wesley, Priests, 1791, 1788</t>
        </is>
      </c>
      <c r="E46" s="10" t="str">
        <f>"REM "&amp;C46&amp;" +2 "&amp;"MSG "&amp;D46&amp;" %b%"""</f>
        <v>REM Mar 3 +2 MSG John and Charles Wesley, Priests, 1791, 1788 %b%"</v>
      </c>
    </row>
    <row r="47" spans="1:5">
      <c r="A47" t="s">
        <v>3216</v>
      </c>
      <c r="B47">
        <v>7</v>
      </c>
      <c r="C47" t="str">
        <f>(A47&amp;" "&amp;B47)</f>
        <v>Mar 7</v>
      </c>
      <c r="D47" t="inlineStr">
        <is>
          <t>Perpetua and Felicity, Martyrs, 202</t>
        </is>
      </c>
      <c r="E47" s="10" t="str">
        <f>"REM "&amp;C47&amp;" +2 "&amp;"MSG "&amp;D47&amp;" %b%"""</f>
        <v>REM Mar 7 +2 MSG Perpetua and Felicity, Martyrs, 202 %b%"</v>
      </c>
    </row>
    <row r="48" spans="1:5">
      <c r="A48" t="s">
        <v>3216</v>
      </c>
      <c r="B48">
        <v>9</v>
      </c>
      <c r="C48" t="str">
        <f>(A48&amp;" "&amp;B48)</f>
        <v>Mar 9</v>
      </c>
      <c r="D48" t="inlineStr">
        <is>
          <t>Gregory of Nyssa, Bishop and Theologian, c.394</t>
        </is>
      </c>
      <c r="E48" s="10" t="str">
        <f>"REM "&amp;C48&amp;" +2 "&amp;"MSG "&amp;D48&amp;" %b%"""</f>
        <v>REM Mar 9 +2 MSG Gregory of Nyssa, Bishop and Theologian, c.394 %b%"</v>
      </c>
    </row>
    <row r="49" spans="1:5">
      <c r="A49" t="s">
        <v>3216</v>
      </c>
      <c r="B49">
        <v>10</v>
      </c>
      <c r="C49" t="s">
        <f>(A49&amp;" "&amp;B49)</f>
        <v>1241</v>
      </c>
      <c r="D49" t="inlineStr">
        <is>
          <t>Harriet Ross Tubman, Social Reformer, 1923</t>
        </is>
      </c>
      <c r="E49" s="10" t="str">
        <f>"REM "&amp;C49&amp;" +2 "&amp;"MSG "&amp;D49&amp;" %b%"""</f>
        <v>REM Mar 10 +2 MSG Harriet Ross Tubman, Social Reformer, 1923 %b%"</v>
      </c>
    </row>
    <row r="50" spans="1:5">
      <c r="A50" t="s">
        <v>3216</v>
      </c>
      <c r="B50">
        <v>12</v>
      </c>
      <c r="C50" t="s">
        <f>(A50&amp;" "&amp;B50)</f>
        <v>1244</v>
      </c>
      <c r="D50" t="inlineStr">
        <is>
          <t>Gregory the Great, Bishop and Theologian, 604</t>
        </is>
      </c>
      <c r="E50" s="10" t="str">
        <f>"REM "&amp;C50&amp;" +2 "&amp;"MSG "&amp;D50&amp;" %b%"""</f>
        <v>REM Mar 12 +2 MSG Gregory the Great, Bishop and Theologian, 604 %b%"</v>
      </c>
    </row>
    <row r="51" spans="1:5">
      <c r="A51" t="s">
        <v>3216</v>
      </c>
      <c r="B51">
        <v>13</v>
      </c>
      <c r="C51" t="s">
        <f>(A51&amp;" "&amp;B51)</f>
        <v>1553</v>
      </c>
      <c r="D51" t="inlineStr">
        <is>
          <t>James Theodore Holly, Bishop, 1911</t>
        </is>
      </c>
      <c r="E51" s="10" t="str">
        <f>"REM "&amp;C51&amp;" +2 "&amp;"MSG "&amp;D51&amp;" %b%"""</f>
        <v>REM Mar 13 +2 MSG James Theodore Holly, Bishop, 1911 %b%"</v>
      </c>
    </row>
    <row r="52" spans="1:5">
      <c r="A52" t="s">
        <v>3216</v>
      </c>
      <c r="B52">
        <v>15</v>
      </c>
      <c r="C52" t="s">
        <f>(A52&amp;" "&amp;B52)</f>
        <v>1878</v>
      </c>
      <c r="D52" t="inlineStr">
        <is>
          <t>Vincent de Paul, Priest, and Louise de Marillac, Vowed Religious, Workers of Charity, 1660</t>
        </is>
      </c>
      <c r="E52" s="10" t="str">
        <f>"REM "&amp;C52&amp;" +2 "&amp;"MSG "&amp;D52&amp;" %b%"""</f>
        <v>REM Mar 15 +2 MSG Vincent de Paul, Priest, and Louise de Marillac, Vowed Religious, Workers of Charity, 1660 %b%"</v>
      </c>
    </row>
    <row r="53" spans="1:5">
      <c r="A53" t="s">
        <v>3216</v>
      </c>
      <c r="B53">
        <v>17</v>
      </c>
      <c r="C53" t="s">
        <f>(A53&amp;" "&amp;B53)</f>
        <v>1249</v>
      </c>
      <c r="D53" t="inlineStr">
        <is>
          <t>Patrick of Ireland, Bishop and Missionary, 461</t>
        </is>
      </c>
      <c r="E53" s="10" t="str">
        <f>"REM "&amp;C53&amp;" +2 "&amp;"MSG "&amp;D53&amp;" %b%"""</f>
        <v>REM Mar 17 +2 MSG Patrick of Ireland, Bishop and Missionary, 461 %b%"</v>
      </c>
    </row>
    <row r="54" spans="1:5">
      <c r="A54" t="s">
        <v>3216</v>
      </c>
      <c r="B54">
        <v>18</v>
      </c>
      <c r="C54" t="s">
        <f>(A54&amp;" "&amp;B54)</f>
        <v>1251</v>
      </c>
      <c r="D54" t="inlineStr">
        <is>
          <t>Cyril of Jerusalem, Bishop and Theologian, 386</t>
        </is>
      </c>
      <c r="E54" s="10" t="str">
        <f>"REM "&amp;C54&amp;" +2 "&amp;"MSG "&amp;D54&amp;" %b%"""</f>
        <v>REM Mar 18 +2 MSG Cyril of Jerusalem, Bishop and Theologian, 386 %b%"</v>
      </c>
    </row>
    <row r="55" spans="1:5">
      <c r="A55" t="s">
        <v>3216</v>
      </c>
      <c r="B55">
        <v>20</v>
      </c>
      <c r="C55" t="s">
        <f>(A55&amp;" "&amp;B55)</f>
        <v>1257</v>
      </c>
      <c r="D55" t="inlineStr">
        <is>
          <t>Cuthbert, Bishop, 687</t>
        </is>
      </c>
      <c r="E55" s="10" t="str">
        <f>"REM "&amp;C55&amp;" +2 "&amp;"MSG "&amp;D55&amp;" %b%"""</f>
        <v>REM Mar 20 +2 MSG Cuthbert, Bishop, 687 %b%"</v>
      </c>
    </row>
    <row r="56" spans="1:5">
      <c r="A56" t="s">
        <v>3216</v>
      </c>
      <c r="B56">
        <v>21</v>
      </c>
      <c r="C56" t="s">
        <f>(A56&amp;" "&amp;B56)</f>
        <v>1263</v>
      </c>
      <c r="D56" t="inlineStr">
        <is>
          <t>Thomas Ken, Bishop of Bath and Wells, 1711</t>
        </is>
      </c>
      <c r="E56" s="10" t="str">
        <f>"REM "&amp;C56&amp;" +2 "&amp;"MSG "&amp;D56&amp;" %b%"""</f>
        <v>REM Mar 21 +2 MSG Thomas Ken, Bishop of Bath and Wells, 1711 %b%"</v>
      </c>
    </row>
    <row r="57" spans="1:5">
      <c r="A57" t="s">
        <v>3216</v>
      </c>
      <c r="B57">
        <v>22</v>
      </c>
      <c r="C57" t="s">
        <f>(A57&amp;" "&amp;B57)</f>
        <v>1886</v>
      </c>
      <c r="D57" t="inlineStr">
        <is>
          <t>James De Koven, Priest, 1879</t>
        </is>
      </c>
      <c r="E57" s="10" t="str">
        <f>"REM "&amp;C57&amp;" +2 "&amp;"MSG "&amp;D57&amp;" %b%"""</f>
        <v>REM Mar 22 +2 MSG James De Koven, Priest, 1879 %b%"</v>
      </c>
    </row>
    <row r="58" spans="1:5">
      <c r="A58" t="s">
        <v>3216</v>
      </c>
      <c r="B58">
        <v>23</v>
      </c>
      <c r="C58" t="s">
        <f>(A58&amp;" "&amp;B58)</f>
        <v>1888</v>
      </c>
      <c r="D58" t="inlineStr">
        <is>
          <t>Gregory the Illuminator, Bishop and Missionary, c.332</t>
        </is>
      </c>
      <c r="E58" s="10" t="str">
        <f>"REM "&amp;C58&amp;" +2 "&amp;"MSG "&amp;D58&amp;" %b%"""</f>
        <v>REM Mar 23 +2 MSG Gregory the Illuminator, Bishop and Missionary, c.332 %b%"</v>
      </c>
    </row>
    <row r="59" spans="1:5">
      <c r="A59" t="s">
        <v>3216</v>
      </c>
      <c r="B59">
        <v>24</v>
      </c>
      <c r="C59" t="s">
        <f>(A59&amp;" "&amp;B59)</f>
        <v>1265</v>
      </c>
      <c r="D59" t="inlineStr">
        <is>
          <t>Óscar Romero, Archbishop and Martyr, 1980, and the Martyrs of El Salvador</t>
        </is>
      </c>
      <c r="E59" s="10" t="str">
        <f>"REM "&amp;C59&amp;" +2 "&amp;"MSG "&amp;D59&amp;" %b%"""</f>
        <v>REM Mar 24 +2 MSG Óscar Romero, Archbishop and Martyr, 1980, and the Martyrs of El Salvador %b%"</v>
      </c>
    </row>
    <row r="60" spans="1:5">
      <c r="A60" t="s">
        <v>3216</v>
      </c>
      <c r="B60">
        <v>26</v>
      </c>
      <c r="C60" t="s">
        <f>(A60&amp;" "&amp;B60)</f>
        <v>1560</v>
      </c>
      <c r="D60" t="inlineStr">
        <is>
          <t>Harriet Monsell, Monastic, 1883</t>
        </is>
      </c>
      <c r="E60" s="10" t="str">
        <f>"REM "&amp;C60&amp;" +2 "&amp;"MSG "&amp;D60&amp;" %b%"""</f>
        <v>REM Mar 26 +2 MSG Harriet Monsell, Monastic, 1883 %b%"</v>
      </c>
    </row>
    <row r="61" spans="1:5">
      <c r="A61" t="s">
        <v>3216</v>
      </c>
      <c r="B61">
        <v>27</v>
      </c>
      <c r="C61" t="s">
        <f>(A61&amp;" "&amp;B61)</f>
        <v>1891</v>
      </c>
      <c r="D61" t="inlineStr">
        <is>
          <t>Charles Henry Brent, Bishop, 1929</t>
        </is>
      </c>
      <c r="E61" s="10" t="str">
        <f>"REM "&amp;C61&amp;" +2 "&amp;"MSG "&amp;D61&amp;" %b%"""</f>
        <v>REM Mar 27 +2 MSG Charles Henry Brent, Bishop, 1929 %b%"</v>
      </c>
    </row>
    <row r="62" spans="1:5">
      <c r="A62" t="s">
        <v>3216</v>
      </c>
      <c r="B62">
        <v>28</v>
      </c>
      <c r="C62" t="s">
        <f>(A62&amp;" "&amp;B62)</f>
        <v>1562</v>
      </c>
      <c r="D62" t="inlineStr">
        <is>
          <t>James Solomon Russell, Priest, 1935</t>
        </is>
      </c>
      <c r="E62" s="10" t="str">
        <f>"REM "&amp;C62&amp;" +2 "&amp;"MSG "&amp;D62&amp;" %b%"""</f>
        <v>REM Mar 28 +2 MSG James Solomon Russell, Priest, 1935 %b%"</v>
      </c>
    </row>
    <row r="63" spans="1:5">
      <c r="A63" t="s">
        <v>3216</v>
      </c>
      <c r="B63">
        <v>29</v>
      </c>
      <c r="C63" t="s">
        <f>(A63&amp;" "&amp;B63)</f>
        <v>1897</v>
      </c>
      <c r="D63" t="inlineStr">
        <is>
          <t>John Keble, Priest and Poet, 1866</t>
        </is>
      </c>
      <c r="E63" s="10" t="str">
        <f>"REM "&amp;C63&amp;" +2 "&amp;"MSG "&amp;D63&amp;" %b%"""</f>
        <v>REM Mar 29 +2 MSG John Keble, Priest and Poet, 1866 %b%"</v>
      </c>
    </row>
    <row r="64" spans="1:5">
      <c r="A64" t="s">
        <v>3216</v>
      </c>
      <c r="B64">
        <v>30</v>
      </c>
      <c r="C64" t="s">
        <f>(A64&amp;" "&amp;B64)</f>
        <v>1900</v>
      </c>
      <c r="D64" t="inlineStr">
        <is>
          <t>Mary of Egypt, Monastic, c.421</t>
        </is>
      </c>
      <c r="E64" s="10" t="str">
        <f>"REM "&amp;C64&amp;" +2 "&amp;"MSG "&amp;D64&amp;" %b%"""</f>
        <v>REM Mar 30 +2 MSG Mary of Egypt, Monastic, c.421 %b%"</v>
      </c>
    </row>
    <row r="65" spans="1:5">
      <c r="A65" t="s">
        <v>3216</v>
      </c>
      <c r="B65">
        <v>31</v>
      </c>
      <c r="C65" t="s">
        <f>(A65&amp;" "&amp;B65)</f>
        <v>1267</v>
      </c>
      <c r="D65" t="inlineStr">
        <is>
          <t>John Donne, Priest and Poet, 1631</t>
        </is>
      </c>
      <c r="E65" s="10" t="str">
        <f>"REM "&amp;C65&amp;" +2 "&amp;"MSG "&amp;D65&amp;" %b%"""</f>
        <v>REM Mar 31 +2 MSG John Donne, Priest and Poet, 1631 %b%"</v>
      </c>
    </row>
    <row r="66" spans="1:5">
      <c r="A66" t="s">
        <v>3217</v>
      </c>
      <c r="B66">
        <v>1</v>
      </c>
      <c r="C66" t="str">
        <f>(A66&amp;" "&amp;B66)</f>
        <v>Apr 1</v>
      </c>
      <c r="D66" t="inlineStr">
        <is>
          <t>Frederick Denison Maurice, Priest 1872</t>
        </is>
      </c>
      <c r="E66" s="10" t="str">
        <f>"REM "&amp;C66&amp;" +2 "&amp;"MSG "&amp;D66&amp;" %b%"""</f>
        <v>REM Apr 1 +2 MSG Frederick Denison Maurice, Priest 1872 %b%"</v>
      </c>
    </row>
    <row r="67" spans="1:5">
      <c r="A67" t="s">
        <v>3217</v>
      </c>
      <c r="B67">
        <v>2</v>
      </c>
      <c r="C67" t="str">
        <f>(A67&amp;" "&amp;B67)</f>
        <v>Apr 2</v>
      </c>
      <c r="D67" t="inlineStr">
        <is>
          <t>James Lloyd Breck, Priest, 1876</t>
        </is>
      </c>
      <c r="E67" s="10" t="str">
        <f>"REM "&amp;C67&amp;" +2 "&amp;"MSG "&amp;D67&amp;" %b%"""</f>
        <v>REM Apr 2 +2 MSG James Lloyd Breck, Priest, 1876 %b%"</v>
      </c>
    </row>
    <row r="68" spans="1:5">
      <c r="A68" t="s">
        <v>3217</v>
      </c>
      <c r="B68">
        <v>3</v>
      </c>
      <c r="C68" t="str">
        <f>(A68&amp;" "&amp;B68)</f>
        <v>Apr 3</v>
      </c>
      <c r="D68" t="inlineStr">
        <is>
          <t>Richard of Chichester, Bishop, 1253</t>
        </is>
      </c>
      <c r="E68" s="10" t="str">
        <f>"REM "&amp;C68&amp;" +2 "&amp;"MSG "&amp;D68&amp;" %b%"""</f>
        <v>REM Apr 3 +2 MSG Richard of Chichester, Bishop, 1253 %b%"</v>
      </c>
    </row>
    <row r="69" spans="1:5">
      <c r="A69" t="s">
        <v>3217</v>
      </c>
      <c r="B69">
        <v>4</v>
      </c>
      <c r="C69" t="str">
        <f>(A69&amp;" "&amp;B69)</f>
        <v>Apr 4</v>
      </c>
      <c r="D69" t="inlineStr">
        <is>
          <t>Martin Luther King, Jr., Pastor and Martyr, 1968</t>
        </is>
      </c>
      <c r="E69" s="10" t="str">
        <f>"REM "&amp;C69&amp;" +2 "&amp;"MSG "&amp;D69&amp;" %b%"""</f>
        <v>REM Apr 4 +2 MSG Martin Luther King, Jr., Pastor and Martyr, 1968 %b%"</v>
      </c>
    </row>
    <row r="70" spans="1:5">
      <c r="A70" t="s">
        <v>3217</v>
      </c>
      <c r="B70">
        <v>5</v>
      </c>
      <c r="C70" t="str">
        <f>(A70&amp;" "&amp;B70)</f>
        <v>Apr 5</v>
      </c>
      <c r="D70" t="inlineStr">
        <is>
          <t>Harriet Starr Cannon, Monastic, 1896</t>
        </is>
      </c>
      <c r="E70" s="10" t="str">
        <f>"REM "&amp;C70&amp;" +2 "&amp;"MSG "&amp;D70&amp;" %b%"""</f>
        <v>REM Apr 5 +2 MSG Harriet Starr Cannon, Monastic, 1896 %b%"</v>
      </c>
    </row>
    <row r="71" spans="1:5">
      <c r="A71" t="s">
        <v>3217</v>
      </c>
      <c r="B71">
        <v>7</v>
      </c>
      <c r="C71" t="str">
        <f>(A71&amp;" "&amp;B71)</f>
        <v>Apr 7</v>
      </c>
      <c r="D71" t="inlineStr">
        <is>
          <t>Tikhon, Bishop and Ecumenist, 1925</t>
        </is>
      </c>
      <c r="E71" s="10" t="str">
        <f>"REM "&amp;C71&amp;" +2 "&amp;"MSG "&amp;D71&amp;" %b%"""</f>
        <v>REM Apr 7 +2 MSG Tikhon, Bishop and Ecumenist, 1925 %b%"</v>
      </c>
    </row>
    <row r="72" spans="1:5">
      <c r="A72" t="s">
        <v>3217</v>
      </c>
      <c r="B72">
        <v>8</v>
      </c>
      <c r="C72" t="str">
        <f>(A72&amp;" "&amp;B72)</f>
        <v>Apr 8</v>
      </c>
      <c r="D72" t="inlineStr">
        <is>
          <t>William Augustus Muhlenberg, Priest, 1877</t>
        </is>
      </c>
      <c r="E72" s="10" t="str">
        <f>"REM "&amp;C72&amp;" +2 "&amp;"MSG "&amp;D72&amp;" %b%"""</f>
        <v>REM Apr 8 +2 MSG William Augustus Muhlenberg, Priest, 1877 %b%"</v>
      </c>
    </row>
    <row r="73" spans="1:5">
      <c r="A73" t="s">
        <v>3217</v>
      </c>
      <c r="B73">
        <v>9</v>
      </c>
      <c r="C73" t="str">
        <f>(A73&amp;" "&amp;B73)</f>
        <v>Apr 9</v>
      </c>
      <c r="D73" t="inlineStr">
        <is>
          <t>Dietrich Bonhoeffer, Pastor and Theologian, 1945</t>
        </is>
      </c>
      <c r="E73" s="10" t="str">
        <f>"REM "&amp;C73&amp;" +2 "&amp;"MSG "&amp;D73&amp;" %b%"""</f>
        <v>REM Apr 9 +2 MSG Dietrich Bonhoeffer, Pastor and Theologian, 1945 %b%"</v>
      </c>
    </row>
    <row r="74" spans="1:5">
      <c r="A74" t="s">
        <v>3217</v>
      </c>
      <c r="B74">
        <v>10</v>
      </c>
      <c r="C74" t="s">
        <f>(A74&amp;" "&amp;B74)</f>
        <v>153</v>
      </c>
      <c r="D74" t="inlineStr">
        <is>
          <t>William Law, Priest, 1761</t>
        </is>
      </c>
      <c r="E74" s="10" t="str">
        <f>"REM "&amp;C74&amp;" +2 "&amp;"MSG "&amp;D74&amp;" %b%"""</f>
        <v>REM Apr 10 +2 MSG William Law, Priest, 1761 %b%"</v>
      </c>
    </row>
    <row r="75" spans="1:5">
      <c r="A75" t="s">
        <v>3217</v>
      </c>
      <c r="B75">
        <v>11</v>
      </c>
      <c r="C75" t="s">
        <f>(A75&amp;" "&amp;B75)</f>
        <v>161</v>
      </c>
      <c r="D75" t="inlineStr">
        <is>
          <t>George Augustus Selwyn, Bishop, 1878</t>
        </is>
      </c>
      <c r="E75" s="10" t="str">
        <f>"REM "&amp;C75&amp;" +2 "&amp;"MSG "&amp;D75&amp;" %b%"""</f>
        <v>REM Apr 11 +2 MSG George Augustus Selwyn, Bishop, 1878 %b%"</v>
      </c>
    </row>
    <row r="76" spans="1:5">
      <c r="A76" t="s">
        <v>3217</v>
      </c>
      <c r="B76">
        <v>14</v>
      </c>
      <c r="C76" t="s">
        <f>(A76&amp;" "&amp;B76)</f>
        <v>1576</v>
      </c>
      <c r="D76" t="inlineStr">
        <is>
          <t>Zenaida, Philonella, and Hermione, Unmercenary Physicians, c.100, c.117</t>
        </is>
      </c>
      <c r="E76" s="10" t="str">
        <f>"REM "&amp;C76&amp;" +2 "&amp;"MSG "&amp;D76&amp;" %b%"""</f>
        <v>REM Apr 14 +2 MSG Zenaida, Philonella, and Hermione, Unmercenary Physicians, c.100, c.117 %b%"</v>
      </c>
    </row>
    <row r="77" spans="1:5">
      <c r="A77" t="s">
        <v>3217</v>
      </c>
      <c r="B77">
        <v>15</v>
      </c>
      <c r="C77" t="s">
        <f>(A77&amp;" "&amp;B77)</f>
        <v>179</v>
      </c>
      <c r="D77" t="inlineStr">
        <is>
          <t>Damien, Priest, 1889 and Marianne Cope, Monastic 1918 of Hawaii</t>
        </is>
      </c>
      <c r="E77" s="10" t="str">
        <f>"REM "&amp;C77&amp;" +2 "&amp;"MSG "&amp;D77&amp;" %b%"""</f>
        <v>REM Apr 15 +2 MSG Damien, Priest, 1889 and Marianne Cope, Monastic 1918 of Hawaii %b%"</v>
      </c>
    </row>
    <row r="78" spans="1:5">
      <c r="A78" t="s">
        <v>3217</v>
      </c>
      <c r="B78">
        <v>16</v>
      </c>
      <c r="C78" t="s">
        <f>(A78&amp;" "&amp;B78)</f>
        <v>184</v>
      </c>
      <c r="D78" t="inlineStr">
        <is>
          <t>Peter Williams Cassey, Deacon, 1917 and Annie Besant Cassey, 1875</t>
        </is>
      </c>
      <c r="E78" s="10" t="str">
        <f>"REM "&amp;C78&amp;" +2 "&amp;"MSG "&amp;D78&amp;" %b%"""</f>
        <v>REM Apr 16 +2 MSG Peter Williams Cassey, Deacon, 1917 and Annie Besant Cassey, 1875 %b%"</v>
      </c>
    </row>
    <row r="79" spans="1:5">
      <c r="A79" t="s">
        <v>3217</v>
      </c>
      <c r="B79">
        <v>17</v>
      </c>
      <c r="C79" t="s">
        <f>(A79&amp;" "&amp;B79)</f>
        <v>187</v>
      </c>
      <c r="D79" t="inlineStr">
        <is>
          <t>Kateri Tekakwitha, Lay Contemplative, 1680</t>
        </is>
      </c>
      <c r="E79" s="10" t="str">
        <f>"REM "&amp;C79&amp;" +2 "&amp;"MSG "&amp;D79&amp;" %b%"""</f>
        <v>REM Apr 17 +2 MSG Kateri Tekakwitha, Lay Contemplative, 1680 %b%"</v>
      </c>
    </row>
    <row r="80" spans="1:5">
      <c r="A80" t="s">
        <v>3217</v>
      </c>
      <c r="B80">
        <v>18</v>
      </c>
      <c r="C80" t="s">
        <f>(A80&amp;" "&amp;B80)</f>
        <v>193</v>
      </c>
      <c r="D80" t="inlineStr">
        <is>
          <t>Juana Inés de la Cruz, Monastic and Theologian, 1695</t>
        </is>
      </c>
      <c r="E80" s="10" t="str">
        <f>"REM "&amp;C80&amp;" +2 "&amp;"MSG "&amp;D80&amp;" %b%"""</f>
        <v>REM Apr 18 +2 MSG Juana Inés de la Cruz, Monastic and Theologian, 1695 %b%"</v>
      </c>
    </row>
    <row r="81" spans="1:5">
      <c r="A81" t="s">
        <v>3217</v>
      </c>
      <c r="B81">
        <v>19</v>
      </c>
      <c r="C81" t="s">
        <f>(A81&amp;" "&amp;B81)</f>
        <v>196</v>
      </c>
      <c r="D81" t="inlineStr">
        <is>
          <t>Alphege, Archbishop of Canterbury, and Martyr, 1012</t>
        </is>
      </c>
      <c r="E81" s="10" t="str">
        <f>"REM "&amp;C81&amp;" +2 "&amp;"MSG "&amp;D81&amp;" %b%"""</f>
        <v>REM Apr 19 +2 MSG Alphege, Archbishop of Canterbury, and Martyr, 1012 %b%"</v>
      </c>
    </row>
    <row r="82" spans="1:5">
      <c r="A82" t="s">
        <v>3217</v>
      </c>
      <c r="B82">
        <v>21</v>
      </c>
      <c r="C82" t="s">
        <f>(A82&amp;" "&amp;B82)</f>
        <v>211</v>
      </c>
      <c r="D82" t="inlineStr">
        <is>
          <t>Anselm, Archbishop of Canterbury, 1109</t>
        </is>
      </c>
      <c r="E82" s="10" t="str">
        <f>"REM "&amp;C82&amp;" +2 "&amp;"MSG "&amp;D82&amp;" %b%"""</f>
        <v>REM Apr 21 +2 MSG Anselm, Archbishop of Canterbury, 1109 %b%"</v>
      </c>
    </row>
    <row r="83" spans="1:5">
      <c r="A83" t="s">
        <v>3217</v>
      </c>
      <c r="B83">
        <v>22</v>
      </c>
      <c r="C83" t="s">
        <f>(A83&amp;" "&amp;B83)</f>
        <v>215</v>
      </c>
      <c r="D83" t="inlineStr">
        <is>
          <t>Hadewijch of Brabant, Poet and Mystic, thirteenth century</t>
        </is>
      </c>
      <c r="E83" s="10" t="str">
        <f>"REM "&amp;C83&amp;" +2 "&amp;"MSG "&amp;D83&amp;" %b%"""</f>
        <v>REM Apr 22 +2 MSG Hadewijch of Brabant, Poet and Mystic, thirteenth century %b%"</v>
      </c>
    </row>
    <row r="84" spans="1:5">
      <c r="A84" t="s">
        <v>3217</v>
      </c>
      <c r="B84">
        <v>23</v>
      </c>
      <c r="C84" t="s">
        <f>(A84&amp;" "&amp;B84)</f>
        <v>221</v>
      </c>
      <c r="D84" t="inlineStr">
        <is>
          <t>Toyohiko Kagawa, Social Reformer, 1960</t>
        </is>
      </c>
      <c r="E84" s="10" t="str">
        <f>"REM "&amp;C84&amp;" +2 "&amp;"MSG "&amp;D84&amp;" %b%"""</f>
        <v>REM Apr 23 +2 MSG Toyohiko Kagawa, Social Reformer, 1960 %b%"</v>
      </c>
    </row>
    <row r="85" spans="1:5">
      <c r="A85" t="s">
        <v>3217</v>
      </c>
      <c r="B85">
        <v>27</v>
      </c>
      <c r="C85" t="s">
        <f>(A85&amp;" "&amp;B85)</f>
        <v>234</v>
      </c>
      <c r="D85" t="inlineStr">
        <is>
          <t>Zita of Tuscany, Worker of Charity, 1271</t>
        </is>
      </c>
      <c r="E85" s="10" t="str">
        <f>"REM "&amp;C85&amp;" +2 "&amp;"MSG "&amp;D85&amp;" %b%"""</f>
        <v>REM Apr 27 +2 MSG Zita of Tuscany, Worker of Charity, 1271 %b%"</v>
      </c>
    </row>
    <row r="86" spans="1:5">
      <c r="A86" t="s">
        <v>3217</v>
      </c>
      <c r="B86">
        <v>29</v>
      </c>
      <c r="C86" t="s">
        <f>(A86&amp;" "&amp;B86)</f>
        <v>239</v>
      </c>
      <c r="D86" t="inlineStr">
        <is>
          <t>Catherine of Siena, Mystic and Prophetic Witness, 1380</t>
        </is>
      </c>
      <c r="E86" s="10" t="str">
        <f>"REM "&amp;C86&amp;" +2 "&amp;"MSG "&amp;D86&amp;" %b%"""</f>
        <v>REM Apr 29 +2 MSG Catherine of Siena, Mystic and Prophetic Witness, 1380 %b%"</v>
      </c>
    </row>
    <row r="87" spans="1:5">
      <c r="A87" t="s">
        <v>375</v>
      </c>
      <c r="B87">
        <v>2</v>
      </c>
      <c r="C87" t="str">
        <f>(A87&amp;" "&amp;B87)</f>
        <v>May 2</v>
      </c>
      <c r="D87" t="inlineStr">
        <is>
          <t>Athanasius of Alexandria, Bishop and Theologian, 373</t>
        </is>
      </c>
      <c r="E87" s="10" t="str">
        <f>"REM "&amp;C87&amp;" +2 "&amp;"MSG "&amp;D87&amp;" %b%"""</f>
        <v>REM May 2 +2 MSG Athanasius of Alexandria, Bishop and Theologian, 373 %b%"</v>
      </c>
    </row>
    <row r="88" spans="1:5">
      <c r="A88" t="s">
        <v>375</v>
      </c>
      <c r="B88">
        <v>3</v>
      </c>
      <c r="C88" t="str">
        <f>(A88&amp;" "&amp;B88)</f>
        <v>May 3</v>
      </c>
      <c r="D88" t="inlineStr">
        <is>
          <t>Elisabeth Cruciger, Poet and Hymnographer, 1535</t>
        </is>
      </c>
      <c r="E88" s="10" t="str">
        <f>"REM "&amp;C88&amp;" +2 "&amp;"MSG "&amp;D88&amp;" %b%"""</f>
        <v>REM May 3 +2 MSG Elisabeth Cruciger, Poet and Hymnographer, 1535 %b%"</v>
      </c>
    </row>
    <row r="89" spans="1:5">
      <c r="A89" t="s">
        <v>375</v>
      </c>
      <c r="B89">
        <v>4</v>
      </c>
      <c r="C89" t="str">
        <f>(A89&amp;" "&amp;B89)</f>
        <v>May 4</v>
      </c>
      <c r="D89" t="inlineStr">
        <is>
          <t>Monica, Mother of Augustine of Hippo, 387</t>
        </is>
      </c>
      <c r="E89" s="10" t="str">
        <f>"REM "&amp;C89&amp;" +2 "&amp;"MSG "&amp;D89&amp;" %b%"""</f>
        <v>REM May 4 +2 MSG Monica, Mother of Augustine of Hippo, 387 %b%"</v>
      </c>
    </row>
    <row r="90" spans="1:5">
      <c r="A90" t="s">
        <v>375</v>
      </c>
      <c r="B90">
        <v>5</v>
      </c>
      <c r="C90" t="str">
        <f>(A90&amp;" "&amp;B90)</f>
        <v>May 5</v>
      </c>
      <c r="D90" t="inlineStr">
        <is>
          <t>Martyrs of the Reformation Era</t>
        </is>
      </c>
      <c r="E90" s="10" t="str">
        <f>"REM "&amp;C90&amp;" +2 "&amp;"MSG "&amp;D90&amp;" %b%"""</f>
        <v>REM May 5 +2 MSG Martyrs of the Reformation Era %b%"</v>
      </c>
    </row>
    <row r="91" spans="1:5">
      <c r="A91" t="s">
        <v>375</v>
      </c>
      <c r="B91">
        <v>6</v>
      </c>
      <c r="C91" t="str">
        <f>(A91&amp;" "&amp;B91)</f>
        <v>May 6</v>
      </c>
      <c r="D91" t="inlineStr">
        <is>
          <t>George of Lydda,] Martyr</t>
        </is>
      </c>
      <c r="E91" s="10" t="str">
        <f>"REM "&amp;C91&amp;" +2 "&amp;"MSG "&amp;D91&amp;" %b%"""</f>
        <v>REM May 6 +2 MSG George of Lydda,] Martyr %b%"</v>
      </c>
    </row>
    <row r="92" spans="1:5">
      <c r="A92" t="s">
        <v>375</v>
      </c>
      <c r="B92">
        <v>8</v>
      </c>
      <c r="C92" t="str">
        <f>(A92&amp;" "&amp;B92)</f>
        <v>May 8</v>
      </c>
      <c r="D92" t="inlineStr">
        <is>
          <t>Julian of Norwich, Mystic and Theologian, c.1417</t>
        </is>
      </c>
      <c r="E92" s="10" t="str">
        <f>"REM "&amp;C92&amp;" +2 "&amp;"MSG "&amp;D92&amp;" %b%"""</f>
        <v>REM May 8 +2 MSG Julian of Norwich, Mystic and Theologian, c.1417 %b%"</v>
      </c>
    </row>
    <row r="93" spans="1:5">
      <c r="A93" t="s">
        <v>375</v>
      </c>
      <c r="B93">
        <v>9</v>
      </c>
      <c r="C93" t="str">
        <f>(A93&amp;" "&amp;B93)</f>
        <v>May 9</v>
      </c>
      <c r="D93" t="inlineStr">
        <is>
          <t>Gregory of Nazianzus, Bishop and Theologian, 389</t>
        </is>
      </c>
      <c r="E93" s="10" t="str">
        <f>"REM "&amp;C93&amp;" +2 "&amp;"MSG "&amp;D93&amp;" %b%"""</f>
        <v>REM May 9 +2 MSG Gregory of Nazianzus, Bishop and Theologian, 389 %b%"</v>
      </c>
    </row>
    <row r="94" spans="1:5">
      <c r="A94" t="s">
        <v>375</v>
      </c>
      <c r="B94">
        <v>11</v>
      </c>
      <c r="C94" t="s">
        <f>(A94&amp;" "&amp;B94)</f>
        <v>308</v>
      </c>
      <c r="D94" t="inlineStr">
        <is>
          <t>Johann Arndt and Jacob Boehme, Mystics, 1621 and 1624</t>
        </is>
      </c>
      <c r="E94" s="10" t="str">
        <f>"REM "&amp;C94&amp;" +2 "&amp;"MSG "&amp;D94&amp;" %b%"""</f>
        <v>REM May 11 +2 MSG Johann Arndt and Jacob Boehme, Mystics, 1621 and 1624 %b%"</v>
      </c>
    </row>
    <row r="95" spans="1:5">
      <c r="A95" t="s">
        <v>375</v>
      </c>
      <c r="B95">
        <v>13</v>
      </c>
      <c r="C95" t="s">
        <f>(A95&amp;" "&amp;B95)</f>
        <v>321</v>
      </c>
      <c r="D95" t="inlineStr">
        <is>
          <t>Frances Perkins, Social Reformer, 1965</t>
        </is>
      </c>
      <c r="E95" s="10" t="str">
        <f>"REM "&amp;C95&amp;" +2 "&amp;"MSG "&amp;D95&amp;" %b%"""</f>
        <v>REM May 13 +2 MSG Frances Perkins, Social Reformer, 1965 %b%"</v>
      </c>
    </row>
    <row r="96" spans="1:5">
      <c r="A96" t="s">
        <v>375</v>
      </c>
      <c r="B96">
        <v>15</v>
      </c>
      <c r="C96" t="s">
        <f>(A96&amp;" "&amp;B96)</f>
        <v>326</v>
      </c>
      <c r="D96" t="inlineStr">
        <is>
          <t>Pachomius of Tabennisi, Monastic, 348</t>
        </is>
      </c>
      <c r="E96" s="10" t="str">
        <f>"REM "&amp;C96&amp;" +2 "&amp;"MSG "&amp;D96&amp;" %b%"""</f>
        <v>REM May 15 +2 MSG Pachomius of Tabennisi, Monastic, 348 %b%"</v>
      </c>
    </row>
    <row r="97" spans="1:5">
      <c r="A97" t="s">
        <v>375</v>
      </c>
      <c r="B97">
        <v>17</v>
      </c>
      <c r="C97" t="s">
        <f>(A97&amp;" "&amp;B97)</f>
        <v>335</v>
      </c>
      <c r="D97" t="inlineStr">
        <is>
          <t>Thurgood Marshall, Public Servant, 1993</t>
        </is>
      </c>
      <c r="E97" s="10" t="str">
        <f>"REM "&amp;C97&amp;" +2 "&amp;"MSG "&amp;D97&amp;" %b%"""</f>
        <v>REM May 17 +2 MSG Thurgood Marshall, Public Servant, 1993 %b%"</v>
      </c>
    </row>
    <row r="98" spans="1:5">
      <c r="A98" t="s">
        <v>375</v>
      </c>
      <c r="B98">
        <v>19</v>
      </c>
      <c r="C98" t="s">
        <f>(A98&amp;" "&amp;B98)</f>
        <v>344</v>
      </c>
      <c r="D98" t="inlineStr">
        <is>
          <t>Dunstan, Archbishop of Canterbury, 988</t>
        </is>
      </c>
      <c r="E98" s="10" t="str">
        <f>"REM "&amp;C98&amp;" +2 "&amp;"MSG "&amp;D98&amp;" %b%"""</f>
        <v>REM May 19 +2 MSG Dunstan, Archbishop of Canterbury, 988 %b%"</v>
      </c>
    </row>
    <row r="99" spans="1:5">
      <c r="A99" t="s">
        <v>375</v>
      </c>
      <c r="B99">
        <v>20</v>
      </c>
      <c r="C99" t="s">
        <f>(A99&amp;" "&amp;B99)</f>
        <v>347</v>
      </c>
      <c r="D99" t="inlineStr">
        <is>
          <t>Alcuin, Deacon, and Abbot of Tours, 80</t>
        </is>
      </c>
      <c r="E99" s="10" t="str">
        <f>"REM "&amp;C99&amp;" +2 "&amp;"MSG "&amp;D99&amp;" %b%"""</f>
        <v>REM May 20 +2 MSG Alcuin, Deacon, and Abbot of Tours, 80 %b%"</v>
      </c>
    </row>
    <row r="100" spans="1:5">
      <c r="A100" t="s">
        <v>375</v>
      </c>
      <c r="B100">
        <v>21</v>
      </c>
      <c r="C100" t="s">
        <f>(A100&amp;" "&amp;B100)</f>
        <v>354</v>
      </c>
      <c r="D100" t="inlineStr">
        <is>
          <t>Lydia of Thyatira, Coworker of the Apostle Paul</t>
        </is>
      </c>
      <c r="E100" s="10" t="str">
        <f>"REM "&amp;C100&amp;" +2 "&amp;"MSG "&amp;D100&amp;" %b%"""</f>
        <v>REM May 21 +2 MSG Lydia of Thyatira, Coworker of the Apostle Paul %b%"</v>
      </c>
    </row>
    <row r="101" spans="1:5">
      <c r="A101" t="s">
        <v>375</v>
      </c>
      <c r="B101">
        <v>22</v>
      </c>
      <c r="C101" t="s">
        <f>(A101&amp;" "&amp;B101)</f>
        <v>357</v>
      </c>
      <c r="D101" t="inlineStr">
        <is>
          <t>Helena of Constantinople, Protector of the Holy Places, 330</t>
        </is>
      </c>
      <c r="E101" s="10" t="str">
        <f>"REM "&amp;C101&amp;" +2 "&amp;"MSG "&amp;D101&amp;" %b%"""</f>
        <v>REM May 22 +2 MSG Helena of Constantinople, Protector of the Holy Places, 330 %b%"</v>
      </c>
    </row>
    <row r="102" spans="1:5">
      <c r="A102" t="s">
        <v>375</v>
      </c>
      <c r="B102">
        <v>24</v>
      </c>
      <c r="C102" t="s">
        <f>(A102&amp;" "&amp;B102)</f>
        <v>367</v>
      </c>
      <c r="D102" t="inlineStr">
        <is>
          <t>Jackson Kemper, Bishop and Missionary, 1870</t>
        </is>
      </c>
      <c r="E102" s="10" t="str">
        <f>"REM "&amp;C102&amp;" +2 "&amp;"MSG "&amp;D102&amp;" %b%"""</f>
        <v>REM May 24 +2 MSG Jackson Kemper, Bishop and Missionary, 1870 %b%"</v>
      </c>
    </row>
    <row r="103" spans="1:5">
      <c r="A103" t="s">
        <v>375</v>
      </c>
      <c r="B103">
        <v>25</v>
      </c>
      <c r="C103" t="s">
        <f>(A103&amp;" "&amp;B103)</f>
        <v>380</v>
      </c>
      <c r="D103" t="inlineStr">
        <is>
          <t>Bede the Venerable, Priest and Historian, 735</t>
        </is>
      </c>
      <c r="E103" s="10" t="str">
        <f>"REM "&amp;C103&amp;" +2 "&amp;"MSG "&amp;D103&amp;" %b%"""</f>
        <v>REM May 25 +2 MSG Bede the Venerable, Priest and Historian, 735 %b%"</v>
      </c>
    </row>
    <row r="104" spans="1:5">
      <c r="A104" t="s">
        <v>375</v>
      </c>
      <c r="B104">
        <v>26</v>
      </c>
      <c r="C104" t="s">
        <f>(A104&amp;" "&amp;B104)</f>
        <v>386</v>
      </c>
      <c r="D104" t="inlineStr">
        <is>
          <t>Augustine, First Archbishop of Canterbury, 605</t>
        </is>
      </c>
      <c r="E104" s="10" t="str">
        <f>"REM "&amp;C104&amp;" +2 "&amp;"MSG "&amp;D104&amp;" %b%"""</f>
        <v>REM May 26 +2 MSG Augustine, First Archbishop of Canterbury, 605 %b%"</v>
      </c>
    </row>
    <row r="105" spans="1:5">
      <c r="A105" t="s">
        <v>375</v>
      </c>
      <c r="B105">
        <v>28</v>
      </c>
      <c r="C105" t="s">
        <f>(A105&amp;" "&amp;B105)</f>
        <v>393</v>
      </c>
      <c r="D105" t="inlineStr">
        <is>
          <t>Mechthild of Magdeburg, Mystic, c.1282</t>
        </is>
      </c>
      <c r="E105" s="10" t="str">
        <f>"REM "&amp;C105&amp;" +2 "&amp;"MSG "&amp;D105&amp;" %b%"""</f>
        <v>REM May 28 +2 MSG Mechthild of Magdeburg, Mystic, c.1282 %b%"</v>
      </c>
    </row>
    <row r="106" spans="1:5">
      <c r="C106" t="s">
        <f>(A106&amp;" "&amp;B106)</f>
        <v>3218</v>
      </c>
      <c r="E106" s="10" t="s">
        <f>"REM "&amp;C106&amp;" +2 "&amp;"MSG "&amp;D106&amp;" %b%"""</f>
        <v>3219</v>
      </c>
    </row>
    <row r="107" spans="1:5">
      <c r="C107" t="s">
        <f>(A107&amp;" "&amp;B107)</f>
        <v>3218</v>
      </c>
      <c r="E107" s="10" t="s">
        <f>"REM "&amp;C107&amp;" +2 "&amp;"MSG "&amp;D107&amp;" %b%"""</f>
        <v>3219</v>
      </c>
    </row>
    <row r="108" spans="1:5">
      <c r="A108" t="s">
        <v>3220</v>
      </c>
      <c r="B108">
        <v>1</v>
      </c>
      <c r="C108" t="str">
        <f>(A108&amp;" "&amp;B108)</f>
        <v>Jun 1</v>
      </c>
      <c r="D108" t="inlineStr">
        <is>
          <t>Justin, Martyr, c.167</t>
        </is>
      </c>
      <c r="E108" s="10" t="str">
        <f>"REM "&amp;C108&amp;" +2 "&amp;"MSG "&amp;D108&amp;" %b%"""</f>
        <v>REM Jun 1 +2 MSG Justin, Martyr, c.167 %b%"</v>
      </c>
    </row>
    <row r="109" spans="1:5">
      <c r="A109" t="s">
        <v>3220</v>
      </c>
      <c r="B109">
        <v>2</v>
      </c>
      <c r="C109" t="str">
        <f>(A109&amp;" "&amp;B109)</f>
        <v>Jun 2</v>
      </c>
      <c r="D109" t="inlineStr">
        <is>
          <t>Blandina and Her Companions, The Martyrs of Lyons, 177</t>
        </is>
      </c>
      <c r="E109" s="10" t="str">
        <f>"REM "&amp;C109&amp;" +2 "&amp;"MSG "&amp;D109&amp;" %b%"""</f>
        <v>REM Jun 2 +2 MSG Blandina and Her Companions, The Martyrs of Lyons, 177 %b%"</v>
      </c>
    </row>
    <row r="110" spans="1:5">
      <c r="A110" t="s">
        <v>3220</v>
      </c>
      <c r="B110">
        <v>3</v>
      </c>
      <c r="C110" t="str">
        <f>(A110&amp;" "&amp;B110)</f>
        <v>Jun 3</v>
      </c>
      <c r="D110" t="inlineStr">
        <is>
          <t>The Martyrs of Uganda, 1886</t>
        </is>
      </c>
      <c r="E110" s="10" t="str">
        <f>"REM "&amp;C110&amp;" +2 "&amp;"MSG "&amp;D110&amp;" %b%"""</f>
        <v>REM Jun 3 +2 MSG The Martyrs of Uganda, 1886 %b%"</v>
      </c>
    </row>
    <row r="111" spans="1:5">
      <c r="A111" t="s">
        <v>3220</v>
      </c>
      <c r="B111">
        <v>4</v>
      </c>
      <c r="C111" t="str">
        <f>(A111&amp;" "&amp;B111)</f>
        <v>Jun 4</v>
      </c>
      <c r="D111" t="inlineStr">
        <is>
          <t>John XXIII (Angelo Guiseppe Roncalli), Bishop, 1963</t>
        </is>
      </c>
      <c r="E111" s="10" t="str">
        <f>"REM "&amp;C111&amp;" +2 "&amp;"MSG "&amp;D111&amp;" %b%"""</f>
        <v>REM Jun 4 +2 MSG John XXIII (Angelo Guiseppe Roncalli), Bishop, 1963 %b%"</v>
      </c>
    </row>
    <row r="112" spans="1:5">
      <c r="A112" t="s">
        <v>3220</v>
      </c>
      <c r="B112">
        <v>5</v>
      </c>
      <c r="C112" t="str">
        <f>(A112&amp;" "&amp;B112)</f>
        <v>Jun 5</v>
      </c>
      <c r="D112" t="inlineStr">
        <is>
          <t>Boniface, Bishop and Missionary, 754</t>
        </is>
      </c>
      <c r="E112" s="10" t="str">
        <f>"REM "&amp;C112&amp;" +2 "&amp;"MSG "&amp;D112&amp;" %b%"""</f>
        <v>REM Jun 5 +2 MSG Boniface, Bishop and Missionary, 754 %b%"</v>
      </c>
    </row>
    <row r="113" spans="1:5">
      <c r="A113" t="s">
        <v>3220</v>
      </c>
      <c r="B113">
        <v>8</v>
      </c>
      <c r="C113" t="str">
        <f>(A113&amp;" "&amp;B113)</f>
        <v>Jun 8</v>
      </c>
      <c r="D113" t="inlineStr">
        <is>
          <t>Melania the Elder, Monastic, 410</t>
        </is>
      </c>
      <c r="E113" s="10" t="str">
        <f>"REM "&amp;C113&amp;" +2 "&amp;"MSG "&amp;D113&amp;" %b%"""</f>
        <v>REM Jun 8 +2 MSG Melania the Elder, Monastic, 410 %b%"</v>
      </c>
    </row>
    <row r="114" spans="1:5">
      <c r="A114" t="s">
        <v>3220</v>
      </c>
      <c r="B114">
        <v>9</v>
      </c>
      <c r="C114" t="str">
        <f>(A114&amp;" "&amp;B114)</f>
        <v>Jun 9</v>
      </c>
      <c r="D114" t="inlineStr">
        <is>
          <t>Columba of Iona,, Monastic, 597</t>
        </is>
      </c>
      <c r="E114" s="10" t="str">
        <f>"REM "&amp;C114&amp;" +2 "&amp;"MSG "&amp;D114&amp;" %b%"""</f>
        <v>REM Jun 9 +2 MSG Columba of Iona,, Monastic, 597 %b%"</v>
      </c>
    </row>
    <row r="115" spans="1:5">
      <c r="A115" t="s">
        <v>3220</v>
      </c>
      <c r="B115">
        <v>10</v>
      </c>
      <c r="C115" t="s">
        <f>(A115&amp;" "&amp;B115)</f>
        <v>475</v>
      </c>
      <c r="D115" t="inlineStr">
        <is>
          <t>Ephrem of Nisibis, Deacon and Poet, 373</t>
        </is>
      </c>
      <c r="E115" s="10" t="str">
        <f>"REM "&amp;C115&amp;" +2 "&amp;"MSG "&amp;D115&amp;" %b%"""</f>
        <v>REM Jun 10 +2 MSG Ephrem of Nisibis, Deacon and Poet, 373 %b%"</v>
      </c>
    </row>
    <row r="116" spans="1:5">
      <c r="A116" t="s">
        <v>3220</v>
      </c>
      <c r="B116">
        <v>12</v>
      </c>
      <c r="C116" t="s">
        <f>(A116&amp;" "&amp;B116)</f>
        <v>501</v>
      </c>
      <c r="D116" t="inlineStr">
        <is>
          <t>Enmegahbowh, Priest and Missionary, 1902</t>
        </is>
      </c>
      <c r="E116" s="10" t="str">
        <f>"REM "&amp;C116&amp;" +2 "&amp;"MSG "&amp;D116&amp;" %b%"""</f>
        <v>REM Jun 12 +2 MSG Enmegahbowh, Priest and Missionary, 1902 %b%"</v>
      </c>
    </row>
    <row r="117" spans="1:5">
      <c r="A117" t="s">
        <v>3220</v>
      </c>
      <c r="B117">
        <v>13</v>
      </c>
      <c r="C117" t="s">
        <f>(A117&amp;" "&amp;B117)</f>
        <v>511</v>
      </c>
      <c r="D117" t="inlineStr">
        <is>
          <t>The First Book of Common Prayer, 1549</t>
        </is>
      </c>
      <c r="E117" s="10" t="str">
        <f>"REM "&amp;C117&amp;" +2 "&amp;"MSG "&amp;D117&amp;" %b%"""</f>
        <v>REM Jun 13 +2 MSG The First Book of Common Prayer, 1549 %b%"</v>
      </c>
    </row>
    <row r="118" spans="1:5">
      <c r="A118" t="s">
        <v>3220</v>
      </c>
      <c r="B118">
        <v>14</v>
      </c>
      <c r="C118" t="s">
        <f>(A118&amp;" "&amp;B118)</f>
        <v>524</v>
      </c>
      <c r="D118" t="inlineStr">
        <is>
          <t>Basil of Caesarea, Bishop and Theologian, 379</t>
        </is>
      </c>
      <c r="E118" s="10" t="str">
        <f>"REM "&amp;C118&amp;" +2 "&amp;"MSG "&amp;D118&amp;" %b%"""</f>
        <v>REM Jun 14 +2 MSG Basil of Caesarea, Bishop and Theologian, 379 %b%"</v>
      </c>
    </row>
    <row r="119" spans="1:5">
      <c r="A119" t="s">
        <v>3220</v>
      </c>
      <c r="B119">
        <v>15</v>
      </c>
      <c r="C119" t="s">
        <f>(A119&amp;" "&amp;B119)</f>
        <v>533</v>
      </c>
      <c r="D119" t="inlineStr">
        <is>
          <t>Evelyn Underhill, Mystic and Writer, 1941</t>
        </is>
      </c>
      <c r="E119" s="10" t="str">
        <f>"REM "&amp;C119&amp;" +2 "&amp;"MSG "&amp;D119&amp;" %b%"""</f>
        <v>REM Jun 15 +2 MSG Evelyn Underhill, Mystic and Writer, 1941 %b%"</v>
      </c>
    </row>
    <row r="120" spans="1:5">
      <c r="A120" t="s">
        <v>3220</v>
      </c>
      <c r="B120">
        <v>16</v>
      </c>
      <c r="C120" t="s">
        <f>(A120&amp;" "&amp;B120)</f>
        <v>543</v>
      </c>
      <c r="D120" t="inlineStr">
        <is>
          <t>Joseph Butler, Bishop and Theologian, 1752</t>
        </is>
      </c>
      <c r="E120" s="10" t="str">
        <f>"REM "&amp;C120&amp;" +2 "&amp;"MSG "&amp;D120&amp;" %b%"""</f>
        <v>REM Jun 16 +2 MSG Joseph Butler, Bishop and Theologian, 1752 %b%"</v>
      </c>
    </row>
    <row r="121" spans="1:5">
      <c r="A121" t="s">
        <v>3220</v>
      </c>
      <c r="B121">
        <v>17</v>
      </c>
      <c r="C121" t="s">
        <f>(A121&amp;" "&amp;B121)</f>
        <v>556</v>
      </c>
      <c r="D121" t="inlineStr">
        <is>
          <t>Marina the Monk, Monastic, fifth century</t>
        </is>
      </c>
      <c r="E121" s="10" t="str">
        <f>"REM "&amp;C121&amp;" +2 "&amp;"MSG "&amp;D121&amp;" %b%"""</f>
        <v>REM Jun 17 +2 MSG Marina the Monk, Monastic, fifth century %b%"</v>
      </c>
    </row>
    <row r="122" spans="1:5">
      <c r="A122" t="s">
        <v>3220</v>
      </c>
      <c r="B122">
        <v>18</v>
      </c>
      <c r="C122" t="s">
        <f>(A122&amp;" "&amp;B122)</f>
        <v>558</v>
      </c>
      <c r="D122" t="inlineStr">
        <is>
          <t>Bernard Mizeki, Martyr, 1896</t>
        </is>
      </c>
      <c r="E122" s="10" t="str">
        <f>"REM "&amp;C122&amp;" +2 "&amp;"MSG "&amp;D122&amp;" %b%"""</f>
        <v>REM Jun 18 +2 MSG Bernard Mizeki, Martyr, 1896 %b%"</v>
      </c>
    </row>
    <row r="123" spans="1:5">
      <c r="A123" t="s">
        <v>3220</v>
      </c>
      <c r="B123">
        <v>19</v>
      </c>
      <c r="C123" t="s">
        <f>(A123&amp;" "&amp;B123)</f>
        <v>564</v>
      </c>
      <c r="D123" t="inlineStr">
        <is>
          <t>Adelaide Teague Case, Educator, 1948</t>
        </is>
      </c>
      <c r="E123" s="10" t="str">
        <f>"REM "&amp;C123&amp;" +2 "&amp;"MSG "&amp;D123&amp;" %b%"""</f>
        <v>REM Jun 19 +2 MSG Adelaide Teague Case, Educator, 1948 %b%"</v>
      </c>
    </row>
    <row r="124" spans="1:5">
      <c r="A124" t="s">
        <v>3220</v>
      </c>
      <c r="B124">
        <v>22</v>
      </c>
      <c r="C124" t="s">
        <f>(A124&amp;" "&amp;B124)</f>
        <v>574</v>
      </c>
      <c r="D124" t="inlineStr">
        <is>
          <t>Alban, Martyr, c.304</t>
        </is>
      </c>
      <c r="E124" s="10" t="str">
        <f>"REM "&amp;C124&amp;" +2 "&amp;"MSG "&amp;D124&amp;" %b%"""</f>
        <v>REM Jun 22 +2 MSG Alban, Martyr, c.304 %b%"</v>
      </c>
    </row>
    <row r="125" spans="1:5">
      <c r="A125" t="s">
        <v>3220</v>
      </c>
      <c r="B125">
        <v>26</v>
      </c>
      <c r="C125" t="s">
        <f>(A125&amp;" "&amp;B125)</f>
        <v>1335</v>
      </c>
      <c r="D125" t="inlineStr">
        <is>
          <t>Isabel Florence Hapgood, Ecumenist, 1928</t>
        </is>
      </c>
      <c r="E125" s="10" t="str">
        <f>"REM "&amp;C125&amp;" +2 "&amp;"MSG "&amp;D125&amp;" %b%"""</f>
        <v>REM Jun 26 +2 MSG Isabel Florence Hapgood, Ecumenist, 1928 %b%"</v>
      </c>
    </row>
    <row r="126" spans="1:5">
      <c r="A126" t="s">
        <v>3220</v>
      </c>
      <c r="B126">
        <v>28</v>
      </c>
      <c r="C126" t="s">
        <f>(A126&amp;" "&amp;B126)</f>
        <v>597</v>
      </c>
      <c r="D126" t="inlineStr">
        <is>
          <t>Irenaeus of Lyons, Bishop and Theologian, c.202</t>
        </is>
      </c>
      <c r="E126" s="10" t="str">
        <f>"REM "&amp;C126&amp;" +2 "&amp;"MSG "&amp;D126&amp;" %b%"""</f>
        <v>REM Jun 28 +2 MSG Irenaeus of Lyons, Bishop and Theologian, c.202 %b%"</v>
      </c>
    </row>
    <row r="127" spans="1:5">
      <c r="C127" t="s">
        <f>(A127&amp;" "&amp;B127)</f>
        <v>3218</v>
      </c>
      <c r="E127" s="10" t="s">
        <f>"REM "&amp;C127&amp;" +2 "&amp;"MSG "&amp;D127&amp;" %b%"""</f>
        <v>3219</v>
      </c>
    </row>
    <row r="128" spans="1:5">
      <c r="C128" t="s">
        <f>(A128&amp;" "&amp;B128)</f>
        <v>3218</v>
      </c>
      <c r="E128" s="10" t="s">
        <f>"REM "&amp;C128&amp;" +2 "&amp;"MSG "&amp;D128&amp;" %b%"""</f>
        <v>3219</v>
      </c>
    </row>
    <row r="129" spans="1:5">
      <c r="A129" t="s">
        <v>3221</v>
      </c>
      <c r="B129">
        <v>1</v>
      </c>
      <c r="C129" t="str">
        <f>(A129&amp;" "&amp;B129)</f>
        <v>Jul 1</v>
      </c>
      <c r="D129" t="inlineStr">
        <is>
          <t>Pauli Murray, Priest, 1985</t>
        </is>
      </c>
      <c r="E129" s="10" t="str">
        <f>"REM "&amp;C129&amp;" +2 "&amp;"MSG "&amp;D129&amp;" %b%"""</f>
        <v>REM Jul 1 +2 MSG Pauli Murray, Priest, 1985 %b%"</v>
      </c>
    </row>
    <row r="130" spans="1:5">
      <c r="A130" t="s">
        <v>3221</v>
      </c>
      <c r="B130">
        <v>2</v>
      </c>
      <c r="C130" t="str">
        <f>(A130&amp;" "&amp;B130)</f>
        <v>Jul 2</v>
      </c>
      <c r="D130" t="inlineStr">
        <is>
          <t>Moses the Black, Monastic and Martyr, c.400</t>
        </is>
      </c>
      <c r="E130" s="10" t="str">
        <f>"REM "&amp;C130&amp;" +2 "&amp;"MSG "&amp;D130&amp;" %b%"""</f>
        <v>REM Jul 2 +2 MSG Moses the Black, Monastic and Martyr, c.400 %b%"</v>
      </c>
    </row>
    <row r="131" spans="1:5">
      <c r="A131" t="s">
        <v>3221</v>
      </c>
      <c r="B131">
        <v>6</v>
      </c>
      <c r="C131" t="str">
        <f>(A131&amp;" "&amp;B131)</f>
        <v>Jul 6</v>
      </c>
      <c r="D131" t="inlineStr">
        <is>
          <t>Eva Lee Matthews, Monastic, 1928</t>
        </is>
      </c>
      <c r="E131" s="10" t="str">
        <f>"REM "&amp;C131&amp;" +2 "&amp;"MSG "&amp;D131&amp;" %b%"""</f>
        <v>REM Jul 6 +2 MSG Eva Lee Matthews, Monastic, 1928 %b%"</v>
      </c>
    </row>
    <row r="132" spans="1:5">
      <c r="A132" t="s">
        <v>3221</v>
      </c>
      <c r="B132">
        <v>8</v>
      </c>
      <c r="C132" t="str">
        <f>(A132&amp;" "&amp;B132)</f>
        <v>Jul 8</v>
      </c>
      <c r="D132" t="inlineStr">
        <is>
          <t>Priscilla and Aquila, Coworkers of the Apostle Paul</t>
        </is>
      </c>
      <c r="E132" s="10" t="str">
        <f>"REM "&amp;C132&amp;" +2 "&amp;"MSG "&amp;D132&amp;" %b%"""</f>
        <v>REM Jul 8 +2 MSG Priscilla and Aquila, Coworkers of the Apostle Paul %b%"</v>
      </c>
    </row>
    <row r="133" spans="1:5">
      <c r="A133" t="s">
        <v>3221</v>
      </c>
      <c r="B133">
        <v>11</v>
      </c>
      <c r="C133" t="s">
        <f>(A133&amp;" "&amp;B133)</f>
        <v>628</v>
      </c>
      <c r="D133" t="inlineStr">
        <is>
          <t>Benedict of Nursia, Monastic, c.543</t>
        </is>
      </c>
      <c r="E133" s="10" t="str">
        <f>"REM "&amp;C133&amp;" +2 "&amp;"MSG "&amp;D133&amp;" %b%"""</f>
        <v>REM Jul 11 +2 MSG Benedict of Nursia, Monastic, c.543 %b%"</v>
      </c>
    </row>
    <row r="134" spans="1:5">
      <c r="A134" t="s">
        <v>3221</v>
      </c>
      <c r="B134">
        <v>14</v>
      </c>
      <c r="C134" t="s">
        <f>(A134&amp;" "&amp;B134)</f>
        <v>1340</v>
      </c>
      <c r="D134" t="inlineStr">
        <is>
          <t>Argula von Grumbach, Scholar and Church Reformer, c.1554</t>
        </is>
      </c>
      <c r="E134" s="10" t="str">
        <f>"REM "&amp;C134&amp;" +2 "&amp;"MSG "&amp;D134&amp;" %b%"""</f>
        <v>REM Jul 14 +2 MSG Argula von Grumbach, Scholar and Church Reformer, c.1554 %b%"</v>
      </c>
    </row>
    <row r="135" spans="1:5">
      <c r="A135" t="s">
        <v>3221</v>
      </c>
      <c r="B135">
        <v>17</v>
      </c>
      <c r="C135" t="s">
        <f>(A135&amp;" "&amp;B135)</f>
        <v>653</v>
      </c>
      <c r="D135" t="inlineStr">
        <is>
          <t>William White, Bishop, 1836</t>
        </is>
      </c>
      <c r="E135" s="10" t="str">
        <f>"REM "&amp;C135&amp;" +2 "&amp;"MSG "&amp;D135&amp;" %b%"""</f>
        <v>REM Jul 17 +2 MSG William White, Bishop, 1836 %b%"</v>
      </c>
    </row>
    <row r="136" spans="1:5">
      <c r="A136" t="s">
        <v>3221</v>
      </c>
      <c r="B136">
        <v>19</v>
      </c>
      <c r="C136" t="s">
        <f>(A136&amp;" "&amp;B136)</f>
        <v>28</v>
      </c>
      <c r="D136" t="inlineStr">
        <is>
          <t>Macrina of Caesarea, Monastic and Teacher, 379</t>
        </is>
      </c>
      <c r="E136" s="10" t="str">
        <f>"REM "&amp;C136&amp;" +2 "&amp;"MSG "&amp;D136&amp;" %b%"""</f>
        <v>REM Jul 19 +2 MSG Macrina of Caesarea, Monastic and Teacher, 379 %b%"</v>
      </c>
    </row>
    <row r="137" spans="1:5">
      <c r="A137" t="s">
        <v>3221</v>
      </c>
      <c r="B137">
        <v>20</v>
      </c>
      <c r="C137" t="s">
        <f>(A137&amp;" "&amp;B137)</f>
        <v>29</v>
      </c>
      <c r="D137" t="inlineStr">
        <is>
          <t>Elizabeth Cady Stanton, Amelia Bloomer, and Sojourner Truth, Social Reformers</t>
        </is>
      </c>
      <c r="E137" s="10" t="str">
        <f>"REM "&amp;C137&amp;" +2 "&amp;"MSG "&amp;D137&amp;" %b%"""</f>
        <v>REM Jul 20 +2 MSG Elizabeth Cady Stanton, Amelia Bloomer, and Sojourner Truth, Social Reformers %b%"</v>
      </c>
    </row>
    <row r="138" spans="1:5">
      <c r="A138" t="s">
        <v>3221</v>
      </c>
      <c r="B138">
        <v>21</v>
      </c>
      <c r="C138" t="s">
        <f>(A138&amp;" "&amp;B138)</f>
        <v>672</v>
      </c>
      <c r="D138" t="inlineStr">
        <is>
          <t>Maria Skobtsova, Monastic and Martyr, 1945</t>
        </is>
      </c>
      <c r="E138" s="10" t="str">
        <f>"REM "&amp;C138&amp;" +2 "&amp;"MSG "&amp;D138&amp;" %b%"""</f>
        <v>REM Jul 21 +2 MSG Maria Skobtsova, Monastic and Martyr, 1945 %b%"</v>
      </c>
    </row>
    <row r="139" spans="1:5">
      <c r="A139" t="s">
        <v>3221</v>
      </c>
      <c r="B139">
        <v>23</v>
      </c>
      <c r="C139" t="s">
        <f>(A139&amp;" "&amp;B139)</f>
        <v>681</v>
      </c>
      <c r="D139" t="inlineStr">
        <is>
          <t>John Cassian, Monastic and Theologian, 435</t>
        </is>
      </c>
      <c r="E139" s="10" t="str">
        <f>"REM "&amp;C139&amp;" +2 "&amp;"MSG "&amp;D139&amp;" %b%"""</f>
        <v>REM Jul 23 +2 MSG John Cassian, Monastic and Theologian, 435 %b%"</v>
      </c>
    </row>
    <row r="140" spans="1:5">
      <c r="A140" t="s">
        <v>3221</v>
      </c>
      <c r="B140">
        <v>24</v>
      </c>
      <c r="C140" t="s">
        <f>(A140&amp;" "&amp;B140)</f>
        <v>684</v>
      </c>
      <c r="D140" t="inlineStr">
        <is>
          <t>Thomas a Kempis, Priest and Mystic, 1471</t>
        </is>
      </c>
      <c r="E140" s="10" t="str">
        <f>"REM "&amp;C140&amp;" +2 "&amp;"MSG "&amp;D140&amp;" %b%"""</f>
        <v>REM Jul 24 +2 MSG Thomas a Kempis, Priest and Mystic, 1471 %b%"</v>
      </c>
    </row>
    <row r="141" spans="1:5">
      <c r="A141" t="s">
        <v>3221</v>
      </c>
      <c r="B141">
        <v>26</v>
      </c>
      <c r="C141" t="s">
        <f>(A141&amp;" "&amp;B141)</f>
        <v>27</v>
      </c>
      <c r="D141" t="s">
        <v>3222</v>
      </c>
      <c r="E141" s="10" t="str">
        <f>"REM "&amp;C141&amp;" +2 "&amp;"MSG "&amp;D141&amp;" %b%"""</f>
        <v>REM Jul 26 +2 MSG The Parents of the Blessed Virgin Mary %b%"</v>
      </c>
    </row>
    <row r="142" spans="1:5">
      <c r="A142" t="s">
        <v>3221</v>
      </c>
      <c r="B142">
        <v>27</v>
      </c>
      <c r="C142" t="s">
        <f>(A142&amp;" "&amp;B142)</f>
        <v>699</v>
      </c>
      <c r="D142" t="inlineStr">
        <is>
          <t>William Reed Huntington, Priest, 1909</t>
        </is>
      </c>
      <c r="E142" s="10" t="str">
        <f>"REM "&amp;C142&amp;" +2 "&amp;"MSG "&amp;D142&amp;" %b%"""</f>
        <v>REM Jul 27 +2 MSG William Reed Huntington, Priest, 1909 %b%"</v>
      </c>
    </row>
    <row r="143" spans="1:5">
      <c r="A143" t="s">
        <v>3221</v>
      </c>
      <c r="B143">
        <v>28</v>
      </c>
      <c r="C143" t="s">
        <f>(A143&amp;" "&amp;B143)</f>
        <v>1745</v>
      </c>
      <c r="D143" t="inlineStr">
        <is>
          <t>Johann Sebastian Bach, Composer, 1750</t>
        </is>
      </c>
      <c r="E143" s="10" t="str">
        <f>"REM "&amp;C143&amp;" +2 "&amp;"MSG "&amp;D143&amp;" %b%"""</f>
        <v>REM Jul 28 +2 MSG Johann Sebastian Bach, Composer, 1750 %b%"</v>
      </c>
    </row>
    <row r="144" spans="1:5">
      <c r="A144" t="s">
        <v>3221</v>
      </c>
      <c r="B144">
        <v>29</v>
      </c>
      <c r="C144" t="s">
        <f>(A144&amp;" "&amp;B144)</f>
        <v>705</v>
      </c>
      <c r="D144" t="inlineStr">
        <is>
          <t>Mary and Martha of Bethany</t>
        </is>
      </c>
      <c r="E144" s="10" t="s">
        <f>"REM "&amp;C144&amp;" +2 "&amp;"MSG "&amp;D144&amp;" %b%"""</f>
        <v>3206</v>
      </c>
    </row>
    <row r="145" spans="1:5">
      <c r="A145" t="s">
        <v>3221</v>
      </c>
      <c r="B145">
        <v>29</v>
      </c>
      <c r="C145" t="s">
        <f>(A145&amp;" "&amp;B145)</f>
        <v>705</v>
      </c>
      <c r="D145" t="inlineStr">
        <is>
          <t>The Philadelphia Eleven]</t>
        </is>
      </c>
      <c r="E145" s="10" t="str">
        <f>"REM "&amp;C145&amp;" +2 "&amp;"MSG "&amp;D145&amp;" %b%"""</f>
        <v>REM Jul 29 +2 MSG The Philadelphia Eleven] %b%"</v>
      </c>
    </row>
    <row r="146" spans="1:5">
      <c r="A146" t="s">
        <v>3221</v>
      </c>
      <c r="B146">
        <v>30</v>
      </c>
      <c r="C146" t="s">
        <f>(A146&amp;" "&amp;B146)</f>
        <v>709</v>
      </c>
      <c r="D146" t="inlineStr">
        <is>
          <t>William Wilberforce, Social Reformer, 1833</t>
        </is>
      </c>
      <c r="E146" s="10" t="str">
        <f>"REM "&amp;C146&amp;" +2 "&amp;"MSG "&amp;D146&amp;" %b%"""</f>
        <v>REM Jul 30 +2 MSG William Wilberforce, Social Reformer, 1833 %b%"</v>
      </c>
    </row>
    <row r="147" spans="1:5">
      <c r="A147" t="s">
        <v>3221</v>
      </c>
      <c r="B147">
        <v>31</v>
      </c>
      <c r="C147" t="s">
        <f>(A147&amp;" "&amp;B147)</f>
        <v>714</v>
      </c>
      <c r="D147" t="inlineStr">
        <is>
          <t>Ignatius of Loyola, Priest and Spiritual Writer, 1556</t>
        </is>
      </c>
      <c r="E147" s="10" t="str">
        <f>"REM "&amp;C147&amp;" +2 "&amp;"MSG "&amp;D147&amp;" %b%"""</f>
        <v>REM Jul 31 +2 MSG Ignatius of Loyola, Priest and Spiritual Writer, 1556 %b%"</v>
      </c>
    </row>
    <row r="148" spans="1:5">
      <c r="C148" t="s">
        <f>(A148&amp;" "&amp;B148)</f>
        <v>3218</v>
      </c>
      <c r="E148" s="10" t="s">
        <f>"REM "&amp;C148&amp;" +2 "&amp;"MSG "&amp;D148&amp;" %b%"""</f>
        <v>3219</v>
      </c>
    </row>
    <row r="149" spans="1:5">
      <c r="C149" t="s">
        <f>(A149&amp;" "&amp;B149)</f>
        <v>3218</v>
      </c>
      <c r="E149" s="10" t="s">
        <f>"REM "&amp;C149&amp;" +2 "&amp;"MSG "&amp;D149&amp;" %b%"""</f>
        <v>3219</v>
      </c>
    </row>
    <row r="150" spans="1:5">
      <c r="A150" t="s">
        <v>3223</v>
      </c>
      <c r="B150">
        <v>1</v>
      </c>
      <c r="C150" t="str">
        <f>(A150&amp;" "&amp;B150)</f>
        <v>Aug 1</v>
      </c>
      <c r="D150" t="inlineStr">
        <is>
          <t>Joseph of Arimathaea</t>
        </is>
      </c>
      <c r="E150" s="10" t="str">
        <f>"REM "&amp;C150&amp;" +2 "&amp;"MSG "&amp;D150&amp;" %b%"""</f>
        <v>REM Aug 1 +2 MSG Joseph of Arimathaea %b%"</v>
      </c>
    </row>
    <row r="151" spans="1:5">
      <c r="A151" t="s">
        <v>3223</v>
      </c>
      <c r="B151">
        <v>3</v>
      </c>
      <c r="C151" t="str">
        <f>(A151&amp;" "&amp;B151)</f>
        <v>Aug 3</v>
      </c>
      <c r="D151" t="inlineStr">
        <is>
          <t>Joanna, Mary, and Salome, Myrrh-Bearing Women</t>
        </is>
      </c>
      <c r="E151" s="10" t="str">
        <f>"REM "&amp;C151&amp;" +2 "&amp;"MSG "&amp;D151&amp;" %b%"""</f>
        <v>REM Aug 3 +2 MSG Joanna, Mary, and Salome, Myrrh-Bearing Women %b%"</v>
      </c>
    </row>
    <row r="152" spans="1:5">
      <c r="A152" t="s">
        <v>3223</v>
      </c>
      <c r="B152">
        <v>7</v>
      </c>
      <c r="C152" t="str">
        <f>(A152&amp;" "&amp;B152)</f>
        <v>Aug 7</v>
      </c>
      <c r="D152" t="inlineStr">
        <is>
          <t>John Mason Neale, Priest and Hymnographer, 1866</t>
        </is>
      </c>
      <c r="E152" s="10" t="str">
        <f>"REM "&amp;C152&amp;" +2 "&amp;"MSG "&amp;D152&amp;" %b%"""</f>
        <v>REM Aug 7 +2 MSG John Mason Neale, Priest and Hymnographer, 1866 %b%"</v>
      </c>
    </row>
    <row r="153" spans="1:5">
      <c r="A153" t="s">
        <v>3223</v>
      </c>
      <c r="B153">
        <v>8</v>
      </c>
      <c r="C153" t="str">
        <f>(A153&amp;" "&amp;B153)</f>
        <v>Aug 8</v>
      </c>
      <c r="D153" t="inlineStr">
        <is>
          <t>Dominic, Priest and Friar, 1221</t>
        </is>
      </c>
      <c r="E153" s="10" t="str">
        <f>"REM "&amp;C153&amp;" +2 "&amp;"MSG "&amp;D153&amp;" %b%"""</f>
        <v>REM Aug 8 +2 MSG Dominic, Priest and Friar, 1221 %b%"</v>
      </c>
    </row>
    <row r="154" spans="1:5">
      <c r="A154" t="s">
        <v>3223</v>
      </c>
      <c r="B154">
        <v>9</v>
      </c>
      <c r="C154" t="str">
        <f>(A154&amp;" "&amp;B154)</f>
        <v>Aug 9</v>
      </c>
      <c r="D154" t="inlineStr">
        <is>
          <t>Edith Stein (Teresa Benedicta of the Cross), Philosopher, Monastic, and Martyr, 1942</t>
        </is>
      </c>
      <c r="E154" s="10" t="str">
        <f>"REM "&amp;C154&amp;" +2 "&amp;"MSG "&amp;D154&amp;" %b%"""</f>
        <v>REM Aug 9 +2 MSG Edith Stein (Teresa Benedicta of the Cross), Philosopher, Monastic, and Martyr, 1942 %b%"</v>
      </c>
    </row>
    <row r="155" spans="1:5">
      <c r="A155" t="s">
        <v>3223</v>
      </c>
      <c r="B155">
        <v>10</v>
      </c>
      <c r="C155" t="s">
        <f>(A155&amp;" "&amp;B155)</f>
        <v>734</v>
      </c>
      <c r="D155" t="inlineStr">
        <is>
          <t>Laurence of Rome, Deacon and Martyr, 258</t>
        </is>
      </c>
      <c r="E155" s="10" t="str">
        <f>"REM "&amp;C155&amp;" +2 "&amp;"MSG "&amp;D155&amp;" %b%"""</f>
        <v>REM Aug 10 +2 MSG Laurence of Rome, Deacon and Martyr, 258 %b%"</v>
      </c>
    </row>
    <row r="156" spans="1:5">
      <c r="A156" t="s">
        <v>3223</v>
      </c>
      <c r="B156">
        <v>11</v>
      </c>
      <c r="C156" t="s">
        <f>(A156&amp;" "&amp;B156)</f>
        <v>744</v>
      </c>
      <c r="D156" t="inlineStr">
        <is>
          <t>Clare of Assisi, Monastic, 1253</t>
        </is>
      </c>
      <c r="E156" s="10" t="str">
        <f>"REM "&amp;C156&amp;" +2 "&amp;"MSG "&amp;D156&amp;" %b%"""</f>
        <v>REM Aug 11 +2 MSG Clare of Assisi, Monastic, 1253 %b%"</v>
      </c>
    </row>
    <row r="157" spans="1:5">
      <c r="A157" t="s">
        <v>3223</v>
      </c>
      <c r="B157">
        <v>12</v>
      </c>
      <c r="C157" t="s">
        <f>(A157&amp;" "&amp;B157)</f>
        <v>750</v>
      </c>
      <c r="D157" t="inlineStr">
        <is>
          <t>Florence Nightingale, Nurse, 1910</t>
        </is>
      </c>
      <c r="E157" s="10" t="str">
        <f>"REM "&amp;C157&amp;" +2 "&amp;"MSG "&amp;D157&amp;" %b%"""</f>
        <v>REM Aug 12 +2 MSG Florence Nightingale, Nurse, 1910 %b%"</v>
      </c>
    </row>
    <row r="158" spans="1:5">
      <c r="A158" t="s">
        <v>3223</v>
      </c>
      <c r="B158">
        <v>13</v>
      </c>
      <c r="C158" t="s">
        <f>(A158&amp;" "&amp;B158)</f>
        <v>754</v>
      </c>
      <c r="D158" t="inlineStr">
        <is>
          <t>Jeremy Taylor, Bishop and Theologian, 1667</t>
        </is>
      </c>
      <c r="E158" s="10" t="str">
        <f>"REM "&amp;C158&amp;" +2 "&amp;"MSG "&amp;D158&amp;" %b%"""</f>
        <v>REM Aug 13 +2 MSG Jeremy Taylor, Bishop and Theologian, 1667 %b%"</v>
      </c>
    </row>
    <row r="159" spans="1:5">
      <c r="A159" t="s">
        <v>3223</v>
      </c>
      <c r="B159">
        <v>14</v>
      </c>
      <c r="C159" t="s">
        <f>(A159&amp;" "&amp;B159)</f>
        <v>760</v>
      </c>
      <c r="D159" t="inlineStr">
        <is>
          <t>Jonathan Myrick Daniels, Martyr, 1965</t>
        </is>
      </c>
      <c r="E159" s="10" t="str">
        <f>"REM "&amp;C159&amp;" +2 "&amp;"MSG "&amp;D159&amp;" %b%"""</f>
        <v>REM Aug 14 +2 MSG Jonathan Myrick Daniels, Martyr, 1965 %b%"</v>
      </c>
    </row>
    <row r="160" spans="1:5">
      <c r="A160" t="s">
        <v>3223</v>
      </c>
      <c r="B160">
        <v>20</v>
      </c>
      <c r="C160" t="s">
        <f>(A160&amp;" "&amp;B160)</f>
        <v>812</v>
      </c>
      <c r="D160" t="inlineStr">
        <is>
          <t>Bernard of Clairvaux, Monastic and Theologian, 1153</t>
        </is>
      </c>
      <c r="E160" s="10" t="str">
        <f>"REM "&amp;C160&amp;" +2 "&amp;"MSG "&amp;D160&amp;" %b%"""</f>
        <v>REM Aug 20 +2 MSG Bernard of Clairvaux, Monastic and Theologian, 1153 %b%"</v>
      </c>
    </row>
    <row r="161" spans="1:5">
      <c r="A161" t="s">
        <v>3223</v>
      </c>
      <c r="B161">
        <v>25</v>
      </c>
      <c r="C161" t="s">
        <f>(A161&amp;" "&amp;B161)</f>
        <v>2046</v>
      </c>
      <c r="D161" t="inlineStr">
        <is>
          <t>Louis, King, 1270</t>
        </is>
      </c>
      <c r="E161" s="10" t="str">
        <f>"REM "&amp;C161&amp;" +2 "&amp;"MSG "&amp;D161&amp;" %b%"""</f>
        <v>REM Aug 25 +2 MSG Louis, King, 1270 %b%"</v>
      </c>
    </row>
    <row r="162" spans="1:5">
      <c r="A162" t="s">
        <v>3223</v>
      </c>
      <c r="B162">
        <v>27</v>
      </c>
      <c r="C162" t="s">
        <f>(A162&amp;" "&amp;B162)</f>
        <v>1374</v>
      </c>
      <c r="D162" t="inlineStr">
        <is>
          <t>Thomas Gallaudet and Henry Winter Syle, Priests, 1902 and 1890</t>
        </is>
      </c>
      <c r="E162" s="10" t="str">
        <f>"REM "&amp;C162&amp;" +2 "&amp;"MSG "&amp;D162&amp;" %b%"""</f>
        <v>REM Aug 27 +2 MSG Thomas Gallaudet and Henry Winter Syle, Priests, 1902 and 1890 %b%"</v>
      </c>
    </row>
    <row r="163" spans="1:5">
      <c r="A163" t="s">
        <v>3223</v>
      </c>
      <c r="B163">
        <v>28</v>
      </c>
      <c r="C163" t="s">
        <f>(A163&amp;" "&amp;B163)</f>
        <v>1375</v>
      </c>
      <c r="D163" t="inlineStr">
        <is>
          <t>Augustine of Hippo, Bishop and Theologian, 430</t>
        </is>
      </c>
      <c r="E163" s="10" t="str">
        <f>"REM "&amp;C163&amp;" +2 "&amp;"MSG "&amp;D163&amp;" %b%"""</f>
        <v>REM Aug 28 +2 MSG Augustine of Hippo, Bishop and Theologian, 430 %b%"</v>
      </c>
    </row>
    <row r="164" spans="1:5">
      <c r="A164" t="s">
        <v>3223</v>
      </c>
      <c r="B164">
        <v>29</v>
      </c>
      <c r="C164" t="s">
        <f>(A164&amp;" "&amp;B164)</f>
        <v>841</v>
      </c>
      <c r="D164" t="inlineStr">
        <is>
          <t>The Beheading of Saint John the Baptist</t>
        </is>
      </c>
      <c r="E164" s="10" t="str">
        <f>"REM "&amp;C164&amp;" +2 "&amp;"MSG "&amp;D164&amp;" %b%"""</f>
        <v>REM Aug 29 +2 MSG The Beheading of Saint John the Baptist %b%"</v>
      </c>
    </row>
    <row r="165" spans="1:5">
      <c r="A165" t="s">
        <v>3223</v>
      </c>
      <c r="B165">
        <v>30</v>
      </c>
      <c r="C165" t="s">
        <f>(A165&amp;" "&amp;B165)</f>
        <v>846</v>
      </c>
      <c r="D165" t="inlineStr">
        <is>
          <t>Margaret Ward, Margaret Clitherow, and Anne Line, Martyrs, 1588, 1586, and 1601</t>
        </is>
      </c>
      <c r="E165" s="10" t="str">
        <f>"REM "&amp;C165&amp;" +2 "&amp;"MSG "&amp;D165&amp;" %b%"""</f>
        <v>REM Aug 30 +2 MSG Margaret Ward, Margaret Clitherow, and Anne Line, Martyrs, 1588, 1586, and 1601 %b%"</v>
      </c>
    </row>
    <row r="166" spans="1:5">
      <c r="A166" t="s">
        <v>3223</v>
      </c>
      <c r="B166">
        <v>31</v>
      </c>
      <c r="C166" t="s">
        <f>(A166&amp;" "&amp;B166)</f>
        <v>2061</v>
      </c>
      <c r="D166" t="inlineStr">
        <is>
          <t>Aidan of Lindisfarne, Bishop, 651</t>
        </is>
      </c>
      <c r="E166" s="10" t="str">
        <f>"REM "&amp;C166&amp;" +2 "&amp;"MSG "&amp;D166&amp;" %b%"""</f>
        <v>REM Aug 31 +2 MSG Aidan of Lindisfarne, Bishop, 651 %b%"</v>
      </c>
    </row>
    <row r="167" spans="1:5">
      <c r="C167" t="s">
        <f>(A167&amp;" "&amp;B167)</f>
        <v>3218</v>
      </c>
      <c r="E167" s="10" t="s">
        <f>"REM "&amp;C167&amp;" +2 "&amp;"MSG "&amp;D167&amp;" %b%"""</f>
        <v>3219</v>
      </c>
    </row>
    <row r="168" spans="1:5">
      <c r="C168" t="s">
        <f>(A168&amp;" "&amp;B168)</f>
        <v>3218</v>
      </c>
      <c r="E168" s="10" t="s">
        <f>"REM "&amp;C168&amp;" +2 "&amp;"MSG "&amp;D168&amp;" %b%"""</f>
        <v>3219</v>
      </c>
    </row>
    <row r="169" spans="1:5">
      <c r="A169" t="s">
        <v>3224</v>
      </c>
      <c r="B169">
        <v>1</v>
      </c>
      <c r="C169" t="str">
        <f>(A169&amp;" "&amp;B169)</f>
        <v>Sep 1</v>
      </c>
      <c r="D169" t="inlineStr">
        <is>
          <t>David Pendleton Oakerhater, Deacon, 1931</t>
        </is>
      </c>
      <c r="E169" s="10" t="str">
        <f>"REM "&amp;C169&amp;" +2 "&amp;"MSG "&amp;D169&amp;" %b%"""</f>
        <v>REM Sep 1 +2 MSG David Pendleton Oakerhater, Deacon, 1931 %b%"</v>
      </c>
    </row>
    <row r="170" spans="1:5">
      <c r="A170" t="s">
        <v>3224</v>
      </c>
      <c r="B170">
        <v>2</v>
      </c>
      <c r="C170" t="str">
        <f>(A170&amp;" "&amp;B170)</f>
        <v>Sep 2</v>
      </c>
      <c r="D170" t="inlineStr">
        <is>
          <t>The Martyrs of New Guinea, 1942</t>
        </is>
      </c>
      <c r="E170" s="10" t="str">
        <f>"REM "&amp;C170&amp;" +2 "&amp;"MSG "&amp;D170&amp;" %b%"""</f>
        <v>REM Sep 2 +2 MSG The Martyrs of New Guinea, 1942 %b%"</v>
      </c>
    </row>
    <row r="171" spans="1:5">
      <c r="A171" t="s">
        <v>3224</v>
      </c>
      <c r="B171">
        <v>3</v>
      </c>
      <c r="C171" t="str">
        <f>(A171&amp;" "&amp;B171)</f>
        <v>Sep 3</v>
      </c>
      <c r="D171" t="inlineStr">
        <is>
          <t>Phoebe, Deacon</t>
        </is>
      </c>
      <c r="E171" s="10" t="str">
        <f>"REM "&amp;C171&amp;" +2 "&amp;"MSG "&amp;D171&amp;" %b%"""</f>
        <v>REM Sep 3 +2 MSG Phoebe, Deacon %b%"</v>
      </c>
    </row>
    <row r="172" spans="1:5">
      <c r="A172" t="s">
        <v>3224</v>
      </c>
      <c r="B172">
        <v>4</v>
      </c>
      <c r="C172" t="str">
        <f>(A172&amp;" "&amp;B172)</f>
        <v>Sep 4</v>
      </c>
      <c r="D172" t="inlineStr">
        <is>
          <t>Paul Jones, Bishop, 1941</t>
        </is>
      </c>
      <c r="E172" s="10" t="str">
        <f>"REM "&amp;C172&amp;" +2 "&amp;"MSG "&amp;D172&amp;" %b%"""</f>
        <v>REM Sep 4 +2 MSG Paul Jones, Bishop, 1941 %b%"</v>
      </c>
    </row>
    <row r="173" spans="1:5">
      <c r="A173" t="s">
        <v>3224</v>
      </c>
      <c r="B173">
        <v>5</v>
      </c>
      <c r="C173" t="str">
        <f>(A173&amp;" "&amp;B173)</f>
        <v>Sep 5</v>
      </c>
      <c r="D173" t="inlineStr">
        <is>
          <t>Katharina Zell, Church Reformer and Writer, 1562</t>
        </is>
      </c>
      <c r="E173" s="10" t="str">
        <f>"REM "&amp;C173&amp;" +2 "&amp;"MSG "&amp;D173&amp;" %b%"""</f>
        <v>REM Sep 5 +2 MSG Katharina Zell, Church Reformer and Writer, 1562 %b%"</v>
      </c>
    </row>
    <row r="174" spans="1:5">
      <c r="A174" t="s">
        <v>3224</v>
      </c>
      <c r="B174">
        <v>6</v>
      </c>
      <c r="C174" t="str">
        <f>(A174&amp;" "&amp;B174)</f>
        <v>Sep 6</v>
      </c>
      <c r="D174" t="inlineStr">
        <is>
          <t>Hannah More, Religious Writer and Philanthropist, 1833</t>
        </is>
      </c>
      <c r="E174" s="10" t="str">
        <f>"REM "&amp;C174&amp;" +2 "&amp;"MSG "&amp;D174&amp;" %b%"""</f>
        <v>REM Sep 6 +2 MSG Hannah More, Religious Writer and Philanthropist, 1833 %b%"</v>
      </c>
    </row>
    <row r="175" spans="1:5">
      <c r="A175" t="s">
        <v>3224</v>
      </c>
      <c r="B175">
        <v>7</v>
      </c>
      <c r="C175" t="s">
        <f>(A175&amp;" "&amp;B175)</f>
        <v>3225</v>
      </c>
      <c r="D175" t="inlineStr">
        <is>
          <t>Kassiani, Poet and Hymnographer, 865</t>
        </is>
      </c>
      <c r="E175" s="10" t="str">
        <f>"REM "&amp;C175&amp;" +2 "&amp;"MSG "&amp;D175&amp;" %b%"""</f>
        <v>REM Sep 7 +2 MSG Kassiani, Poet and Hymnographer, 865 %b%"</v>
      </c>
    </row>
    <row r="176" spans="1:5">
      <c r="A176" t="s">
        <v>3224</v>
      </c>
      <c r="B176">
        <v>7</v>
      </c>
      <c r="C176" t="s">
        <f>(A176&amp;" "&amp;B176)</f>
        <v>3225</v>
      </c>
      <c r="D176" t="inlineStr">
        <is>
          <t>Elie Naud, Huguenot Witness to the Faith, 1722]</t>
        </is>
      </c>
      <c r="E176" s="10" t="str">
        <f>"REM "&amp;C176&amp;" +2 "&amp;"MSG "&amp;D176&amp;" %b%"""</f>
        <v>REM Sep 7 +2 MSG Elie Naud, Huguenot Witness to the Faith, 1722] %b%"</v>
      </c>
    </row>
    <row r="177" spans="1:5">
      <c r="A177" t="s">
        <v>3224</v>
      </c>
      <c r="B177">
        <v>8</v>
      </c>
      <c r="C177" t="str">
        <f>(A177&amp;" "&amp;B177)</f>
        <v>Sep 8</v>
      </c>
      <c r="D177" t="inlineStr">
        <is>
          <t>The Nativity of the Blessed Virgin Mary</t>
        </is>
      </c>
      <c r="E177" s="10" t="str">
        <f>"REM "&amp;C177&amp;" +2 "&amp;"MSG "&amp;D177&amp;" %b%"""</f>
        <v>REM Sep 8 +2 MSG The Nativity of the Blessed Virgin Mary %b%"</v>
      </c>
    </row>
    <row r="178" spans="1:5">
      <c r="A178" t="s">
        <v>3224</v>
      </c>
      <c r="B178">
        <v>9</v>
      </c>
      <c r="C178" t="str">
        <f>(A178&amp;" "&amp;B178)</f>
        <v>Sep 9</v>
      </c>
      <c r="D178" t="inlineStr">
        <is>
          <t>Constance, Thecla, Ruth, Frances, Charles Parsons, and Louis Schuyler, Martyrs, 1878</t>
        </is>
      </c>
      <c r="E178" s="10" t="str">
        <f>"REM "&amp;C178&amp;" +2 "&amp;"MSG "&amp;D178&amp;" %b%"""</f>
        <v>REM Sep 9 +2 MSG Constance, Thecla, Ruth, Frances, Charles Parsons, and Louis Schuyler, Martyrs, 1878 %b%"</v>
      </c>
    </row>
    <row r="179" spans="1:5">
      <c r="A179" t="s">
        <v>3224</v>
      </c>
      <c r="B179">
        <v>10</v>
      </c>
      <c r="C179" t="s">
        <f>(A179&amp;" "&amp;B179)</f>
        <v>1382</v>
      </c>
      <c r="D179" t="inlineStr">
        <is>
          <t>Alexander Crummell Priest, 1898</t>
        </is>
      </c>
      <c r="E179" s="10" t="str">
        <f>"REM "&amp;C179&amp;" +2 "&amp;"MSG "&amp;D179&amp;" %b%"""</f>
        <v>REM Sep 10 +2 MSG Alexander Crummell Priest, 1898 %b%"</v>
      </c>
    </row>
    <row r="180" spans="1:5">
      <c r="A180" t="s">
        <v>3224</v>
      </c>
      <c r="B180">
        <v>12</v>
      </c>
      <c r="C180" t="s">
        <f>(A180&amp;" "&amp;B180)</f>
        <v>1386</v>
      </c>
      <c r="D180" t="inlineStr">
        <is>
          <t>John Henry Hobart, Bishop of New York, 1830</t>
        </is>
      </c>
      <c r="E180" s="10" t="str">
        <f>"REM "&amp;C180&amp;" +2 "&amp;"MSG "&amp;D180&amp;" %b%"""</f>
        <v>REM Sep 12 +2 MSG John Henry Hobart, Bishop of New York, 1830 %b%"</v>
      </c>
    </row>
    <row r="181" spans="1:5">
      <c r="A181" t="s">
        <v>3224</v>
      </c>
      <c r="B181">
        <v>13</v>
      </c>
      <c r="C181" t="s">
        <f>(A181&amp;" "&amp;B181)</f>
        <v>866</v>
      </c>
      <c r="D181" t="inlineStr">
        <is>
          <t>Cyprian of Carthage, Bishop and Martyr, 258</t>
        </is>
      </c>
      <c r="E181" s="10" t="str">
        <f>"REM "&amp;C181&amp;" +2 "&amp;"MSG "&amp;D181&amp;" %b%"""</f>
        <v>REM Sep 13 +2 MSG Cyprian of Carthage, Bishop and Martyr, 258 %b%"</v>
      </c>
    </row>
    <row r="182" spans="1:5">
      <c r="A182" t="s">
        <v>3224</v>
      </c>
      <c r="B182">
        <v>15</v>
      </c>
      <c r="C182" t="s">
        <f>(A182&amp;" "&amp;B182)</f>
        <v>1391</v>
      </c>
      <c r="D182" t="inlineStr">
        <is>
          <t>Catherine of Genoa, Mystic and Nurse, 1510</t>
        </is>
      </c>
      <c r="E182" s="10" t="str">
        <f>"REM "&amp;C182&amp;" +2 "&amp;"MSG "&amp;D182&amp;" %b%"""</f>
        <v>REM Sep 15 +2 MSG Catherine of Genoa, Mystic and Nurse, 1510 %b%"</v>
      </c>
    </row>
    <row r="183" spans="1:5">
      <c r="A183" t="s">
        <v>3224</v>
      </c>
      <c r="B183">
        <v>16</v>
      </c>
      <c r="C183" t="s">
        <f>(A183&amp;" "&amp;B183)</f>
        <v>870</v>
      </c>
      <c r="D183" t="inlineStr">
        <is>
          <t>Ninian, Bishop, c.430</t>
        </is>
      </c>
      <c r="E183" s="10" t="str">
        <f>"REM "&amp;C183&amp;" +2 "&amp;"MSG "&amp;D183&amp;" %b%"""</f>
        <v>REM Sep 16 +2 MSG Ninian, Bishop, c.430 %b%"</v>
      </c>
    </row>
    <row r="184" spans="1:5">
      <c r="A184" t="s">
        <v>3224</v>
      </c>
      <c r="B184">
        <v>17</v>
      </c>
      <c r="C184" t="s">
        <f>(A184&amp;" "&amp;B184)</f>
        <v>872</v>
      </c>
      <c r="D184" t="inlineStr">
        <is>
          <t>Hildegard of Bingen, Mystic and Scholar, 1179</t>
        </is>
      </c>
      <c r="E184" s="10" t="str">
        <f>"REM "&amp;C184&amp;" +2 "&amp;"MSG "&amp;D184&amp;" %b%"""</f>
        <v>REM Sep 17 +2 MSG Hildegard of Bingen, Mystic and Scholar, 1179 %b%"</v>
      </c>
    </row>
    <row r="185" spans="1:5">
      <c r="A185" t="s">
        <v>3224</v>
      </c>
      <c r="B185">
        <v>18</v>
      </c>
      <c r="C185" t="s">
        <f>(A185&amp;" "&amp;B185)</f>
        <v>875</v>
      </c>
      <c r="D185" t="inlineStr">
        <is>
          <t>Edward Bouverie Pusey, Priest, 1882</t>
        </is>
      </c>
      <c r="E185" s="10" t="str">
        <f>"REM "&amp;C185&amp;" +2 "&amp;"MSG "&amp;D185&amp;" %b%"""</f>
        <v>REM Sep 18 +2 MSG Edward Bouverie Pusey, Priest, 1882 %b%"</v>
      </c>
    </row>
    <row r="186" spans="1:5">
      <c r="A186" t="s">
        <v>3224</v>
      </c>
      <c r="B186">
        <v>19</v>
      </c>
      <c r="C186" t="s">
        <f>(A186&amp;" "&amp;B186)</f>
        <v>879</v>
      </c>
      <c r="D186" t="inlineStr">
        <is>
          <t>Theodore of Tarsus, Archbishop of Canterbury, 690</t>
        </is>
      </c>
      <c r="E186" s="10" t="str">
        <f>"REM "&amp;C186&amp;" +2 "&amp;"MSG "&amp;D186&amp;" %b%"""</f>
        <v>REM Sep 19 +2 MSG Theodore of Tarsus, Archbishop of Canterbury, 690 %b%"</v>
      </c>
    </row>
    <row r="187" spans="1:5">
      <c r="A187" t="s">
        <v>3224</v>
      </c>
      <c r="B187">
        <v>20</v>
      </c>
      <c r="C187" t="s">
        <f>(A187&amp;" "&amp;B187)</f>
        <v>884</v>
      </c>
      <c r="D187" t="inlineStr">
        <is>
          <t>John Coleridge Patteson, Bishop, and his Companions, Martyrs, 1871</t>
        </is>
      </c>
      <c r="E187" s="10" t="str">
        <f>"REM "&amp;C187&amp;" +2 "&amp;"MSG "&amp;D187&amp;" %b%"""</f>
        <v>REM Sep 20 +2 MSG John Coleridge Patteson, Bishop, and his Companions, Martyrs, 1871 %b%"</v>
      </c>
    </row>
    <row r="188" spans="1:5">
      <c r="A188" t="s">
        <v>3224</v>
      </c>
      <c r="B188">
        <v>22</v>
      </c>
      <c r="C188" t="s">
        <f>(A188&amp;" "&amp;B188)</f>
        <v>2088</v>
      </c>
      <c r="D188" t="inlineStr">
        <is>
          <t>Philander Chase, Bishop, 1852</t>
        </is>
      </c>
      <c r="E188" s="10" t="str">
        <f>"REM "&amp;C188&amp;" +2 "&amp;"MSG "&amp;D188&amp;" %b%"""</f>
        <v>REM Sep 22 +2 MSG Philander Chase, Bishop, 1852 %b%"</v>
      </c>
    </row>
    <row r="189" spans="1:5">
      <c r="A189" t="s">
        <v>3224</v>
      </c>
      <c r="B189">
        <v>23</v>
      </c>
      <c r="C189" t="s">
        <f>(A189&amp;" "&amp;B189)</f>
        <v>892</v>
      </c>
      <c r="D189" t="inlineStr">
        <is>
          <t>Thecla of Iconium Proto-Martyr Among Women, c.70</t>
        </is>
      </c>
      <c r="E189" s="10" t="str">
        <f>"REM "&amp;C189&amp;" +2 "&amp;"MSG "&amp;D189&amp;" %b%"""</f>
        <v>REM Sep 23 +2 MSG Thecla of Iconium Proto-Martyr Among Women, c.70 %b%"</v>
      </c>
    </row>
    <row r="190" spans="1:5">
      <c r="A190" t="s">
        <v>3224</v>
      </c>
      <c r="B190">
        <v>24</v>
      </c>
      <c r="C190" t="s">
        <f>(A190&amp;" "&amp;B190)</f>
        <v>2090</v>
      </c>
      <c r="D190" t="inlineStr">
        <is>
          <t>Anna Ellison Butler Alexander, Deaconess and Teacher, 1947</t>
        </is>
      </c>
      <c r="E190" s="10" t="str">
        <f>"REM "&amp;C190&amp;" +2 "&amp;"MSG "&amp;D190&amp;" %b%"""</f>
        <v>REM Sep 24 +2 MSG Anna Ellison Butler Alexander, Deaconess and Teacher, 1947 %b%"</v>
      </c>
    </row>
    <row r="191" spans="1:5">
      <c r="A191" t="s">
        <v>3224</v>
      </c>
      <c r="B191">
        <v>25</v>
      </c>
      <c r="C191" t="s">
        <f>(A191&amp;" "&amp;B191)</f>
        <v>1393</v>
      </c>
      <c r="D191" t="inlineStr">
        <is>
          <t>Sergius of Radonezh, Monastic, Moscow, 1392</t>
        </is>
      </c>
      <c r="E191" s="10" t="str">
        <f>"REM "&amp;C191&amp;" +2 "&amp;"MSG "&amp;D191&amp;" %b%"""</f>
        <v>REM Sep 25 +2 MSG Sergius of Radonezh, Monastic, Moscow, 1392 %b%"</v>
      </c>
    </row>
    <row r="192" spans="1:5">
      <c r="A192" t="s">
        <v>3224</v>
      </c>
      <c r="B192">
        <v>26</v>
      </c>
      <c r="C192" t="s">
        <f>(A192&amp;" "&amp;B192)</f>
        <v>895</v>
      </c>
      <c r="D192" t="inlineStr">
        <is>
          <t>Lancelot Andrewes, Bishop, 1626</t>
        </is>
      </c>
      <c r="E192" s="10" t="str">
        <f>"REM "&amp;C192&amp;" +2 "&amp;"MSG "&amp;D192&amp;" %b%"""</f>
        <v>REM Sep 26 +2 MSG Lancelot Andrewes, Bishop, 1626 %b%"</v>
      </c>
    </row>
    <row r="193" spans="1:5">
      <c r="A193" t="s">
        <v>3224</v>
      </c>
      <c r="B193">
        <v>27</v>
      </c>
      <c r="C193" t="s">
        <f>(A193&amp;" "&amp;B193)</f>
        <v>901</v>
      </c>
      <c r="D193" t="inlineStr">
        <is>
          <t>Euphrosyne/Smaragdus of Alexandria, Monastic, fifth century</t>
        </is>
      </c>
      <c r="E193" s="10" t="str">
        <f>"REM "&amp;C193&amp;" +2 "&amp;"MSG "&amp;D193&amp;" %b%"""</f>
        <v>REM Sep 27 +2 MSG Euphrosyne/Smaragdus of Alexandria, Monastic, fifth century %b%"</v>
      </c>
    </row>
    <row r="194" spans="1:5">
      <c r="A194" t="s">
        <v>3224</v>
      </c>
      <c r="B194">
        <v>28</v>
      </c>
      <c r="C194" t="s">
        <f>(A194&amp;" "&amp;B194)</f>
        <v>912</v>
      </c>
      <c r="D194" t="inlineStr">
        <is>
          <t>Paula and Eustochium of Rome, Monastics and Scholars, 404 and c.419</t>
        </is>
      </c>
      <c r="E194" s="10" t="str">
        <f>"REM "&amp;C194&amp;" +2 "&amp;"MSG "&amp;D194&amp;" %b%"""</f>
        <v>REM Sep 28 +2 MSG Paula and Eustochium of Rome, Monastics and Scholars, 404 and c.419 %b%"</v>
      </c>
    </row>
    <row r="195" spans="1:5">
      <c r="A195" t="s">
        <v>3224</v>
      </c>
      <c r="B195">
        <v>30</v>
      </c>
      <c r="C195" t="s">
        <f>(A195&amp;" "&amp;B195)</f>
        <v>916</v>
      </c>
      <c r="D195" t="inlineStr">
        <is>
          <t>Jerome, Priest, and Scholar, 420</t>
        </is>
      </c>
      <c r="E195" s="10" t="str">
        <f>"REM "&amp;C195&amp;" +2 "&amp;"MSG "&amp;D195&amp;" %b%"""</f>
        <v>REM Sep 30 +2 MSG Jerome, Priest, and Scholar, 420 %b%"</v>
      </c>
    </row>
    <row r="196" spans="1:5">
      <c r="C196" t="s">
        <f>(A196&amp;" "&amp;B196)</f>
        <v>3218</v>
      </c>
      <c r="E196" s="10" t="s">
        <f>"REM "&amp;C196&amp;" +2 "&amp;"MSG "&amp;D196&amp;" %b%"""</f>
        <v>3219</v>
      </c>
    </row>
    <row r="197" spans="1:5">
      <c r="C197" t="s">
        <f>(A197&amp;" "&amp;B197)</f>
        <v>3218</v>
      </c>
      <c r="E197" s="10" t="s">
        <f>"REM "&amp;C197&amp;" +2 "&amp;"MSG "&amp;D197&amp;" %b%"""</f>
        <v>3219</v>
      </c>
    </row>
    <row r="198" spans="1:5">
      <c r="A198" t="s">
        <v>3226</v>
      </c>
      <c r="B198">
        <v>1</v>
      </c>
      <c r="C198" t="str">
        <f>(A198&amp;" "&amp;B198)</f>
        <v>Oct 1</v>
      </c>
      <c r="D198" t="inlineStr">
        <is>
          <t>Thérèse of Lisieux, Monastic, 1897</t>
        </is>
      </c>
      <c r="E198" s="10" t="str">
        <f>"REM "&amp;C198&amp;" +2 "&amp;"MSG "&amp;D198&amp;" %b%"""</f>
        <v>REM Oct 1 +2 MSG Thérèse of Lisieux, Monastic, 1897 %b%"</v>
      </c>
    </row>
    <row r="199" spans="1:5">
      <c r="A199" t="s">
        <v>3226</v>
      </c>
      <c r="B199">
        <v>2</v>
      </c>
      <c r="C199" t="str">
        <f>(A199&amp;" "&amp;B199)</f>
        <v>Oct 2</v>
      </c>
      <c r="D199" t="inlineStr">
        <is>
          <t>Remigius of Rheims, Bishop, c.530</t>
        </is>
      </c>
      <c r="E199" s="10" t="str">
        <f>"REM "&amp;C199&amp;" +2 "&amp;"MSG "&amp;D199&amp;" %b%"""</f>
        <v>REM Oct 2 +2 MSG Remigius of Rheims, Bishop, c.530 %b%"</v>
      </c>
    </row>
    <row r="200" spans="1:5">
      <c r="A200" t="s">
        <v>3226</v>
      </c>
      <c r="B200">
        <v>3</v>
      </c>
      <c r="C200" t="str">
        <f>(A200&amp;" "&amp;B200)</f>
        <v>Oct 3</v>
      </c>
      <c r="D200" t="inlineStr">
        <is>
          <t>John Raleigh Mott, Ecumenist and Missionary, 1955</t>
        </is>
      </c>
      <c r="E200" s="10" t="str">
        <f>"REM "&amp;C200&amp;" +2 "&amp;"MSG "&amp;D200&amp;" %b%"""</f>
        <v>REM Oct 3 +2 MSG John Raleigh Mott, Ecumenist and Missionary, 1955 %b%"</v>
      </c>
    </row>
    <row r="201" spans="1:5">
      <c r="A201" t="s">
        <v>3226</v>
      </c>
      <c r="B201">
        <v>4</v>
      </c>
      <c r="C201" t="str">
        <f>(A201&amp;" "&amp;B201)</f>
        <v>Oct 4</v>
      </c>
      <c r="D201" t="inlineStr">
        <is>
          <t>Francis of Assisi, Friar, 1226</t>
        </is>
      </c>
      <c r="E201" s="10" t="str">
        <f>"REM "&amp;C201&amp;" +2 "&amp;"MSG "&amp;D201&amp;" %b%"""</f>
        <v>REM Oct 4 +2 MSG Francis of Assisi, Friar, 1226 %b%"</v>
      </c>
    </row>
    <row r="202" spans="1:5">
      <c r="A202" t="s">
        <v>3226</v>
      </c>
      <c r="B202">
        <v>6</v>
      </c>
      <c r="C202" t="str">
        <f>(A202&amp;" "&amp;B202)</f>
        <v>Oct 6</v>
      </c>
      <c r="D202" t="inlineStr">
        <is>
          <t>William Tyndale, Priest, 1536</t>
        </is>
      </c>
      <c r="E202" s="10" t="str">
        <f>"REM "&amp;C202&amp;" +2 "&amp;"MSG "&amp;D202&amp;" %b%"""</f>
        <v>REM Oct 6 +2 MSG William Tyndale, Priest, 1536 %b%"</v>
      </c>
    </row>
    <row r="203" spans="1:5">
      <c r="A203" t="s">
        <v>3226</v>
      </c>
      <c r="B203">
        <v>7</v>
      </c>
      <c r="C203" t="str">
        <f>(A203&amp;" "&amp;B203)</f>
        <v>Oct 7</v>
      </c>
      <c r="D203" t="inlineStr">
        <is>
          <t>Birgitta of Sweden, Mystic, 1373</t>
        </is>
      </c>
      <c r="E203" s="10" t="str">
        <f>"REM "&amp;C203&amp;" +2 "&amp;"MSG "&amp;D203&amp;" %b%"""</f>
        <v>REM Oct 7 +2 MSG Birgitta of Sweden, Mystic, 1373 %b%"</v>
      </c>
    </row>
    <row r="204" spans="1:5">
      <c r="A204" t="s">
        <v>3226</v>
      </c>
      <c r="B204">
        <v>9</v>
      </c>
      <c r="C204" t="str">
        <f>(A204&amp;" "&amp;B204)</f>
        <v>Oct 9</v>
      </c>
      <c r="D204" t="inlineStr">
        <is>
          <t>Robert Grosseteste, Bishop, 1253</t>
        </is>
      </c>
      <c r="E204" s="10" t="str">
        <f>"REM "&amp;C204&amp;" +2 "&amp;"MSG "&amp;D204&amp;" %b%"""</f>
        <v>REM Oct 9 +2 MSG Robert Grosseteste, Bishop, 1253 %b%"</v>
      </c>
    </row>
    <row r="205" spans="1:5">
      <c r="A205" t="s">
        <v>3226</v>
      </c>
      <c r="B205">
        <v>10</v>
      </c>
      <c r="C205" t="s">
        <f>(A205&amp;" "&amp;B205)</f>
        <v>1401</v>
      </c>
      <c r="D205" t="inlineStr">
        <is>
          <t>Vida Dutton Scudder, Educator, 1954</t>
        </is>
      </c>
      <c r="E205" s="10" t="str">
        <f>"REM "&amp;C205&amp;" +2 "&amp;"MSG "&amp;D205&amp;" %b%"""</f>
        <v>REM Oct 10 +2 MSG Vida Dutton Scudder, Educator, 1954 %b%"</v>
      </c>
    </row>
    <row r="206" spans="1:5">
      <c r="A206" t="s">
        <v>3226</v>
      </c>
      <c r="B206">
        <v>11</v>
      </c>
      <c r="C206" t="s">
        <f>(A206&amp;" "&amp;B206)</f>
        <v>933</v>
      </c>
      <c r="D206" t="inlineStr">
        <is>
          <t>Philip, Deacon and Evangelist</t>
        </is>
      </c>
      <c r="E206" s="10" t="str">
        <f>"REM "&amp;C206&amp;" +2 "&amp;"MSG "&amp;D206&amp;" %b%"""</f>
        <v>REM Oct 11 +2 MSG Philip, Deacon and Evangelist %b%"</v>
      </c>
    </row>
    <row r="207" spans="1:5">
      <c r="A207" t="s">
        <v>3226</v>
      </c>
      <c r="B207">
        <v>12</v>
      </c>
      <c r="C207" t="s">
        <f>(A207&amp;" "&amp;B207)</f>
        <v>1619</v>
      </c>
      <c r="D207" t="inlineStr">
        <is>
          <t>Edith Cavell, Nurse, 1915</t>
        </is>
      </c>
      <c r="E207" s="10" t="str">
        <f>"REM "&amp;C207&amp;" +2 "&amp;"MSG "&amp;D207&amp;" %b%"""</f>
        <v>REM Oct 12 +2 MSG Edith Cavell, Nurse, 1915 %b%"</v>
      </c>
    </row>
    <row r="208" spans="1:5">
      <c r="A208" t="s">
        <v>3226</v>
      </c>
      <c r="B208">
        <v>14</v>
      </c>
      <c r="C208" t="s">
        <f>(A208&amp;" "&amp;B208)</f>
        <v>938</v>
      </c>
      <c r="D208" t="inlineStr">
        <is>
          <t>Samuel Isaac Joseph Schereschewsky, Bishop and Missionary, 1906</t>
        </is>
      </c>
      <c r="E208" s="10" t="str">
        <f>"REM "&amp;C208&amp;" +2 "&amp;"MSG "&amp;D208&amp;" %b%"""</f>
        <v>REM Oct 14 +2 MSG Samuel Isaac Joseph Schereschewsky, Bishop and Missionary, 1906 %b%"</v>
      </c>
    </row>
    <row r="209" spans="1:5">
      <c r="A209" t="s">
        <v>3226</v>
      </c>
      <c r="B209">
        <v>15</v>
      </c>
      <c r="C209" t="s">
        <f>(A209&amp;" "&amp;B209)</f>
        <v>942</v>
      </c>
      <c r="D209" t="inlineStr">
        <is>
          <t>Teresa of Avila, Mystic and Monastic Reformer, 1582</t>
        </is>
      </c>
      <c r="E209" s="10" t="str">
        <f>"REM "&amp;C209&amp;" +2 "&amp;"MSG "&amp;D209&amp;" %b%"""</f>
        <v>REM Oct 15 +2 MSG Teresa of Avila, Mystic and Monastic Reformer, 1582 %b%"</v>
      </c>
    </row>
    <row r="210" spans="1:5">
      <c r="A210" t="s">
        <v>3226</v>
      </c>
      <c r="B210">
        <v>16</v>
      </c>
      <c r="C210" t="s">
        <f>(A210&amp;" "&amp;B210)</f>
        <v>1404</v>
      </c>
      <c r="D210" t="inlineStr">
        <is>
          <t>Hugh Latimer, Nicholas Ridley, and Thomas Cranmer, 1555, 1556</t>
        </is>
      </c>
      <c r="E210" s="10" t="str">
        <f>"REM "&amp;C210&amp;" +2 "&amp;"MSG "&amp;D210&amp;" %b%"""</f>
        <v>REM Oct 16 +2 MSG Hugh Latimer, Nicholas Ridley, and Thomas Cranmer, 1555, 1556 %b%"</v>
      </c>
    </row>
    <row r="211" spans="1:5">
      <c r="A211" t="s">
        <v>3226</v>
      </c>
      <c r="B211">
        <v>17</v>
      </c>
      <c r="C211" t="s">
        <f>(A211&amp;" "&amp;B211)</f>
        <v>949</v>
      </c>
      <c r="D211" t="inlineStr">
        <is>
          <t>Ignatius of Antioch, Bishop and Martyr, c.115</t>
        </is>
      </c>
      <c r="E211" s="10" t="str">
        <f>"REM "&amp;C211&amp;" +2 "&amp;"MSG "&amp;D211&amp;" %b%"""</f>
        <v>REM Oct 17 +2 MSG Ignatius of Antioch, Bishop and Martyr, c.115 %b%"</v>
      </c>
    </row>
    <row r="212" spans="1:5">
      <c r="A212" t="s">
        <v>3226</v>
      </c>
      <c r="B212">
        <v>19</v>
      </c>
      <c r="C212" t="s">
        <f>(A212&amp;" "&amp;B212)</f>
        <v>1626</v>
      </c>
      <c r="D212" t="inlineStr">
        <is>
          <t>Henry Martyn, Priest and Missionary, 1812</t>
        </is>
      </c>
      <c r="E212" s="10" t="str">
        <f>"REM "&amp;C212&amp;" +2 "&amp;"MSG "&amp;D212&amp;" %b%"""</f>
        <v>REM Oct 19 +2 MSG Henry Martyn, Priest and Missionary, 1812 %b%"</v>
      </c>
    </row>
    <row r="213" spans="1:5">
      <c r="A213" t="s">
        <v>3226</v>
      </c>
      <c r="B213">
        <v>20</v>
      </c>
      <c r="C213" t="s">
        <f>(A213&amp;" "&amp;B213)</f>
        <v>1408</v>
      </c>
      <c r="D213" t="inlineStr">
        <is>
          <t>Cornelius the Centurion</t>
        </is>
      </c>
      <c r="E213" s="10" t="str">
        <f>"REM "&amp;C213&amp;" +2 "&amp;"MSG "&amp;D213&amp;" %b%"""</f>
        <v>REM Oct 20 +2 MSG Cornelius the Centurion %b%"</v>
      </c>
    </row>
    <row r="214" spans="1:5">
      <c r="A214" t="s">
        <v>3226</v>
      </c>
      <c r="B214">
        <v>25</v>
      </c>
      <c r="C214" t="s">
        <f>(A214&amp;" "&amp;B214)</f>
        <v>2261</v>
      </c>
      <c r="D214" t="inlineStr">
        <is>
          <t>Tabitha (Dorcas) of Joppa</t>
        </is>
      </c>
      <c r="E214" s="10" t="str">
        <f>"REM "&amp;C214&amp;" +2 "&amp;"MSG "&amp;D214&amp;" %b%"""</f>
        <v>REM Oct 25 +2 MSG Tabitha (Dorcas) of Joppa %b%"</v>
      </c>
    </row>
    <row r="215" spans="1:5">
      <c r="A215" t="s">
        <v>3226</v>
      </c>
      <c r="B215">
        <v>26</v>
      </c>
      <c r="C215" t="s">
        <f>(A215&amp;" "&amp;B215)</f>
        <v>1633</v>
      </c>
      <c r="D215" t="inlineStr">
        <is>
          <t>Alfred, King, 899</t>
        </is>
      </c>
      <c r="E215" s="10" t="str">
        <f>"REM "&amp;C215&amp;" +2 "&amp;"MSG "&amp;D215&amp;" %b%"""</f>
        <v>REM Oct 26 +2 MSG Alfred, King, 899 %b%"</v>
      </c>
    </row>
    <row r="216" spans="1:5">
      <c r="A216" t="s">
        <v>3226</v>
      </c>
      <c r="B216">
        <v>29</v>
      </c>
      <c r="C216" t="s">
        <f>(A216&amp;" "&amp;B216)</f>
        <v>962</v>
      </c>
      <c r="D216" t="inlineStr">
        <is>
          <t>James Hannington, Bishop, and his Companions, Martyrs, 1885</t>
        </is>
      </c>
      <c r="E216" s="10" t="str">
        <f>"REM "&amp;C216&amp;" +2 "&amp;"MSG "&amp;D216&amp;" %b%"""</f>
        <v>REM Oct 29 +2 MSG James Hannington, Bishop, and his Companions, Martyrs, 1885 %b%"</v>
      </c>
    </row>
    <row r="217" spans="1:5">
      <c r="A217" t="s">
        <v>3226</v>
      </c>
      <c r="B217">
        <v>30</v>
      </c>
      <c r="C217" t="s">
        <f>(A217&amp;" "&amp;B217)</f>
        <v>967</v>
      </c>
      <c r="D217" t="inlineStr">
        <is>
          <t>Maryam of Qidun, Monastic, fourth century</t>
        </is>
      </c>
      <c r="E217" s="10" t="str">
        <f>"REM "&amp;C217&amp;" +2 "&amp;"MSG "&amp;D217&amp;" %b%"""</f>
        <v>REM Oct 30 +2 MSG Maryam of Qidun, Monastic, fourth century %b%"</v>
      </c>
    </row>
    <row r="218" spans="1:5">
      <c r="C218" t="s">
        <f>(A218&amp;" "&amp;B218)</f>
        <v>3218</v>
      </c>
      <c r="E218" s="10" t="s">
        <f>"REM "&amp;C218&amp;" +2 "&amp;"MSG "&amp;D218&amp;" %b%"""</f>
        <v>3219</v>
      </c>
    </row>
    <row r="219" spans="1:5">
      <c r="C219" t="s">
        <f>(A219&amp;" "&amp;B219)</f>
        <v>3218</v>
      </c>
      <c r="E219" s="10" t="s">
        <f>"REM "&amp;C219&amp;" +2 "&amp;"MSG "&amp;D219&amp;" %b%"""</f>
        <v>3219</v>
      </c>
    </row>
    <row r="220" spans="1:5">
      <c r="A220" t="s">
        <v>3227</v>
      </c>
      <c r="B220">
        <v>2</v>
      </c>
      <c r="C220" t="s">
        <f>(A220&amp;" "&amp;B220)</f>
        <v>3228</v>
      </c>
      <c r="D220" t="inlineStr">
        <is>
          <t>Commemoration of All Souls / All Faithful Departed</t>
        </is>
      </c>
      <c r="E220" s="10" t="str">
        <f>"REM "&amp;C220&amp;" +2 "&amp;"MSG "&amp;D220&amp;" %b%"""</f>
        <v>REM Nov 2 +2 MSG Commemoration of All Souls / All Faithful Departed %b%"</v>
      </c>
    </row>
    <row r="221" spans="1:5">
      <c r="A221" t="s">
        <v>3227</v>
      </c>
      <c r="B221">
        <v>3</v>
      </c>
      <c r="C221" t="str">
        <f>(A221&amp;" "&amp;B221)</f>
        <v>Nov 3</v>
      </c>
      <c r="D221" t="inlineStr">
        <is>
          <t>Richard Hooker, Priest and Theologian, 1600</t>
        </is>
      </c>
      <c r="E221" s="10" t="str">
        <f>"REM "&amp;C221&amp;" +2 "&amp;"MSG "&amp;D221&amp;" %b%"""</f>
        <v>REM Nov 3 +2 MSG Richard Hooker, Priest and Theologian, 1600 %b%"</v>
      </c>
    </row>
    <row r="222" spans="1:5">
      <c r="A222" t="s">
        <v>3227</v>
      </c>
      <c r="B222">
        <v>4</v>
      </c>
      <c r="C222" t="str">
        <f>(A222&amp;" "&amp;B222)</f>
        <v>Nov 4</v>
      </c>
      <c r="D222" t="inlineStr">
        <is>
          <t>Adeline Blanchard Tyler and her Companions]</t>
        </is>
      </c>
      <c r="E222" s="10" t="str">
        <f>"REM "&amp;C222&amp;" +2 "&amp;"MSG "&amp;D222&amp;" %b%"""</f>
        <v>REM Nov 4 +2 MSG Adeline Blanchard Tyler and her Companions] %b%"</v>
      </c>
    </row>
    <row r="223" spans="1:5">
      <c r="A223" t="s">
        <v>3227</v>
      </c>
      <c r="B223">
        <v>6</v>
      </c>
      <c r="C223" t="str">
        <f>(A223&amp;" "&amp;B223)</f>
        <v>Nov 6</v>
      </c>
      <c r="D223" t="inlineStr">
        <is>
          <t>William Temple, Archbishop of Canterbury, 1944</t>
        </is>
      </c>
      <c r="E223" s="10" t="str">
        <f>"REM "&amp;C223&amp;" +2 "&amp;"MSG "&amp;D223&amp;" %b%"""</f>
        <v>REM Nov 6 +2 MSG William Temple, Archbishop of Canterbury, 1944 %b%"</v>
      </c>
    </row>
    <row r="224" spans="1:5">
      <c r="A224" t="s">
        <v>3227</v>
      </c>
      <c r="B224">
        <v>7</v>
      </c>
      <c r="C224" t="str">
        <f>(A224&amp;" "&amp;B224)</f>
        <v>Nov 7</v>
      </c>
      <c r="D224" t="inlineStr">
        <is>
          <t>Willibrord, Bishop and Missionary, 739</t>
        </is>
      </c>
      <c r="E224" s="10" t="str">
        <f>"REM "&amp;C224&amp;" +2 "&amp;"MSG "&amp;D224&amp;" %b%"""</f>
        <v>REM Nov 7 +2 MSG Willibrord, Bishop and Missionary, 739 %b%"</v>
      </c>
    </row>
    <row r="225" spans="1:5">
      <c r="A225" t="s">
        <v>3227</v>
      </c>
      <c r="B225">
        <v>8</v>
      </c>
      <c r="C225" t="str">
        <f>(A225&amp;" "&amp;B225)</f>
        <v>Nov 8</v>
      </c>
      <c r="D225" t="inlineStr">
        <is>
          <t>Ammonius, Hermit, c.403</t>
        </is>
      </c>
      <c r="E225" s="10" t="str">
        <f>"REM "&amp;C225&amp;" +2 "&amp;"MSG "&amp;D225&amp;" %b%"""</f>
        <v>REM Nov 8 +2 MSG Ammonius, Hermit, c.403 %b%"</v>
      </c>
    </row>
    <row r="226" spans="1:5">
      <c r="A226" t="s">
        <v>3227</v>
      </c>
      <c r="B226">
        <v>9</v>
      </c>
      <c r="C226" t="str">
        <f>(A226&amp;" "&amp;B226)</f>
        <v>Nov 9</v>
      </c>
      <c r="D226" t="inlineStr">
        <is>
          <t>Richard Rolle, Walter Hilton, and Margery Kempe, Mystics, 1349, 1396, and c.1440</t>
        </is>
      </c>
      <c r="E226" s="10" t="str">
        <f>"REM "&amp;C226&amp;" +2 "&amp;"MSG "&amp;D226&amp;" %b%"""</f>
        <v>REM Nov 9 +2 MSG Richard Rolle, Walter Hilton, and Margery Kempe, Mystics, 1349, 1396, and c.1440 %b%"</v>
      </c>
    </row>
    <row r="227" spans="1:5">
      <c r="A227" t="s">
        <v>3227</v>
      </c>
      <c r="B227">
        <v>10</v>
      </c>
      <c r="C227" t="s">
        <f>(A227&amp;" "&amp;B227)</f>
        <v>983</v>
      </c>
      <c r="D227" t="inlineStr">
        <is>
          <t>Leo of Rome, Bishop, 461</t>
        </is>
      </c>
      <c r="E227" s="10" t="str">
        <f>"REM "&amp;C227&amp;" +2 "&amp;"MSG "&amp;D227&amp;" %b%"""</f>
        <v>REM Nov 10 +2 MSG Leo of Rome, Bishop, 461 %b%"</v>
      </c>
    </row>
    <row r="228" spans="1:5">
      <c r="A228" t="s">
        <v>3227</v>
      </c>
      <c r="B228">
        <v>11</v>
      </c>
      <c r="C228" t="s">
        <f>(A228&amp;" "&amp;B228)</f>
        <v>986</v>
      </c>
      <c r="D228" t="inlineStr">
        <is>
          <t>Martin of Tours, Bishop, 397</t>
        </is>
      </c>
      <c r="E228" s="10" t="str">
        <f>"REM "&amp;C228&amp;" +2 "&amp;"MSG "&amp;D228&amp;" %b%"""</f>
        <v>REM Nov 11 +2 MSG Martin of Tours, Bishop, 397 %b%"</v>
      </c>
    </row>
    <row r="229" spans="1:5">
      <c r="A229" t="s">
        <v>3227</v>
      </c>
      <c r="B229">
        <v>12</v>
      </c>
      <c r="C229" t="s">
        <f>(A229&amp;" "&amp;B229)</f>
        <v>993</v>
      </c>
      <c r="D229" t="inlineStr">
        <is>
          <t>Charles Simeon, Priest, 1836</t>
        </is>
      </c>
      <c r="E229" s="10" t="str">
        <f>"REM "&amp;C229&amp;" +2 "&amp;"MSG "&amp;D229&amp;" %b%"""</f>
        <v>REM Nov 12 +2 MSG Charles Simeon, Priest, 1836 %b%"</v>
      </c>
    </row>
    <row r="230" spans="1:5">
      <c r="A230" t="s">
        <v>3227</v>
      </c>
      <c r="B230">
        <v>14</v>
      </c>
      <c r="C230" t="s">
        <f>(A230&amp;" "&amp;B230)</f>
        <v>1007</v>
      </c>
      <c r="D230" t="inlineStr">
        <is>
          <t>Consecration of Samuel Seabury, First American Bishop, 1784</t>
        </is>
      </c>
      <c r="E230" s="10" t="str">
        <f>"REM "&amp;C230&amp;" +2 "&amp;"MSG "&amp;D230&amp;" %b%"""</f>
        <v>REM Nov 14 +2 MSG Consecration of Samuel Seabury, First American Bishop, 1784 %b%"</v>
      </c>
    </row>
    <row r="231" spans="1:5">
      <c r="A231" t="s">
        <v>3227</v>
      </c>
      <c r="B231">
        <v>15</v>
      </c>
      <c r="C231" t="s">
        <f>(A231&amp;" "&amp;B231)</f>
        <v>1012</v>
      </c>
      <c r="D231" t="inlineStr">
        <is>
          <t>Herman of Alaska, Missionary,1837</t>
        </is>
      </c>
      <c r="E231" s="10" t="str">
        <f>"REM "&amp;C231&amp;" +2 "&amp;"MSG "&amp;D231&amp;" %b%"""</f>
        <v>REM Nov 15 +2 MSG Herman of Alaska, Missionary,1837 %b%"</v>
      </c>
    </row>
    <row r="232" spans="1:5">
      <c r="A232" t="s">
        <v>3227</v>
      </c>
      <c r="B232">
        <v>16</v>
      </c>
      <c r="C232" t="s">
        <f>(A232&amp;" "&amp;B232)</f>
        <v>1654</v>
      </c>
      <c r="D232" t="inlineStr">
        <is>
          <t>Margaret of Scotland, Queen, 1093</t>
        </is>
      </c>
      <c r="E232" s="10" t="str">
        <f>"REM "&amp;C232&amp;" +2 "&amp;"MSG "&amp;D232&amp;" %b%"""</f>
        <v>REM Nov 16 +2 MSG Margaret of Scotland, Queen, 1093 %b%"</v>
      </c>
    </row>
    <row r="233" spans="1:5">
      <c r="A233" t="s">
        <v>3227</v>
      </c>
      <c r="B233">
        <v>17</v>
      </c>
      <c r="C233" t="s">
        <f>(A233&amp;" "&amp;B233)</f>
        <v>1019</v>
      </c>
      <c r="D233" t="inlineStr">
        <is>
          <t>Hugh, of Lincoln, Bishop1200</t>
        </is>
      </c>
      <c r="E233" s="10" t="str">
        <f>"REM "&amp;C233&amp;" +2 "&amp;"MSG "&amp;D233&amp;" %b%"""</f>
        <v>REM Nov 17 +2 MSG Hugh, of Lincoln, Bishop1200 %b%"</v>
      </c>
    </row>
    <row r="234" spans="1:5">
      <c r="A234" t="s">
        <v>3227</v>
      </c>
      <c r="B234">
        <v>18</v>
      </c>
      <c r="C234" t="s">
        <f>(A234&amp;" "&amp;B234)</f>
        <v>1024</v>
      </c>
      <c r="D234" t="inlineStr">
        <is>
          <t>Hilda of Whitby, Abbess, 680</t>
        </is>
      </c>
      <c r="E234" s="10" t="str">
        <f>"REM "&amp;C234&amp;" +2 "&amp;"MSG "&amp;D234&amp;" %b%"""</f>
        <v>REM Nov 18 +2 MSG Hilda of Whitby, Abbess, 680 %b%"</v>
      </c>
    </row>
    <row r="235" spans="1:5">
      <c r="A235" t="s">
        <v>3227</v>
      </c>
      <c r="B235">
        <v>19</v>
      </c>
      <c r="C235" t="s">
        <f>(A235&amp;" "&amp;B235)</f>
        <v>1426</v>
      </c>
      <c r="D235" t="inlineStr">
        <is>
          <t>Elizabeth of Hungary, Princess, 1231</t>
        </is>
      </c>
      <c r="E235" s="10" t="str">
        <f>"REM "&amp;C235&amp;" +2 "&amp;"MSG "&amp;D235&amp;" %b%"""</f>
        <v>REM Nov 19 +2 MSG Elizabeth of Hungary, Princess, 1231 %b%"</v>
      </c>
    </row>
    <row r="236" spans="1:5">
      <c r="A236" t="s">
        <v>3227</v>
      </c>
      <c r="B236">
        <v>20</v>
      </c>
      <c r="C236" t="s">
        <f>(A236&amp;" "&amp;B236)</f>
        <v>1030</v>
      </c>
      <c r="D236" t="inlineStr">
        <is>
          <t>Edmund, King, 870</t>
        </is>
      </c>
      <c r="E236" s="10" t="str">
        <f>"REM "&amp;C236&amp;" +2 "&amp;"MSG "&amp;D236&amp;" %b%"""</f>
        <v>REM Nov 20 +2 MSG Edmund, King, 870 %b%"</v>
      </c>
    </row>
    <row r="237" spans="1:5">
      <c r="A237" t="s">
        <v>3227</v>
      </c>
      <c r="B237">
        <v>21</v>
      </c>
      <c r="C237" t="s">
        <f>(A237&amp;" "&amp;B237)</f>
        <v>2146</v>
      </c>
      <c r="D237" t="inlineStr">
        <is>
          <t>Mechthilde of Hackeborn and Gertrude the Great, Mystics and Thoelogians, 1298 and 1392</t>
        </is>
      </c>
      <c r="E237" s="10" t="str">
        <f>"REM "&amp;C237&amp;" +2 "&amp;"MSG "&amp;D237&amp;" %b%"""</f>
        <v>REM Nov 21 +2 MSG Mechthilde of Hackeborn and Gertrude the Great, Mystics and Thoelogians, 1298 and 1392 %b%"</v>
      </c>
    </row>
    <row r="238" spans="1:5">
      <c r="A238" t="s">
        <v>3227</v>
      </c>
      <c r="B238">
        <v>22</v>
      </c>
      <c r="C238" t="s">
        <f>(A238&amp;" "&amp;B238)</f>
        <v>1428</v>
      </c>
      <c r="D238" t="inlineStr">
        <is>
          <t>Clive Staples Lewis, Apologist and Spiritual Writer, 1963</t>
        </is>
      </c>
      <c r="E238" s="10" t="str">
        <f>"REM "&amp;C238&amp;" +2 "&amp;"MSG "&amp;D238&amp;" %b%"""</f>
        <v>REM Nov 22 +2 MSG Clive Staples Lewis, Apologist and Spiritual Writer, 1963 %b%"</v>
      </c>
    </row>
    <row r="239" spans="1:5">
      <c r="A239" t="s">
        <v>3227</v>
      </c>
      <c r="B239">
        <v>23</v>
      </c>
      <c r="C239" t="s">
        <f>(A239&amp;" "&amp;B239)</f>
        <v>1035</v>
      </c>
      <c r="D239" t="inlineStr">
        <is>
          <t>Clement of Rome, Bishop, c.100</t>
        </is>
      </c>
      <c r="E239" s="10" t="str">
        <f>"REM "&amp;C239&amp;" +2 "&amp;"MSG "&amp;D239&amp;" %b%"""</f>
        <v>REM Nov 23 +2 MSG Clement of Rome, Bishop, c.100 %b%"</v>
      </c>
    </row>
    <row r="240" spans="1:5">
      <c r="A240" t="s">
        <v>3227</v>
      </c>
      <c r="B240">
        <v>24</v>
      </c>
      <c r="C240" t="s">
        <f>(A240&amp;" "&amp;B240)</f>
        <v>1039</v>
      </c>
      <c r="D240" t="inlineStr">
        <is>
          <t>Catherine of Alexandria, Barbara of Nicomedia, and Margaret of Antioch, Martyrs, c.305</t>
        </is>
      </c>
      <c r="E240" s="10" t="str">
        <f>"REM "&amp;C240&amp;" +2 "&amp;"MSG "&amp;D240&amp;" %b%"""</f>
        <v>REM Nov 24 +2 MSG Catherine of Alexandria, Barbara of Nicomedia, and Margaret of Antioch, Martyrs, c.305 %b%"</v>
      </c>
    </row>
    <row r="241" spans="1:5">
      <c r="A241" t="s">
        <v>3227</v>
      </c>
      <c r="B241">
        <v>25</v>
      </c>
      <c r="C241" t="s">
        <f>(A241&amp;" "&amp;B241)</f>
        <v>1433</v>
      </c>
      <c r="D241" t="inlineStr">
        <is>
          <t>James Otis Sargent Huntington, Monastic and Priest, 1935</t>
        </is>
      </c>
      <c r="E241" s="10" t="str">
        <f>"REM "&amp;C241&amp;" +2 "&amp;"MSG "&amp;D241&amp;" %b%"""</f>
        <v>REM Nov 25 +2 MSG James Otis Sargent Huntington, Monastic and Priest, 1935 %b%"</v>
      </c>
    </row>
    <row r="242" spans="1:5">
      <c r="A242" t="s">
        <v>3227</v>
      </c>
      <c r="B242">
        <v>28</v>
      </c>
      <c r="C242" t="s">
        <f>(A242&amp;" "&amp;B242)</f>
        <v>1435</v>
      </c>
      <c r="D242" t="inlineStr">
        <is>
          <t>Kamehameha and Emma of Hawaii, King and Queen, 1863 and 1885</t>
        </is>
      </c>
      <c r="E242" s="10" t="str">
        <f>"REM "&amp;C242&amp;" +2 "&amp;"MSG "&amp;D242&amp;" %b%"""</f>
        <v>REM Nov 28 +2 MSG Kamehameha and Emma of Hawaii, King and Queen, 1863 and 1885 %b%"</v>
      </c>
    </row>
    <row r="243" spans="1:5">
      <c r="C243" t="s">
        <f>(A243&amp;" "&amp;B243)</f>
        <v>3218</v>
      </c>
      <c r="E243" s="10" t="s">
        <f>"REM "&amp;C243&amp;" +2 "&amp;"MSG "&amp;D243&amp;" %b%"""</f>
        <v>3219</v>
      </c>
    </row>
    <row r="244" spans="1:5">
      <c r="C244" t="s">
        <f>(A244&amp;" "&amp;B244)</f>
        <v>3218</v>
      </c>
      <c r="E244" s="10" t="s">
        <f>"REM "&amp;C244&amp;" +2 "&amp;"MSG "&amp;D244&amp;" %b%"""</f>
        <v>3219</v>
      </c>
    </row>
    <row r="245" spans="1:5">
      <c r="A245" t="s">
        <v>3229</v>
      </c>
      <c r="B245">
        <v>1</v>
      </c>
      <c r="C245" t="str">
        <f>(A245&amp;" "&amp;B245)</f>
        <v>Dec 1</v>
      </c>
      <c r="D245" t="inlineStr">
        <is>
          <t>Charles de Foucauld, Monastic and Martyr, 1916</t>
        </is>
      </c>
      <c r="E245" s="10" t="str">
        <f>"REM "&amp;C245&amp;" +2 "&amp;"MSG "&amp;D245&amp;" %b%"""</f>
        <v>REM Dec 1 +2 MSG Charles de Foucauld, Monastic and Martyr, 1916 %b%"</v>
      </c>
    </row>
    <row r="246" spans="1:5">
      <c r="A246" t="s">
        <v>3229</v>
      </c>
      <c r="B246">
        <v>2</v>
      </c>
      <c r="C246" t="str">
        <f>(A246&amp;" "&amp;B246)</f>
        <v>Dec 2</v>
      </c>
      <c r="D246" t="inlineStr">
        <is>
          <t>Channing Moore Williams, Bishop and Missionary, 1910</t>
        </is>
      </c>
      <c r="E246" s="10" t="str">
        <f>"REM "&amp;C246&amp;" +2 "&amp;"MSG "&amp;D246&amp;" %b%"""</f>
        <v>REM Dec 2 +2 MSG Channing Moore Williams, Bishop and Missionary, 1910 %b%"</v>
      </c>
    </row>
    <row r="247" spans="1:5">
      <c r="A247" t="s">
        <v>3229</v>
      </c>
      <c r="B247">
        <v>3</v>
      </c>
      <c r="C247" t="str">
        <f>(A247&amp;" "&amp;B247)</f>
        <v>Dec 3</v>
      </c>
      <c r="D247" t="inlineStr">
        <is>
          <t>Francis Xavier, Priest and Missionary, 1552</t>
        </is>
      </c>
      <c r="E247" s="10" t="str">
        <f>"REM "&amp;C247&amp;" +2 "&amp;"MSG "&amp;D247&amp;" %b%"""</f>
        <v>REM Dec 3 +2 MSG Francis Xavier, Priest and Missionary, 1552 %b%"</v>
      </c>
    </row>
    <row r="248" spans="1:5">
      <c r="A248" t="s">
        <v>3229</v>
      </c>
      <c r="B248">
        <v>4</v>
      </c>
      <c r="C248" t="str">
        <f>(A248&amp;" "&amp;B248)</f>
        <v>Dec 4</v>
      </c>
      <c r="D248" t="inlineStr">
        <is>
          <t>John of Damascus, Priest and Theologian, c.760</t>
        </is>
      </c>
      <c r="E248" s="10" t="str">
        <f>"REM "&amp;C248&amp;" +2 "&amp;"MSG "&amp;D248&amp;" %b%"""</f>
        <v>REM Dec 4 +2 MSG John of Damascus, Priest and Theologian, c.760 %b%"</v>
      </c>
    </row>
    <row r="249" spans="1:5">
      <c r="A249" t="s">
        <v>3229</v>
      </c>
      <c r="B249">
        <v>5</v>
      </c>
      <c r="C249" t="str">
        <f>(A249&amp;" "&amp;B249)</f>
        <v>Dec 5</v>
      </c>
      <c r="D249" t="inlineStr">
        <is>
          <t>Clement of Alexandria, Priest and Theologian, c.210</t>
        </is>
      </c>
      <c r="E249" s="10" t="str">
        <f>"REM "&amp;C249&amp;" +2 "&amp;"MSG "&amp;D249&amp;" %b%"""</f>
        <v>REM Dec 5 +2 MSG Clement of Alexandria, Priest and Theologian, c.210 %b%"</v>
      </c>
    </row>
    <row r="250" spans="1:5">
      <c r="A250" t="s">
        <v>3229</v>
      </c>
      <c r="B250">
        <v>6</v>
      </c>
      <c r="C250" t="s">
        <f>(A250&amp;" "&amp;B250)</f>
        <v>3230</v>
      </c>
      <c r="D250" t="inlineStr">
        <is>
          <t>Nicholas of Myra, Bishop, c.342</t>
        </is>
      </c>
      <c r="E250" s="10" t="str">
        <f>"REM "&amp;C250&amp;" +2 "&amp;"MSG "&amp;D250&amp;" %b%"""</f>
        <v>REM Dec 6 +2 MSG Nicholas of Myra, Bishop, c.342 %b%"</v>
      </c>
    </row>
    <row r="251" spans="1:5">
      <c r="A251" t="s">
        <v>3229</v>
      </c>
      <c r="B251">
        <v>7</v>
      </c>
      <c r="C251" t="str">
        <f>(A251&amp;" "&amp;B251)</f>
        <v>Dec 7</v>
      </c>
      <c r="D251" t="inlineStr">
        <is>
          <t>Ambrose of Milan, Bishop and Theologian, 397</t>
        </is>
      </c>
      <c r="E251" s="10" t="str">
        <f>"REM "&amp;C251&amp;" +2 "&amp;"MSG "&amp;D251&amp;" %b%"""</f>
        <v>REM Dec 7 +2 MSG Ambrose of Milan, Bishop and Theologian, 397 %b%"</v>
      </c>
    </row>
    <row r="252" spans="1:5">
      <c r="A252" t="s">
        <v>3229</v>
      </c>
      <c r="B252">
        <v>8</v>
      </c>
      <c r="C252" t="str">
        <f>(A252&amp;" "&amp;B252)</f>
        <v>Dec 8</v>
      </c>
      <c r="D252" t="inlineStr">
        <is>
          <t>Nicholas Ferrar, Deacon, 1637</t>
        </is>
      </c>
      <c r="E252" s="10" t="str">
        <f>"REM "&amp;C252&amp;" +2 "&amp;"MSG "&amp;D252&amp;" %b%"""</f>
        <v>REM Dec 8 +2 MSG Nicholas Ferrar, Deacon, 1637 %b%"</v>
      </c>
    </row>
    <row r="253" spans="1:5">
      <c r="A253" t="s">
        <v>3229</v>
      </c>
      <c r="B253">
        <v>12</v>
      </c>
      <c r="C253" t="s">
        <f>(A253&amp;" "&amp;B253)</f>
        <v>1067</v>
      </c>
      <c r="D253" t="inlineStr">
        <is>
          <t>Francis de Sales, Bishop, and Jane de Chantal, Vowed Religious, 1622 and 1641</t>
        </is>
      </c>
      <c r="E253" s="10" t="str">
        <f>"REM "&amp;C253&amp;" +2 "&amp;"MSG "&amp;D253&amp;" %b%"""</f>
        <v>REM Dec 12 +2 MSG Francis de Sales, Bishop, and Jane de Chantal, Vowed Religious, 1622 and 1641 %b%"</v>
      </c>
    </row>
    <row r="254" spans="1:5">
      <c r="A254" t="s">
        <v>3229</v>
      </c>
      <c r="B254">
        <v>13</v>
      </c>
      <c r="C254" t="s">
        <f>(A254&amp;" "&amp;B254)</f>
        <v>1071</v>
      </c>
      <c r="D254" t="inlineStr">
        <is>
          <t>Lucy of Syracuse, Martyr, 304</t>
        </is>
      </c>
      <c r="E254" s="10" t="str">
        <f>"REM "&amp;C254&amp;" +2 "&amp;"MSG "&amp;D254&amp;" %b%"""</f>
        <v>REM Dec 13 +2 MSG Lucy of Syracuse, Martyr, 304 %b%"</v>
      </c>
    </row>
    <row r="255" spans="1:5">
      <c r="A255" t="s">
        <v>3229</v>
      </c>
      <c r="B255">
        <v>14</v>
      </c>
      <c r="C255" t="s">
        <f>(A255&amp;" "&amp;B255)</f>
        <v>1079</v>
      </c>
      <c r="D255" t="inlineStr">
        <is>
          <t>John of the Cross, Mystic and Monastic Reformer, 1591</t>
        </is>
      </c>
      <c r="E255" s="10" t="str">
        <f>"REM "&amp;C255&amp;" +2 "&amp;"MSG "&amp;D255&amp;" %b%"""</f>
        <v>REM Dec 14 +2 MSG John of the Cross, Mystic and Monastic Reformer, 1591 %b%"</v>
      </c>
    </row>
    <row r="256" spans="1:5">
      <c r="A256" t="s">
        <v>3229</v>
      </c>
      <c r="B256">
        <v>15</v>
      </c>
      <c r="C256" t="s">
        <f>(A256&amp;" "&amp;B256)</f>
        <v>1088</v>
      </c>
      <c r="D256" t="inlineStr">
        <is>
          <t>Nino of Georgia, Missionary, c.332</t>
        </is>
      </c>
      <c r="E256" s="10" t="str">
        <f>"REM "&amp;C256&amp;" +2 "&amp;"MSG "&amp;D256&amp;" %b%"""</f>
        <v>REM Dec 15 +2 MSG Nino of Georgia, Missionary, c.332 %b%"</v>
      </c>
    </row>
    <row r="257" spans="1:5">
      <c r="A257" t="s">
        <v>3229</v>
      </c>
      <c r="B257">
        <v>17</v>
      </c>
      <c r="C257" t="s">
        <f>(A257&amp;" "&amp;B257)</f>
        <v>1097</v>
      </c>
      <c r="D257" t="inlineStr">
        <is>
          <t>Dorothy L Sayers, Apologist and Spiritual Writer, 1957</t>
        </is>
      </c>
      <c r="E257" s="10" t="str">
        <f>"REM "&amp;C257&amp;" +2 "&amp;"MSG "&amp;D257&amp;" %b%"""</f>
        <v>REM Dec 17 +2 MSG Dorothy L Sayers, Apologist and Spiritual Writer, 1957 %b%"</v>
      </c>
    </row>
    <row r="258" spans="1:5">
      <c r="A258" t="s">
        <v>3229</v>
      </c>
      <c r="B258">
        <v>20</v>
      </c>
      <c r="C258" t="s">
        <f>(A258&amp;" "&amp;B258)</f>
        <v>1120</v>
      </c>
      <c r="D258" t="inlineStr">
        <is>
          <t>Katharina von Bora, Church Reformer, 1552</t>
        </is>
      </c>
      <c r="E258" s="10" t="str">
        <f>"REM "&amp;C258&amp;" +2 "&amp;"MSG "&amp;D258&amp;" %b%"""</f>
        <v>REM Dec 20 +2 MSG Katharina von Bora, Church Reformer, 1552 %b%"</v>
      </c>
    </row>
    <row r="259" spans="1:5">
      <c r="A259" t="s">
        <v>3229</v>
      </c>
      <c r="B259">
        <v>29</v>
      </c>
      <c r="C259" t="s">
        <f>(A259&amp;" "&amp;B259)</f>
        <v>2482</v>
      </c>
      <c r="D259" t="inlineStr">
        <is>
          <t>Thomas Becket, Archbishop of Canterbury and Martyr, 1170</t>
        </is>
      </c>
      <c r="E259" s="10" t="str">
        <f>"REM "&amp;C259&amp;" +2 "&amp;"MSG "&amp;D259&amp;" %b%"""</f>
        <v>REM Dec 29 +2 MSG Thomas Becket, Archbishop of Canterbury and Martyr, 1170 %b%"</v>
      </c>
    </row>
    <row r="260" spans="1:5">
      <c r="A260" t="s">
        <v>3229</v>
      </c>
      <c r="B260">
        <v>31</v>
      </c>
      <c r="C260" t="s">
        <f>(A260&amp;" "&amp;B260)</f>
        <v>1134</v>
      </c>
      <c r="D260" t="inlineStr">
        <is>
          <t>Frances Joseph Gaudet, Educator and Social Reformer, 1934</t>
        </is>
      </c>
      <c r="E260" s="10" t="str">
        <f>"REM "&amp;C260&amp;" +2 "&amp;"MSG "&amp;D260&amp;" %b%"""</f>
        <v>REM Dec 31 +2 MSG Frances Joseph Gaudet, Educator and Social Reformer, 1934 %b%"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982"/>
  <sheetViews>
    <sheetView workbookViewId="0">
      <selection activeCell="A1" sqref="A1"/>
    </sheetView>
  </sheetViews>
  <sheetFormatPr defaultColWidth="12.63" defaultRowHeight="15.75"/>
  <cols>
    <col min="1" max="4" style="1" width="2.4055697115384618"/>
    <col min="5" max="5" style="1" width="40.25" customWidth="1"/>
    <col min="6" max="16384" style="1" width="2.4055697115384618"/>
  </cols>
  <sheetData>
    <row r="1" spans="1:6">
      <c r="A1" s="3"/>
      <c r="C1" t="s">
        <v>0</v>
      </c>
      <c r="D1" t="inlineStr">
        <is>
          <t>Date 2</t>
        </is>
      </c>
    </row>
    <row r="2" spans="1:6">
      <c r="A2" t="s">
        <v>1819</v>
      </c>
      <c r="B2">
        <v>1</v>
      </c>
      <c r="C2" t="str">
        <f>(A2&amp;" "&amp;B2)</f>
        <v>Jan 1</v>
      </c>
      <c r="E2" t="inlineStr">
        <is>
          <t>The Holy Name of Our Lord Jesus Christ</t>
        </is>
      </c>
      <c r="F2" s="10" t="str">
        <f>"REM "&amp;C2&amp;" +2 "&amp;"MSG "&amp;E2&amp;" %b%"""</f>
        <v>REM Jan 1 +2 MSG The Holy Name of Our Lord Jesus Christ %b%"</v>
      </c>
    </row>
    <row r="3" spans="1:6">
      <c r="A3" s="3" t="s">
        <f>A2</f>
        <v>1819</v>
      </c>
      <c r="B3">
        <v>6</v>
      </c>
      <c r="C3" t="str">
        <f>(A3&amp;" "&amp;B3)</f>
        <v>Jan 6</v>
      </c>
      <c r="E3" t="inlineStr">
        <is>
          <t>The Epiphany of Our Lord Jesus Christ</t>
        </is>
      </c>
      <c r="F3" s="10" t="str">
        <f>"REM "&amp;C3&amp;" +2 "&amp;"MSG "&amp;E3&amp;" %b%"""</f>
        <v>REM Jan 6 +2 MSG The Epiphany of Our Lord Jesus Christ %b%"</v>
      </c>
    </row>
    <row r="4" spans="1:6">
      <c r="A4" s="3" t="s">
        <f>A3</f>
        <v>1819</v>
      </c>
      <c r="B4">
        <v>18</v>
      </c>
      <c r="C4" t="s">
        <f>(A4&amp;" "&amp;B4)</f>
        <v>1687</v>
      </c>
      <c r="E4" t="inlineStr">
        <is>
          <t>The Confession of Saint Peter the Apostle</t>
        </is>
      </c>
      <c r="F4" s="10" t="str">
        <f>"REM "&amp;C4&amp;" +2 "&amp;"MSG "&amp;E4&amp;" %b%"""</f>
        <v>REM Jan 18 +2 MSG The Confession of Saint Peter the Apostle %b%"</v>
      </c>
    </row>
    <row r="5" spans="1:6" customHeight="1" ht="15.75">
      <c r="A5" s="3" t="s">
        <f>A4</f>
        <v>1819</v>
      </c>
      <c r="B5">
        <v>25</v>
      </c>
      <c r="C5" t="s">
        <f>(A5&amp;" "&amp;B5)</f>
        <v>1830</v>
      </c>
      <c r="E5" t="inlineStr">
        <is>
          <t>The Conversion of Saint Paul the Apostle</t>
        </is>
      </c>
      <c r="F5" s="10" t="str">
        <f>"REM "&amp;C5&amp;" +2 "&amp;"MSG "&amp;E5&amp;" %b%"""</f>
        <v>REM Jan 25 +2 MSG The Conversion of Saint Paul the Apostle %b%"</v>
      </c>
    </row>
    <row r="6" spans="1:6" customHeight="1" ht="17.25">
      <c r="A6" s="3" t="s">
        <f>A5</f>
        <v>1819</v>
      </c>
      <c r="B6">
        <v>26</v>
      </c>
      <c r="C6" t="s">
        <f>(A6&amp;" "&amp;B6)</f>
        <v>1488</v>
      </c>
      <c r="E6" t="inlineStr">
        <is>
          <t>Timothy and Titus, Companions of Saint Paul</t>
        </is>
      </c>
      <c r="F6" s="10" t="str">
        <f>"REM "&amp;C6&amp;" +2 "&amp;"MSG "&amp;E6&amp;" %b%"""</f>
        <v>REM Jan 26 +2 MSG Timothy and Titus, Companions of Saint Paul %b%"</v>
      </c>
    </row>
    <row r="7" spans="1:6">
      <c r="A7" t="s">
        <v>3215</v>
      </c>
      <c r="B7">
        <v>2</v>
      </c>
      <c r="C7" t="str">
        <f>(A7&amp;" "&amp;B7)</f>
        <v>Feb 2</v>
      </c>
      <c r="E7" t="inlineStr">
        <is>
          <t>The Presentation of Our Lord Jesus Christ in the Temple</t>
        </is>
      </c>
      <c r="F7" s="10" t="str">
        <f>"REM "&amp;C7&amp;" +2 "&amp;"MSG "&amp;E7&amp;" %b%"""</f>
        <v>REM Feb 2 +2 MSG The Presentation of Our Lord Jesus Christ in the Temple %b%"</v>
      </c>
    </row>
    <row r="8" spans="1:6">
      <c r="A8" s="3" t="s">
        <f>A7</f>
        <v>3215</v>
      </c>
      <c r="B8">
        <v>24</v>
      </c>
      <c r="C8" t="s">
        <f>(A8&amp;" "&amp;B8)</f>
        <v>2498</v>
      </c>
      <c r="E8" t="inlineStr">
        <is>
          <t>Saint Matthias the Apostle</t>
        </is>
      </c>
      <c r="F8" s="10" t="str">
        <f>"REM "&amp;C8&amp;" +2 "&amp;"MSG "&amp;E8&amp;" %b%"""</f>
        <v>REM Feb 24 +2 MSG Saint Matthias the Apostle %b%"</v>
      </c>
    </row>
    <row r="9" spans="1:6">
      <c r="A9" s="3" t="s">
        <f>A8</f>
        <v>3215</v>
      </c>
      <c r="B9">
        <v>17</v>
      </c>
      <c r="C9" t="s">
        <f>(A9&amp;" "&amp;B9)</f>
        <v>1521</v>
      </c>
      <c r="E9" t="inlineStr">
        <is>
          <t>Patrick, Bishop and Missionary of Ireland, 461</t>
        </is>
      </c>
      <c r="F9" s="10" t="str">
        <f>"REM "&amp;C9&amp;" +2 "&amp;"MSG "&amp;E9&amp;" %b%"""</f>
        <v>REM Feb 17 +2 MSG Patrick, Bishop and Missionary of Ireland, 461 %b%"</v>
      </c>
    </row>
    <row r="10" spans="1:6">
      <c r="A10" t="s">
        <v>3216</v>
      </c>
      <c r="B10">
        <v>19</v>
      </c>
      <c r="C10" t="s">
        <f>(A10&amp;" "&amp;B10)</f>
        <v>1254</v>
      </c>
      <c r="E10" t="inlineStr">
        <is>
          <t>Saint Joseph</t>
        </is>
      </c>
      <c r="F10" s="10" t="str">
        <f>"REM "&amp;C10&amp;" +2 "&amp;"MSG "&amp;E10&amp;" %b%"""</f>
        <v>REM Mar 19 +2 MSG Saint Joseph %b%"</v>
      </c>
    </row>
    <row r="11" spans="1:6">
      <c r="A11" t="s">
        <v>3216</v>
      </c>
      <c r="B11">
        <v>25</v>
      </c>
      <c r="C11" t="s">
        <f>(A11&amp;" "&amp;B11)</f>
        <v>1559</v>
      </c>
      <c r="E11" t="inlineStr">
        <is>
          <t>The Annunciation of Our Lord Jesus Christ to the Blessed Virgin Mary</t>
        </is>
      </c>
      <c r="F11" s="10" t="str">
        <f>"REM "&amp;C11&amp;" +2 "&amp;"MSG "&amp;E11&amp;" %b%"""</f>
        <v>REM Mar 25 +2 MSG The Annunciation of Our Lord Jesus Christ to the Blessed Virgin Mary %b%"</v>
      </c>
    </row>
    <row r="12" spans="1:6">
      <c r="A12" t="s">
        <v>3217</v>
      </c>
      <c r="B12">
        <v>25</v>
      </c>
      <c r="C12" t="s">
        <f>(A12&amp;" "&amp;B12)</f>
        <v>227</v>
      </c>
      <c r="E12" t="inlineStr">
        <is>
          <t>Saint Mark the Evangelist</t>
        </is>
      </c>
      <c r="F12" s="10" t="str">
        <f>"REM "&amp;C12&amp;" +2 "&amp;"MSG "&amp;E12&amp;" %b%"""</f>
        <v>REM Apr 25 +2 MSG Saint Mark the Evangelist %b%"</v>
      </c>
    </row>
    <row r="13" spans="1:6">
      <c r="A13" s="3" t="s">
        <v>375</v>
      </c>
      <c r="B13">
        <v>1</v>
      </c>
      <c r="C13" t="str">
        <f>(A13&amp;" "&amp;B13)</f>
        <v>May 1</v>
      </c>
      <c r="E13" t="inlineStr">
        <is>
          <t>Saint Philip and Saint James, Apostles</t>
        </is>
      </c>
      <c r="F13" s="10" t="str">
        <f>"REM "&amp;C13&amp;" +2 "&amp;"MSG "&amp;E13&amp;" %b%"""</f>
        <v>REM May 1 +2 MSG Saint Philip and Saint James, Apostles %b%"</v>
      </c>
    </row>
    <row r="14" spans="1:6">
      <c r="A14" s="3" t="s">
        <v>375</v>
      </c>
      <c r="B14">
        <v>31</v>
      </c>
      <c r="C14" t="s">
        <f>(A14&amp;" "&amp;B14)</f>
        <v>406</v>
      </c>
      <c r="E14" t="s">
        <v>405</v>
      </c>
      <c r="F14" s="10" t="str">
        <f>"REM "&amp;C14&amp;" +2 "&amp;"MSG "&amp;E14&amp;" %b%"""</f>
        <v>REM May 31 +2 MSG The Visitation of the Virgin Mary %b%"</v>
      </c>
    </row>
    <row r="15" spans="1:6">
      <c r="A15" t="s">
        <v>3220</v>
      </c>
      <c r="B15">
        <v>11</v>
      </c>
      <c r="C15" t="s">
        <f>(A15&amp;" "&amp;B15)</f>
        <v>487</v>
      </c>
      <c r="E15" t="inlineStr">
        <is>
          <t>Saint Barnabas the Apostle</t>
        </is>
      </c>
      <c r="F15" s="10" t="str">
        <f>"REM "&amp;C15&amp;" +2 "&amp;"MSG "&amp;E15&amp;" %b%"""</f>
        <v>REM Jun 11 +2 MSG Saint Barnabas the Apostle %b%"</v>
      </c>
    </row>
    <row r="16" spans="1:6">
      <c r="A16" t="s">
        <v>3220</v>
      </c>
      <c r="B16">
        <v>24</v>
      </c>
      <c r="C16" t="s">
        <f>(A16&amp;" "&amp;B16)</f>
        <v>583</v>
      </c>
      <c r="E16" t="inlineStr">
        <is>
          <t>The Nativity of Saint John the Baptist</t>
        </is>
      </c>
      <c r="F16" s="10" t="str">
        <f>"REM "&amp;C16&amp;" +2 "&amp;"MSG "&amp;E16&amp;" %b%"""</f>
        <v>REM Jun 24 +2 MSG The Nativity of Saint John the Baptist %b%"</v>
      </c>
    </row>
    <row r="17" spans="1:6">
      <c r="A17" t="s">
        <v>3220</v>
      </c>
      <c r="B17">
        <v>29</v>
      </c>
      <c r="C17" t="s">
        <f>(A17&amp;" "&amp;B17)</f>
        <v>603</v>
      </c>
      <c r="E17" t="inlineStr">
        <is>
          <t>Saint Peter and Saint Paul, Apostles</t>
        </is>
      </c>
      <c r="F17" s="10" t="str">
        <f>"REM "&amp;C17&amp;" +2 "&amp;"MSG "&amp;E17&amp;" %b%"""</f>
        <v>REM Jun 29 +2 MSG Saint Peter and Saint Paul, Apostles %b%"</v>
      </c>
    </row>
    <row r="18" spans="1:6">
      <c r="A18" s="3" t="s">
        <v>2412</v>
      </c>
      <c r="B18">
        <v>25</v>
      </c>
      <c r="C18" t="str">
        <f>(A18&amp;" "&amp;B18)</f>
        <v>July 25</v>
      </c>
      <c r="E18" t="inlineStr">
        <is>
          <t>Saint James the Apostle</t>
        </is>
      </c>
      <c r="F18" s="10" t="str">
        <f>"REM "&amp;C18&amp;" +2 "&amp;"MSG "&amp;E18&amp;" %b%"""</f>
        <v>REM July 25 +2 MSG Saint James the Apostle %b%"</v>
      </c>
    </row>
    <row r="19" spans="1:6">
      <c r="A19" s="3" t="s">
        <v>2412</v>
      </c>
      <c r="B19">
        <v>26</v>
      </c>
      <c r="C19" t="str">
        <f>(A19&amp;" "&amp;B19)</f>
        <v>July 26</v>
      </c>
      <c r="E19" t="s">
        <v>3222</v>
      </c>
      <c r="F19" s="10" t="str">
        <f>"REM "&amp;C19&amp;" +2 "&amp;"MSG "&amp;E19&amp;" %b%"""</f>
        <v>REM July 26 +2 MSG The Parents of the Blessed Virgin Mary %b%"</v>
      </c>
    </row>
    <row r="20" spans="1:6">
      <c r="A20" t="s">
        <v>3223</v>
      </c>
      <c r="B20">
        <v>6</v>
      </c>
      <c r="C20" t="str">
        <f>(A20&amp;" "&amp;B20)</f>
        <v>Aug 6</v>
      </c>
      <c r="E20" t="inlineStr">
        <is>
          <t>The Transfiguration of Our Lord Jesus Christ</t>
        </is>
      </c>
      <c r="F20" s="10" t="str">
        <f>"REM "&amp;C20&amp;" +2 "&amp;"MSG "&amp;E20&amp;" %b%"""</f>
        <v>REM Aug 6 +2 MSG The Transfiguration of Our Lord Jesus Christ %b%"</v>
      </c>
    </row>
    <row r="21" spans="1:6">
      <c r="A21" t="s">
        <v>3223</v>
      </c>
      <c r="B21">
        <v>15</v>
      </c>
      <c r="C21" t="s">
        <f>(A21&amp;" "&amp;B21)</f>
        <v>776</v>
      </c>
      <c r="E21" t="inlineStr">
        <is>
          <t>Saint Mary the Virgin, Mother of Our Lord Jesus Christ</t>
        </is>
      </c>
      <c r="F21" s="10" t="str">
        <f>"REM "&amp;C21&amp;" +2 "&amp;"MSG "&amp;E21&amp;" %b%"""</f>
        <v>REM Aug 15 +2 MSG Saint Mary the Virgin, Mother of Our Lord Jesus Christ %b%"</v>
      </c>
    </row>
    <row r="22" spans="1:6">
      <c r="A22" t="s">
        <v>3223</v>
      </c>
      <c r="B22">
        <v>24</v>
      </c>
      <c r="C22" t="s">
        <f>(A22&amp;" "&amp;B22)</f>
        <v>1372</v>
      </c>
      <c r="E22" t="inlineStr">
        <is>
          <t>Saint Bartholomew the Apostle</t>
        </is>
      </c>
      <c r="F22" s="10" t="str">
        <f>"REM "&amp;C22&amp;" +2 "&amp;"MSG "&amp;E22&amp;" %b%"""</f>
        <v>REM Aug 24 +2 MSG Saint Bartholomew the Apostle %b%"</v>
      </c>
    </row>
    <row r="23" spans="1:6">
      <c r="A23" t="s">
        <v>3224</v>
      </c>
      <c r="B23">
        <v>14</v>
      </c>
      <c r="C23" t="s">
        <f>(A23&amp;" "&amp;B23)</f>
        <v>1390</v>
      </c>
      <c r="E23" t="inlineStr">
        <is>
          <t>Holy Cross Day</t>
        </is>
      </c>
      <c r="F23" s="10" t="str">
        <f>"REM "&amp;C23&amp;" +2 "&amp;"MSG "&amp;E23&amp;" %b%"""</f>
        <v>REM Sep 14 +2 MSG Holy Cross Day %b%"</v>
      </c>
    </row>
    <row r="24" spans="1:6">
      <c r="A24" t="s">
        <v>3224</v>
      </c>
      <c r="B24">
        <v>21</v>
      </c>
      <c r="C24" t="s">
        <f>(A24&amp;" "&amp;B24)</f>
        <v>890</v>
      </c>
      <c r="E24" t="inlineStr">
        <is>
          <t>Saint Matthew, Apostle and Evangelist</t>
        </is>
      </c>
      <c r="F24" s="10" t="str">
        <f>"REM "&amp;C24&amp;" +2 "&amp;"MSG "&amp;E24&amp;" %b%"""</f>
        <v>REM Sep 21 +2 MSG Saint Matthew, Apostle and Evangelist %b%"</v>
      </c>
    </row>
    <row r="25" spans="1:6">
      <c r="A25" t="s">
        <v>3224</v>
      </c>
      <c r="B25">
        <v>29</v>
      </c>
      <c r="C25" t="s">
        <f>(A25&amp;" "&amp;B25)</f>
        <v>1771</v>
      </c>
      <c r="E25" t="inlineStr">
        <is>
          <t>Saint Michael and All Angels</t>
        </is>
      </c>
      <c r="F25" s="10" t="str">
        <f>"REM "&amp;C25&amp;" +2 "&amp;"MSG "&amp;E25&amp;" %b%"""</f>
        <v>REM Sep 29 +2 MSG Saint Michael and All Angels %b%"</v>
      </c>
    </row>
    <row r="26" spans="1:6">
      <c r="A26" t="s">
        <v>3226</v>
      </c>
      <c r="B26">
        <v>18</v>
      </c>
      <c r="C26" t="s">
        <f>(A26&amp;" "&amp;B26)</f>
        <v>1407</v>
      </c>
      <c r="E26" t="inlineStr">
        <is>
          <t>Saint Luke the Evangelist</t>
        </is>
      </c>
      <c r="F26" s="10" t="str">
        <f>"REM "&amp;C26&amp;" +2 "&amp;"MSG "&amp;E26&amp;" %b%"""</f>
        <v>REM Oct 18 +2 MSG Saint Luke the Evangelist %b%"</v>
      </c>
    </row>
    <row r="27" spans="1:6">
      <c r="A27" t="s">
        <v>3226</v>
      </c>
      <c r="B27">
        <v>23</v>
      </c>
      <c r="C27" t="s">
        <f>(A27&amp;" "&amp;B27)</f>
        <v>953</v>
      </c>
      <c r="E27" t="inlineStr">
        <is>
          <t>Saint James of Jerusalem, Brother of Our Lord Jesus Christ, and Martyr, c. 62</t>
        </is>
      </c>
      <c r="F27" s="10" t="str">
        <f>"REM "&amp;C27&amp;" +2 "&amp;"MSG "&amp;E27&amp;" %b%"""</f>
        <v>REM Oct 23 +2 MSG Saint James of Jerusalem, Brother of Our Lord Jesus Christ, and Martyr, c. 62 %b%"</v>
      </c>
    </row>
    <row r="28" spans="1:6">
      <c r="A28" t="s">
        <v>3226</v>
      </c>
      <c r="B28">
        <v>28</v>
      </c>
      <c r="C28" t="s">
        <f>(A28&amp;" "&amp;B28)</f>
        <v>959</v>
      </c>
      <c r="E28" t="inlineStr">
        <is>
          <t>Saint Simon and Saint Jude, Apostles</t>
        </is>
      </c>
      <c r="F28" s="10" t="str">
        <f>"REM "&amp;C28&amp;" +2 "&amp;"MSG "&amp;E28&amp;" %b%"""</f>
        <v>REM Oct 28 +2 MSG Saint Simon and Saint Jude, Apostles %b%"</v>
      </c>
    </row>
    <row r="29" spans="1:6">
      <c r="A29" t="s">
        <v>3227</v>
      </c>
      <c r="B29">
        <v>1</v>
      </c>
      <c r="C29" t="str">
        <f>(A29&amp;" "&amp;B29)</f>
        <v>Nov 1</v>
      </c>
      <c r="E29" t="inlineStr">
        <is>
          <t>All Saints</t>
        </is>
      </c>
      <c r="F29" s="10" t="str">
        <f>"REM "&amp;C29&amp;" +2 "&amp;"MSG "&amp;E29&amp;" %b%"""</f>
        <v>REM Nov 1 +2 MSG All Saints %b%"</v>
      </c>
    </row>
    <row r="30" spans="1:6">
      <c r="A30" s="3" t="s">
        <f>A29</f>
        <v>3227</v>
      </c>
      <c r="B30">
        <v>2</v>
      </c>
      <c r="C30" t="s">
        <f>(A30&amp;" "&amp;B30)</f>
        <v>3228</v>
      </c>
      <c r="E30" t="inlineStr">
        <is>
          <t>Commemoration of All Faithful Departed</t>
        </is>
      </c>
      <c r="F30" s="10" t="str">
        <f>"REM "&amp;C30&amp;" +2 "&amp;"MSG "&amp;E30&amp;" %b%"""</f>
        <v>REM Nov 2 +2 MSG Commemoration of All Faithful Departed %b%"</v>
      </c>
    </row>
    <row r="31" spans="1:6">
      <c r="A31" s="3" t="s">
        <f>A30</f>
        <v>3227</v>
      </c>
      <c r="B31">
        <v>30</v>
      </c>
      <c r="C31" t="s">
        <f>(A31&amp;" "&amp;B31)</f>
        <v>1051</v>
      </c>
      <c r="E31" t="inlineStr">
        <is>
          <t>Saint Andrew the Apostle</t>
        </is>
      </c>
      <c r="F31" s="10" t="str">
        <f>"REM "&amp;C31&amp;" +2 "&amp;"MSG "&amp;E31&amp;" %b%"""</f>
        <v>REM Nov 30 +2 MSG Saint Andrew the Apostle %b%"</v>
      </c>
    </row>
    <row r="32" spans="1:6">
      <c r="A32" t="s">
        <v>3229</v>
      </c>
      <c r="B32">
        <v>6</v>
      </c>
      <c r="C32" t="s">
        <f>(A32&amp;" "&amp;B32)</f>
        <v>3230</v>
      </c>
      <c r="E32" t="inlineStr">
        <is>
          <t>Nicholas, Bishop of Myra, c. 342</t>
        </is>
      </c>
      <c r="F32" s="10" t="str">
        <f>"REM "&amp;C32&amp;" +2 "&amp;"MSG "&amp;E32&amp;" %b%"""</f>
        <v>REM Dec 6 +2 MSG Nicholas, Bishop of Myra, c. 342 %b%"</v>
      </c>
    </row>
    <row r="33" spans="1:6">
      <c r="A33" s="3" t="s">
        <f>A32</f>
        <v>3229</v>
      </c>
      <c r="B33">
        <v>21</v>
      </c>
      <c r="C33" t="s">
        <f>(A33&amp;" "&amp;B33)</f>
        <v>1127</v>
      </c>
      <c r="E33" t="inlineStr">
        <is>
          <t>Saint Thomas the Apostle</t>
        </is>
      </c>
      <c r="F33" s="10" t="str">
        <f>"REM "&amp;C33&amp;" +2 "&amp;"MSG "&amp;E33&amp;" %b%"""</f>
        <v>REM Dec 21 +2 MSG Saint Thomas the Apostle %b%"</v>
      </c>
    </row>
    <row r="34" spans="1:6">
      <c r="A34" s="3" t="s">
        <f>A33</f>
        <v>3229</v>
      </c>
      <c r="B34">
        <v>25</v>
      </c>
      <c r="C34" t="s">
        <f>(A34&amp;" "&amp;B34)</f>
        <v>1468</v>
      </c>
      <c r="E34" t="inlineStr">
        <is>
          <t>The Nativity of Our Lord Jesus Christ</t>
        </is>
      </c>
      <c r="F34" s="10" t="str">
        <f>"REM "&amp;C34&amp;" +2 "&amp;"MSG "&amp;E34&amp;" %b%"""</f>
        <v>REM Dec 25 +2 MSG The Nativity of Our Lord Jesus Christ %b%"</v>
      </c>
    </row>
    <row r="35" spans="1:6">
      <c r="A35" s="3" t="s">
        <f>A34</f>
        <v>3229</v>
      </c>
      <c r="B35">
        <v>26</v>
      </c>
      <c r="C35" t="s">
        <f>(A35&amp;" "&amp;B35)</f>
        <v>2272</v>
      </c>
      <c r="E35" t="inlineStr">
        <is>
          <t>Saint Stephen, Deacon and Martyr</t>
        </is>
      </c>
      <c r="F35" s="10" t="str">
        <f>"REM "&amp;C35&amp;" +2 "&amp;"MSG "&amp;E35&amp;" %b%"""</f>
        <v>REM Dec 26 +2 MSG Saint Stephen, Deacon and Martyr %b%"</v>
      </c>
    </row>
    <row r="36" spans="1:6">
      <c r="A36" s="3" t="s">
        <f>A35</f>
        <v>3229</v>
      </c>
      <c r="B36">
        <v>27</v>
      </c>
      <c r="C36" t="s">
        <f>(A36&amp;" "&amp;B36)</f>
        <v>1131</v>
      </c>
      <c r="E36" t="inlineStr">
        <is>
          <t>Saint John, Apostle and Evangelist</t>
        </is>
      </c>
      <c r="F36" s="10" t="str">
        <f>"REM "&amp;C36&amp;" +2 "&amp;"MSG "&amp;E36&amp;" %b%"""</f>
        <v>REM Dec 27 +2 MSG Saint John, Apostle and Evangelist %b%"</v>
      </c>
    </row>
    <row r="37" spans="1:6">
      <c r="A37" s="3" t="s">
        <f>A36</f>
        <v>3229</v>
      </c>
      <c r="B37">
        <v>28</v>
      </c>
      <c r="C37" t="s">
        <f>(A37&amp;" "&amp;B37)</f>
        <v>1675</v>
      </c>
      <c r="E37" t="inlineStr">
        <is>
          <t>The Holy Innocents</t>
        </is>
      </c>
      <c r="F37" s="10" t="str">
        <f>"REM "&amp;C37&amp;" +2 "&amp;"MSG "&amp;E37&amp;" %b%"""</f>
        <v>REM Dec 28 +2 MSG The Holy Innocents %b%"</v>
      </c>
    </row>
    <row r="38" spans="1:6">
      <c r="A38" s="3"/>
    </row>
    <row r="39" spans="1:6">
      <c r="A39" s="3"/>
    </row>
    <row r="40" spans="1:6">
      <c r="A40" s="3"/>
    </row>
    <row r="41" spans="1:6">
      <c r="A41" s="3"/>
    </row>
    <row r="42" spans="1:6">
      <c r="A42" s="3"/>
    </row>
    <row r="43" spans="1:6">
      <c r="A43" s="3"/>
    </row>
    <row r="44" spans="1:6">
      <c r="A44" s="3"/>
    </row>
    <row r="45" spans="1:6">
      <c r="A45" s="3"/>
    </row>
    <row r="46" spans="1:6">
      <c r="A46" s="3"/>
    </row>
    <row r="47" spans="1:6">
      <c r="A47" s="3"/>
    </row>
    <row r="48" spans="1:6">
      <c r="A48" s="3"/>
    </row>
    <row r="49" spans="1:6">
      <c r="A49" s="3"/>
    </row>
    <row r="50" spans="1:6">
      <c r="A50" s="3"/>
    </row>
    <row r="51" spans="1:6">
      <c r="A51" s="3"/>
    </row>
    <row r="52" spans="1:6">
      <c r="A52" s="3"/>
    </row>
    <row r="53" spans="1:6">
      <c r="A53" s="3"/>
    </row>
    <row r="54" spans="1:6">
      <c r="A54" s="3"/>
    </row>
    <row r="55" spans="1:6">
      <c r="A55" s="3"/>
    </row>
    <row r="56" spans="1:6">
      <c r="A56" s="3"/>
    </row>
    <row r="57" spans="1:6">
      <c r="A57" s="3"/>
    </row>
    <row r="58" spans="1:6">
      <c r="A58" s="3"/>
    </row>
    <row r="59" spans="1:6">
      <c r="A59" s="3"/>
    </row>
    <row r="60" spans="1:6">
      <c r="A60" s="3"/>
    </row>
    <row r="61" spans="1:6">
      <c r="A61" s="3"/>
    </row>
    <row r="62" spans="1:6">
      <c r="A62" s="3"/>
    </row>
    <row r="63" spans="1:6">
      <c r="A63" s="3"/>
    </row>
    <row r="64" spans="1:6">
      <c r="A64" s="3"/>
    </row>
    <row r="65" spans="1:6">
      <c r="A65" s="3"/>
    </row>
    <row r="66" spans="1:6">
      <c r="A66" s="3"/>
    </row>
    <row r="67" spans="1:6">
      <c r="A67" s="3"/>
    </row>
    <row r="68" spans="1:6">
      <c r="A68" s="3"/>
    </row>
    <row r="69" spans="1:6">
      <c r="A69" s="3"/>
    </row>
    <row r="70" spans="1:6">
      <c r="A70" s="3"/>
    </row>
    <row r="71" spans="1:6">
      <c r="A71" s="3"/>
    </row>
    <row r="72" spans="1:6">
      <c r="A72" s="3"/>
    </row>
    <row r="73" spans="1:6">
      <c r="A73" s="3"/>
    </row>
    <row r="74" spans="1:6">
      <c r="A74" s="3"/>
    </row>
    <row r="75" spans="1:6">
      <c r="A75" s="3"/>
    </row>
    <row r="76" spans="1:6">
      <c r="A76" s="3"/>
    </row>
    <row r="77" spans="1:6">
      <c r="A77" s="3"/>
    </row>
    <row r="78" spans="1:6">
      <c r="A78" s="3"/>
    </row>
    <row r="79" spans="1:6">
      <c r="A79" s="3"/>
    </row>
    <row r="80" spans="1:6">
      <c r="A80" s="3"/>
    </row>
    <row r="81" spans="1:6">
      <c r="A81" s="3"/>
    </row>
    <row r="82" spans="1:6">
      <c r="A82" s="3"/>
    </row>
    <row r="83" spans="1:6">
      <c r="A83" s="3"/>
    </row>
    <row r="84" spans="1:6">
      <c r="A84" s="3"/>
    </row>
    <row r="85" spans="1:6">
      <c r="A85" s="3"/>
    </row>
    <row r="86" spans="1:6">
      <c r="A86" s="3"/>
    </row>
    <row r="87" spans="1:6">
      <c r="A87" s="3"/>
    </row>
    <row r="88" spans="1:6">
      <c r="A88" s="3"/>
    </row>
    <row r="89" spans="1:6">
      <c r="A89" s="3"/>
    </row>
    <row r="90" spans="1:6">
      <c r="A90" s="3"/>
    </row>
    <row r="91" spans="1:6">
      <c r="A91" s="3"/>
    </row>
    <row r="92" spans="1:6">
      <c r="A92" s="3"/>
    </row>
    <row r="93" spans="1:6">
      <c r="A93" s="3"/>
    </row>
    <row r="94" spans="1:6">
      <c r="A94" s="3"/>
    </row>
    <row r="95" spans="1:6">
      <c r="A95" s="3"/>
    </row>
    <row r="96" spans="1:6">
      <c r="A96" s="3"/>
    </row>
    <row r="97" spans="1:6">
      <c r="A97" s="3"/>
    </row>
    <row r="98" spans="1:6">
      <c r="A98" s="3"/>
    </row>
    <row r="99" spans="1:6">
      <c r="A99" s="3"/>
    </row>
    <row r="100" spans="1:6">
      <c r="A100" s="3"/>
    </row>
    <row r="101" spans="1:6">
      <c r="A101" s="3"/>
    </row>
    <row r="102" spans="1:6">
      <c r="A102" s="3"/>
    </row>
    <row r="103" spans="1:6">
      <c r="A103" s="3"/>
    </row>
    <row r="104" spans="1:6">
      <c r="A104" s="3"/>
    </row>
    <row r="105" spans="1:6">
      <c r="A105" s="3"/>
    </row>
    <row r="106" spans="1:6">
      <c r="A106" s="3"/>
    </row>
    <row r="107" spans="1:6">
      <c r="A107" s="3"/>
    </row>
    <row r="108" spans="1:6">
      <c r="A108" s="3"/>
    </row>
    <row r="109" spans="1:6">
      <c r="A109" s="3"/>
    </row>
    <row r="110" spans="1:6">
      <c r="A110" s="3"/>
    </row>
    <row r="111" spans="1:6">
      <c r="A111" s="3"/>
    </row>
    <row r="112" spans="1:6">
      <c r="A112" s="3"/>
    </row>
    <row r="113" spans="1:6">
      <c r="A113" s="3"/>
    </row>
    <row r="114" spans="1:6">
      <c r="A114" s="3"/>
    </row>
    <row r="115" spans="1:6">
      <c r="A115" s="3"/>
    </row>
    <row r="116" spans="1:6">
      <c r="A116" s="3"/>
    </row>
    <row r="117" spans="1:6">
      <c r="A117" s="3"/>
    </row>
    <row r="118" spans="1:6">
      <c r="A118" s="3"/>
    </row>
    <row r="119" spans="1:6">
      <c r="A119" s="3"/>
    </row>
    <row r="120" spans="1:6">
      <c r="A120" s="3"/>
    </row>
    <row r="121" spans="1:6">
      <c r="A121" s="3"/>
    </row>
    <row r="122" spans="1:6">
      <c r="A122" s="3"/>
    </row>
    <row r="123" spans="1:6">
      <c r="A123" s="3"/>
    </row>
    <row r="124" spans="1:6">
      <c r="A124" s="3"/>
    </row>
    <row r="125" spans="1:6">
      <c r="A125" s="3"/>
    </row>
    <row r="126" spans="1:6">
      <c r="A126" s="3"/>
    </row>
    <row r="127" spans="1:6">
      <c r="A127" s="3"/>
    </row>
    <row r="128" spans="1:6">
      <c r="A128" s="3"/>
    </row>
    <row r="129" spans="1:6">
      <c r="A129" s="3"/>
    </row>
    <row r="130" spans="1:6">
      <c r="A130" s="3"/>
    </row>
    <row r="131" spans="1:6">
      <c r="A131" s="3"/>
    </row>
    <row r="132" spans="1:6">
      <c r="A132" s="3"/>
    </row>
    <row r="133" spans="1:6">
      <c r="A133" s="3"/>
    </row>
    <row r="134" spans="1:6">
      <c r="A134" s="3"/>
    </row>
    <row r="135" spans="1:6">
      <c r="A135" s="3"/>
    </row>
    <row r="136" spans="1:6">
      <c r="A136" s="3"/>
    </row>
    <row r="137" spans="1:6">
      <c r="A137" s="3"/>
    </row>
    <row r="138" spans="1:6">
      <c r="A138" s="3"/>
    </row>
    <row r="139" spans="1:6">
      <c r="A139" s="3"/>
    </row>
    <row r="140" spans="1:6">
      <c r="A140" s="3"/>
    </row>
    <row r="141" spans="1:6">
      <c r="A141" s="3"/>
    </row>
    <row r="142" spans="1:6">
      <c r="A142" s="3"/>
    </row>
    <row r="143" spans="1:6">
      <c r="A143" s="3"/>
    </row>
    <row r="144" spans="1:6">
      <c r="A144" s="3"/>
    </row>
    <row r="145" spans="1:6">
      <c r="A145" s="3"/>
    </row>
    <row r="146" spans="1:6">
      <c r="A146" s="3"/>
    </row>
    <row r="147" spans="1:6">
      <c r="A147" s="3"/>
    </row>
    <row r="148" spans="1:6">
      <c r="A148" s="3"/>
    </row>
    <row r="149" spans="1:6">
      <c r="A149" s="3"/>
    </row>
    <row r="150" spans="1:6">
      <c r="A150" s="3"/>
    </row>
    <row r="151" spans="1:6">
      <c r="A151" s="3"/>
    </row>
    <row r="152" spans="1:6">
      <c r="A152" s="3"/>
    </row>
    <row r="153" spans="1:6">
      <c r="A153" s="3"/>
    </row>
    <row r="154" spans="1:6">
      <c r="A154" s="3"/>
    </row>
    <row r="155" spans="1:6">
      <c r="A155" s="3"/>
    </row>
    <row r="156" spans="1:6">
      <c r="A156" s="3"/>
    </row>
    <row r="157" spans="1:6">
      <c r="A157" s="3"/>
    </row>
    <row r="158" spans="1:6">
      <c r="A158" s="3"/>
    </row>
    <row r="159" spans="1:6">
      <c r="A159" s="3"/>
    </row>
    <row r="160" spans="1:6">
      <c r="A160" s="3"/>
    </row>
    <row r="161" spans="1:6">
      <c r="A161" s="3"/>
    </row>
    <row r="162" spans="1:6">
      <c r="A162" s="3"/>
    </row>
    <row r="163" spans="1:6">
      <c r="A163" s="3"/>
    </row>
    <row r="164" spans="1:6">
      <c r="A164" s="3"/>
    </row>
    <row r="165" spans="1:6">
      <c r="A165" s="3"/>
    </row>
    <row r="166" spans="1:6">
      <c r="A166" s="3"/>
    </row>
    <row r="167" spans="1:6">
      <c r="A167" s="3"/>
    </row>
    <row r="168" spans="1:6">
      <c r="A168" s="3"/>
    </row>
    <row r="169" spans="1:6">
      <c r="A169" s="3"/>
    </row>
    <row r="170" spans="1:6">
      <c r="A170" s="3"/>
    </row>
    <row r="171" spans="1:6">
      <c r="A171" s="3"/>
    </row>
    <row r="172" spans="1:6">
      <c r="A172" s="3"/>
    </row>
    <row r="173" spans="1:6">
      <c r="A173" s="3"/>
    </row>
    <row r="174" spans="1:6">
      <c r="A174" s="3"/>
    </row>
    <row r="175" spans="1:6">
      <c r="A175" s="3"/>
    </row>
    <row r="176" spans="1:6">
      <c r="A176" s="3"/>
    </row>
    <row r="177" spans="1:6">
      <c r="A177" s="3"/>
    </row>
    <row r="178" spans="1:6">
      <c r="A178" s="3"/>
    </row>
    <row r="179" spans="1:6">
      <c r="A179" s="3"/>
    </row>
    <row r="180" spans="1:6">
      <c r="A180" s="3"/>
    </row>
    <row r="181" spans="1:6">
      <c r="A181" s="3"/>
    </row>
    <row r="182" spans="1:6">
      <c r="A182" s="3"/>
    </row>
    <row r="183" spans="1:6">
      <c r="A183" s="3"/>
    </row>
    <row r="184" spans="1:6">
      <c r="A184" s="3"/>
    </row>
    <row r="185" spans="1:6">
      <c r="A185" s="3"/>
    </row>
    <row r="186" spans="1:6">
      <c r="A186" s="3"/>
    </row>
    <row r="187" spans="1:6">
      <c r="A187" s="3"/>
    </row>
    <row r="188" spans="1:6">
      <c r="A188" s="3"/>
    </row>
    <row r="189" spans="1:6">
      <c r="A189" s="3"/>
    </row>
    <row r="190" spans="1:6">
      <c r="A190" s="3"/>
    </row>
    <row r="191" spans="1:6">
      <c r="A191" s="3"/>
    </row>
    <row r="192" spans="1:6">
      <c r="A192" s="3"/>
    </row>
    <row r="193" spans="1:6">
      <c r="A193" s="3"/>
    </row>
    <row r="194" spans="1:6">
      <c r="A194" s="3"/>
    </row>
    <row r="195" spans="1:6">
      <c r="A195" s="3"/>
    </row>
    <row r="196" spans="1:6">
      <c r="A196" s="3"/>
    </row>
    <row r="197" spans="1:6">
      <c r="A197" s="3"/>
    </row>
    <row r="198" spans="1:6">
      <c r="A198" s="3"/>
    </row>
    <row r="199" spans="1:6">
      <c r="A199" s="3"/>
    </row>
    <row r="200" spans="1:6">
      <c r="A200" s="3"/>
    </row>
    <row r="201" spans="1:6">
      <c r="A201" s="3"/>
    </row>
    <row r="202" spans="1:6">
      <c r="A202" s="3"/>
    </row>
    <row r="203" spans="1:6">
      <c r="A203" s="3"/>
    </row>
    <row r="204" spans="1:6">
      <c r="A204" s="3"/>
    </row>
    <row r="205" spans="1:6">
      <c r="A205" s="3"/>
    </row>
    <row r="206" spans="1:6">
      <c r="A206" s="3"/>
    </row>
    <row r="207" spans="1:6">
      <c r="A207" s="3"/>
    </row>
    <row r="208" spans="1:6">
      <c r="A208" s="3"/>
    </row>
    <row r="209" spans="1:6">
      <c r="A209" s="3"/>
    </row>
    <row r="210" spans="1:6">
      <c r="A210" s="3"/>
    </row>
    <row r="211" spans="1:6">
      <c r="A211" s="3"/>
    </row>
    <row r="212" spans="1:6">
      <c r="A212" s="3"/>
    </row>
    <row r="213" spans="1:6">
      <c r="A213" s="3"/>
    </row>
    <row r="214" spans="1:6">
      <c r="A214" s="3"/>
    </row>
    <row r="215" spans="1:6">
      <c r="A215" s="3"/>
    </row>
    <row r="216" spans="1:6">
      <c r="A216" s="3"/>
    </row>
    <row r="217" spans="1:6">
      <c r="A217" s="3"/>
    </row>
    <row r="218" spans="1:6">
      <c r="A218" s="3"/>
    </row>
    <row r="219" spans="1:6">
      <c r="A219" s="3"/>
    </row>
    <row r="220" spans="1:6">
      <c r="A220" s="3"/>
    </row>
    <row r="221" spans="1:6">
      <c r="A221" s="3"/>
    </row>
    <row r="222" spans="1:6">
      <c r="A222" s="3"/>
    </row>
    <row r="223" spans="1:6">
      <c r="A223" s="3"/>
    </row>
    <row r="224" spans="1:6">
      <c r="A224" s="3"/>
    </row>
    <row r="225" spans="1:6">
      <c r="A225" s="3"/>
    </row>
    <row r="226" spans="1:6">
      <c r="A226" s="3"/>
    </row>
    <row r="227" spans="1:6">
      <c r="A227" s="3"/>
    </row>
    <row r="228" spans="1:6">
      <c r="A228" s="3"/>
    </row>
    <row r="229" spans="1:6">
      <c r="A229" s="3"/>
    </row>
    <row r="230" spans="1:6">
      <c r="A230" s="3"/>
    </row>
    <row r="231" spans="1:6">
      <c r="A231" s="3"/>
    </row>
    <row r="232" spans="1:6">
      <c r="A232" s="3"/>
    </row>
    <row r="233" spans="1:6">
      <c r="A233" s="3"/>
    </row>
    <row r="234" spans="1:6">
      <c r="A234" s="3"/>
    </row>
    <row r="235" spans="1:6">
      <c r="A235" s="3"/>
    </row>
    <row r="236" spans="1:6">
      <c r="A236" s="3"/>
    </row>
    <row r="237" spans="1:6">
      <c r="A237" s="3"/>
    </row>
    <row r="238" spans="1:6">
      <c r="A238" s="3"/>
    </row>
    <row r="239" spans="1:6">
      <c r="A239" s="3"/>
    </row>
    <row r="240" spans="1:6">
      <c r="A240" s="3"/>
    </row>
    <row r="241" spans="1:6">
      <c r="A241" s="3"/>
    </row>
    <row r="242" spans="1:6">
      <c r="A242" s="3"/>
    </row>
    <row r="243" spans="1:6">
      <c r="A243" s="3"/>
    </row>
    <row r="244" spans="1:6">
      <c r="A244" s="3"/>
    </row>
    <row r="245" spans="1:6">
      <c r="A245" s="3"/>
    </row>
    <row r="246" spans="1:6">
      <c r="A246" s="3"/>
    </row>
    <row r="247" spans="1:6">
      <c r="A247" s="3"/>
    </row>
    <row r="248" spans="1:6">
      <c r="A248" s="3"/>
    </row>
    <row r="249" spans="1:6">
      <c r="A249" s="3"/>
    </row>
    <row r="250" spans="1:6">
      <c r="A250" s="3"/>
    </row>
    <row r="251" spans="1:6">
      <c r="A251" s="3"/>
    </row>
    <row r="252" spans="1:6">
      <c r="A252" s="3"/>
    </row>
    <row r="253" spans="1:6">
      <c r="A253" s="3"/>
    </row>
    <row r="254" spans="1:6">
      <c r="A254" s="3"/>
    </row>
    <row r="255" spans="1:6">
      <c r="A255" s="3"/>
    </row>
    <row r="256" spans="1:6">
      <c r="A256" s="3"/>
    </row>
    <row r="257" spans="1:6">
      <c r="A257" s="3"/>
    </row>
    <row r="258" spans="1:6">
      <c r="A258" s="3"/>
    </row>
    <row r="259" spans="1:6">
      <c r="A259" s="3"/>
    </row>
    <row r="260" spans="1:6">
      <c r="A260" s="3"/>
    </row>
    <row r="261" spans="1:6">
      <c r="A261" s="3"/>
    </row>
    <row r="262" spans="1:6">
      <c r="A262" s="3"/>
    </row>
    <row r="263" spans="1:6">
      <c r="A263" s="3"/>
    </row>
    <row r="264" spans="1:6">
      <c r="A264" s="3"/>
    </row>
    <row r="265" spans="1:6">
      <c r="A265" s="3"/>
    </row>
    <row r="266" spans="1:6">
      <c r="A266" s="3"/>
    </row>
    <row r="267" spans="1:6">
      <c r="A267" s="3"/>
    </row>
    <row r="268" spans="1:6">
      <c r="A268" s="3"/>
    </row>
    <row r="269" spans="1:6">
      <c r="A269" s="3"/>
    </row>
    <row r="270" spans="1:6">
      <c r="A270" s="3"/>
    </row>
    <row r="271" spans="1:6">
      <c r="A271" s="3"/>
    </row>
    <row r="272" spans="1:6">
      <c r="A272" s="3"/>
    </row>
    <row r="273" spans="1:6">
      <c r="A273" s="3"/>
    </row>
    <row r="274" spans="1:6">
      <c r="A274" s="3"/>
    </row>
    <row r="275" spans="1:6">
      <c r="A275" s="3"/>
    </row>
    <row r="276" spans="1:6">
      <c r="A276" s="3"/>
    </row>
    <row r="277" spans="1:6">
      <c r="A277" s="3"/>
    </row>
    <row r="278" spans="1:6">
      <c r="A278" s="3"/>
    </row>
    <row r="279" spans="1:6">
      <c r="A279" s="3"/>
    </row>
    <row r="280" spans="1:6">
      <c r="A280" s="3"/>
    </row>
    <row r="281" spans="1:6">
      <c r="A281" s="3"/>
    </row>
    <row r="282" spans="1:6">
      <c r="A282" s="3"/>
    </row>
    <row r="283" spans="1:6">
      <c r="A283" s="3"/>
    </row>
    <row r="284" spans="1:6">
      <c r="A284" s="3"/>
    </row>
    <row r="285" spans="1:6">
      <c r="A285" s="3"/>
    </row>
    <row r="286" spans="1:6">
      <c r="A286" s="3"/>
    </row>
    <row r="287" spans="1:6">
      <c r="A287" s="3"/>
    </row>
    <row r="288" spans="1:6">
      <c r="A288" s="3"/>
    </row>
    <row r="289" spans="1:6">
      <c r="A289" s="3"/>
    </row>
    <row r="290" spans="1:6">
      <c r="A290" s="3"/>
    </row>
    <row r="291" spans="1:6">
      <c r="A291" s="3"/>
    </row>
    <row r="292" spans="1:6">
      <c r="A292" s="3"/>
    </row>
    <row r="293" spans="1:6">
      <c r="A293" s="3"/>
    </row>
    <row r="294" spans="1:6">
      <c r="A294" s="3"/>
    </row>
    <row r="295" spans="1:6">
      <c r="A295" s="3"/>
    </row>
    <row r="296" spans="1:6">
      <c r="A296" s="3"/>
    </row>
    <row r="297" spans="1:6">
      <c r="A297" s="3"/>
    </row>
    <row r="298" spans="1:6">
      <c r="A298" s="3"/>
    </row>
    <row r="299" spans="1:6">
      <c r="A299" s="3"/>
    </row>
    <row r="300" spans="1:6">
      <c r="A300" s="3"/>
    </row>
    <row r="301" spans="1:6">
      <c r="A301" s="3"/>
    </row>
    <row r="302" spans="1:6">
      <c r="A302" s="3"/>
    </row>
    <row r="303" spans="1:6">
      <c r="A303" s="3"/>
    </row>
    <row r="304" spans="1:6">
      <c r="A304" s="3"/>
    </row>
    <row r="305" spans="1:6">
      <c r="A305" s="3"/>
    </row>
    <row r="306" spans="1:6">
      <c r="A306" s="3"/>
    </row>
    <row r="307" spans="1:6">
      <c r="A307" s="3"/>
    </row>
    <row r="308" spans="1:6">
      <c r="A308" s="3"/>
    </row>
    <row r="309" spans="1:6">
      <c r="A309" s="3"/>
    </row>
    <row r="310" spans="1:6">
      <c r="A310" s="3"/>
    </row>
    <row r="311" spans="1:6">
      <c r="A311" s="3"/>
    </row>
    <row r="312" spans="1:6">
      <c r="A312" s="3"/>
    </row>
    <row r="313" spans="1:6">
      <c r="A313" s="3"/>
    </row>
    <row r="314" spans="1:6">
      <c r="A314" s="3"/>
    </row>
    <row r="315" spans="1:6">
      <c r="A315" s="3"/>
    </row>
    <row r="316" spans="1:6">
      <c r="A316" s="3"/>
    </row>
    <row r="317" spans="1:6">
      <c r="A317" s="3"/>
    </row>
    <row r="318" spans="1:6">
      <c r="A318" s="3"/>
    </row>
    <row r="319" spans="1:6">
      <c r="A319" s="3"/>
    </row>
    <row r="320" spans="1:6">
      <c r="A320" s="3"/>
    </row>
    <row r="321" spans="1:6">
      <c r="A321" s="3"/>
    </row>
    <row r="322" spans="1:6">
      <c r="A322" s="3"/>
    </row>
    <row r="323" spans="1:6">
      <c r="A323" s="3"/>
    </row>
    <row r="324" spans="1:6">
      <c r="A324" s="3"/>
    </row>
    <row r="325" spans="1:6">
      <c r="A325" s="3"/>
    </row>
    <row r="326" spans="1:6">
      <c r="A326" s="3"/>
    </row>
    <row r="327" spans="1:6">
      <c r="A327" s="3"/>
    </row>
    <row r="328" spans="1:6">
      <c r="A328" s="3"/>
    </row>
    <row r="329" spans="1:6">
      <c r="A329" s="3"/>
    </row>
    <row r="330" spans="1:6">
      <c r="A330" s="3"/>
    </row>
    <row r="331" spans="1:6">
      <c r="A331" s="3"/>
    </row>
    <row r="332" spans="1:6">
      <c r="A332" s="3"/>
    </row>
    <row r="333" spans="1:6">
      <c r="A333" s="3"/>
    </row>
    <row r="334" spans="1:6">
      <c r="A334" s="3"/>
    </row>
    <row r="335" spans="1:6">
      <c r="A335" s="3"/>
    </row>
    <row r="336" spans="1:6">
      <c r="A336" s="3"/>
    </row>
    <row r="337" spans="1:6">
      <c r="A337" s="3"/>
    </row>
    <row r="338" spans="1:6">
      <c r="A338" s="3"/>
    </row>
    <row r="339" spans="1:6">
      <c r="A339" s="3"/>
    </row>
    <row r="340" spans="1:6">
      <c r="A340" s="3"/>
    </row>
    <row r="341" spans="1:6">
      <c r="A341" s="3"/>
    </row>
    <row r="342" spans="1:6">
      <c r="A342" s="3"/>
    </row>
    <row r="343" spans="1:6">
      <c r="A343" s="3"/>
    </row>
    <row r="344" spans="1:6">
      <c r="A344" s="3"/>
    </row>
    <row r="345" spans="1:6">
      <c r="A345" s="3"/>
    </row>
    <row r="346" spans="1:6">
      <c r="A346" s="3"/>
    </row>
    <row r="347" spans="1:6">
      <c r="A347" s="3"/>
    </row>
    <row r="348" spans="1:6">
      <c r="A348" s="3"/>
    </row>
    <row r="349" spans="1:6">
      <c r="A349" s="3"/>
    </row>
    <row r="350" spans="1:6">
      <c r="A350" s="3"/>
    </row>
    <row r="351" spans="1:6">
      <c r="A351" s="3"/>
    </row>
    <row r="352" spans="1:6">
      <c r="A352" s="3"/>
    </row>
    <row r="353" spans="1:6">
      <c r="A353" s="3"/>
    </row>
    <row r="354" spans="1:6">
      <c r="A354" s="3"/>
    </row>
    <row r="355" spans="1:6">
      <c r="A355" s="3"/>
    </row>
    <row r="356" spans="1:6">
      <c r="A356" s="3"/>
    </row>
    <row r="357" spans="1:6">
      <c r="A357" s="3"/>
    </row>
    <row r="358" spans="1:6">
      <c r="A358" s="3"/>
    </row>
    <row r="359" spans="1:6">
      <c r="A359" s="3"/>
    </row>
    <row r="360" spans="1:6">
      <c r="A360" s="3"/>
    </row>
    <row r="361" spans="1:6">
      <c r="A361" s="3"/>
    </row>
    <row r="362" spans="1:6">
      <c r="A362" s="3"/>
    </row>
    <row r="363" spans="1:6">
      <c r="A363" s="3"/>
    </row>
    <row r="364" spans="1:6">
      <c r="A364" s="3"/>
    </row>
    <row r="365" spans="1:6">
      <c r="A365" s="3"/>
    </row>
    <row r="366" spans="1:6">
      <c r="A366" s="3"/>
    </row>
    <row r="367" spans="1:6">
      <c r="A367" s="3"/>
    </row>
    <row r="368" spans="1:6">
      <c r="A368" s="3"/>
    </row>
    <row r="369" spans="1:6">
      <c r="A369" s="3"/>
    </row>
    <row r="370" spans="1:6">
      <c r="A370" s="3"/>
    </row>
    <row r="371" spans="1:6">
      <c r="A371" s="3"/>
    </row>
    <row r="372" spans="1:6">
      <c r="A372" s="3"/>
    </row>
    <row r="373" spans="1:6">
      <c r="A373" s="3"/>
    </row>
    <row r="374" spans="1:6">
      <c r="A374" s="3"/>
    </row>
    <row r="375" spans="1:6">
      <c r="A375" s="3"/>
    </row>
    <row r="376" spans="1:6">
      <c r="A376" s="3"/>
    </row>
    <row r="377" spans="1:6">
      <c r="A377" s="3"/>
    </row>
    <row r="378" spans="1:6">
      <c r="A378" s="3"/>
    </row>
    <row r="379" spans="1:6">
      <c r="A379" s="3"/>
    </row>
    <row r="380" spans="1:6">
      <c r="A380" s="3"/>
    </row>
    <row r="381" spans="1:6">
      <c r="A381" s="3"/>
    </row>
    <row r="382" spans="1:6">
      <c r="A382" s="3"/>
    </row>
    <row r="383" spans="1:6">
      <c r="A383" s="3"/>
    </row>
    <row r="384" spans="1:6">
      <c r="A384" s="3"/>
    </row>
    <row r="385" spans="1:6">
      <c r="A385" s="3"/>
    </row>
    <row r="386" spans="1:6">
      <c r="A386" s="3"/>
    </row>
    <row r="387" spans="1:6">
      <c r="A387" s="3"/>
    </row>
    <row r="388" spans="1:6">
      <c r="A388" s="3"/>
    </row>
    <row r="389" spans="1:6">
      <c r="A389" s="3"/>
    </row>
    <row r="390" spans="1:6">
      <c r="A390" s="3"/>
    </row>
    <row r="391" spans="1:6">
      <c r="A391" s="3"/>
    </row>
    <row r="392" spans="1:6">
      <c r="A392" s="3"/>
    </row>
    <row r="393" spans="1:6">
      <c r="A393" s="3"/>
    </row>
    <row r="394" spans="1:6">
      <c r="A394" s="3"/>
    </row>
    <row r="395" spans="1:6">
      <c r="A395" s="3"/>
    </row>
    <row r="396" spans="1:6">
      <c r="A396" s="3"/>
    </row>
    <row r="397" spans="1:6">
      <c r="A397" s="3"/>
    </row>
    <row r="398" spans="1:6">
      <c r="A398" s="3"/>
    </row>
    <row r="399" spans="1:6">
      <c r="A399" s="3"/>
    </row>
    <row r="400" spans="1:6">
      <c r="A400" s="3"/>
    </row>
    <row r="401" spans="1:6">
      <c r="A401" s="3"/>
    </row>
    <row r="402" spans="1:6">
      <c r="A402" s="3"/>
    </row>
    <row r="403" spans="1:6">
      <c r="A403" s="3"/>
    </row>
    <row r="404" spans="1:6">
      <c r="A404" s="3"/>
    </row>
    <row r="405" spans="1:6">
      <c r="A405" s="3"/>
    </row>
    <row r="406" spans="1:6">
      <c r="A406" s="3"/>
    </row>
    <row r="407" spans="1:6">
      <c r="A407" s="3"/>
    </row>
    <row r="408" spans="1:6">
      <c r="A408" s="3"/>
    </row>
    <row r="409" spans="1:6">
      <c r="A409" s="3"/>
    </row>
    <row r="410" spans="1:6">
      <c r="A410" s="3"/>
    </row>
    <row r="411" spans="1:6">
      <c r="A411" s="3"/>
    </row>
    <row r="412" spans="1:6">
      <c r="A412" s="3"/>
    </row>
    <row r="413" spans="1:6">
      <c r="A413" s="3"/>
    </row>
    <row r="414" spans="1:6">
      <c r="A414" s="3"/>
    </row>
    <row r="415" spans="1:6">
      <c r="A415" s="3"/>
    </row>
    <row r="416" spans="1:6">
      <c r="A416" s="3"/>
    </row>
    <row r="417" spans="1:6">
      <c r="A417" s="3"/>
    </row>
    <row r="418" spans="1:6">
      <c r="A418" s="3"/>
    </row>
    <row r="419" spans="1:6">
      <c r="A419" s="3"/>
    </row>
    <row r="420" spans="1:6">
      <c r="A420" s="3"/>
    </row>
    <row r="421" spans="1:6">
      <c r="A421" s="3"/>
    </row>
    <row r="422" spans="1:6">
      <c r="A422" s="3"/>
    </row>
    <row r="423" spans="1:6">
      <c r="A423" s="3"/>
    </row>
    <row r="424" spans="1:6">
      <c r="A424" s="3"/>
    </row>
    <row r="425" spans="1:6">
      <c r="A425" s="3"/>
    </row>
    <row r="426" spans="1:6">
      <c r="A426" s="3"/>
    </row>
    <row r="427" spans="1:6">
      <c r="A427" s="3"/>
    </row>
    <row r="428" spans="1:6">
      <c r="A428" s="3"/>
    </row>
    <row r="429" spans="1:6">
      <c r="A429" s="3"/>
    </row>
    <row r="430" spans="1:6">
      <c r="A430" s="3"/>
    </row>
    <row r="431" spans="1:6">
      <c r="A431" s="3"/>
    </row>
    <row r="432" spans="1:6">
      <c r="A432" s="3"/>
    </row>
    <row r="433" spans="1:6">
      <c r="A433" s="3"/>
    </row>
    <row r="434" spans="1:6">
      <c r="A434" s="3"/>
    </row>
    <row r="435" spans="1:6">
      <c r="A435" s="3"/>
    </row>
    <row r="436" spans="1:6">
      <c r="A436" s="3"/>
    </row>
    <row r="437" spans="1:6">
      <c r="A437" s="3"/>
    </row>
    <row r="438" spans="1:6">
      <c r="A438" s="3"/>
    </row>
    <row r="439" spans="1:6">
      <c r="A439" s="3"/>
    </row>
    <row r="440" spans="1:6">
      <c r="A440" s="3"/>
    </row>
    <row r="441" spans="1:6">
      <c r="A441" s="3"/>
    </row>
    <row r="442" spans="1:6">
      <c r="A442" s="3"/>
    </row>
    <row r="443" spans="1:6">
      <c r="A443" s="3"/>
    </row>
    <row r="444" spans="1:6">
      <c r="A444" s="3"/>
    </row>
    <row r="445" spans="1:6">
      <c r="A445" s="3"/>
    </row>
    <row r="446" spans="1:6">
      <c r="A446" s="3"/>
    </row>
    <row r="447" spans="1:6">
      <c r="A447" s="3"/>
    </row>
    <row r="448" spans="1:6">
      <c r="A448" s="3"/>
    </row>
    <row r="449" spans="1:6">
      <c r="A449" s="3"/>
    </row>
    <row r="450" spans="1:6">
      <c r="A450" s="3"/>
    </row>
    <row r="451" spans="1:6">
      <c r="A451" s="3"/>
    </row>
    <row r="452" spans="1:6">
      <c r="A452" s="3"/>
    </row>
    <row r="453" spans="1:6">
      <c r="A453" s="3"/>
    </row>
    <row r="454" spans="1:6">
      <c r="A454" s="3"/>
    </row>
    <row r="455" spans="1:6">
      <c r="A455" s="3"/>
    </row>
    <row r="456" spans="1:6">
      <c r="A456" s="3"/>
    </row>
    <row r="457" spans="1:6">
      <c r="A457" s="3"/>
    </row>
    <row r="458" spans="1:6">
      <c r="A458" s="3"/>
    </row>
    <row r="459" spans="1:6">
      <c r="A459" s="3"/>
    </row>
    <row r="460" spans="1:6">
      <c r="A460" s="3"/>
    </row>
    <row r="461" spans="1:6">
      <c r="A461" s="3"/>
    </row>
    <row r="462" spans="1:6">
      <c r="A462" s="3"/>
    </row>
    <row r="463" spans="1:6">
      <c r="A463" s="3"/>
    </row>
    <row r="464" spans="1:6">
      <c r="A464" s="3"/>
    </row>
    <row r="465" spans="1:6">
      <c r="A465" s="3"/>
    </row>
    <row r="466" spans="1:6">
      <c r="A466" s="3"/>
    </row>
    <row r="467" spans="1:6">
      <c r="A467" s="3"/>
    </row>
    <row r="468" spans="1:6">
      <c r="A468" s="3"/>
    </row>
    <row r="469" spans="1:6">
      <c r="A469" s="3"/>
    </row>
    <row r="470" spans="1:6">
      <c r="A470" s="3"/>
    </row>
    <row r="471" spans="1:6">
      <c r="A471" s="3"/>
    </row>
    <row r="472" spans="1:6">
      <c r="A472" s="3"/>
    </row>
    <row r="473" spans="1:6">
      <c r="A473" s="3"/>
    </row>
    <row r="474" spans="1:6">
      <c r="A474" s="3"/>
    </row>
    <row r="475" spans="1:6">
      <c r="A475" s="3"/>
    </row>
    <row r="476" spans="1:6">
      <c r="A476" s="3"/>
    </row>
    <row r="477" spans="1:6">
      <c r="A477" s="3"/>
    </row>
    <row r="478" spans="1:6">
      <c r="A478" s="3"/>
    </row>
    <row r="479" spans="1:6">
      <c r="A479" s="3"/>
    </row>
    <row r="480" spans="1:6">
      <c r="A480" s="3"/>
    </row>
    <row r="481" spans="1:6">
      <c r="A481" s="3"/>
    </row>
    <row r="482" spans="1:6">
      <c r="A482" s="3"/>
    </row>
    <row r="483" spans="1:6">
      <c r="A483" s="3"/>
    </row>
    <row r="484" spans="1:6">
      <c r="A484" s="3"/>
    </row>
    <row r="485" spans="1:6">
      <c r="A485" s="3"/>
    </row>
    <row r="486" spans="1:6">
      <c r="A486" s="3"/>
    </row>
    <row r="487" spans="1:6">
      <c r="A487" s="3"/>
    </row>
    <row r="488" spans="1:6">
      <c r="A488" s="3"/>
    </row>
    <row r="489" spans="1:6">
      <c r="A489" s="3"/>
    </row>
    <row r="490" spans="1:6">
      <c r="A490" s="3"/>
    </row>
    <row r="491" spans="1:6">
      <c r="A491" s="3"/>
    </row>
    <row r="492" spans="1:6">
      <c r="A492" s="3"/>
    </row>
    <row r="493" spans="1:6">
      <c r="A493" s="3"/>
    </row>
    <row r="494" spans="1:6">
      <c r="A494" s="3"/>
    </row>
    <row r="495" spans="1:6">
      <c r="A495" s="3"/>
    </row>
    <row r="496" spans="1:6">
      <c r="A496" s="3"/>
    </row>
    <row r="497" spans="1:6">
      <c r="A497" s="3"/>
    </row>
    <row r="498" spans="1:6">
      <c r="A498" s="3"/>
    </row>
    <row r="499" spans="1:6">
      <c r="A499" s="3"/>
    </row>
    <row r="500" spans="1:6">
      <c r="A500" s="3"/>
    </row>
    <row r="501" spans="1:6">
      <c r="A501" s="3"/>
    </row>
    <row r="502" spans="1:6">
      <c r="A502" s="3"/>
    </row>
    <row r="503" spans="1:6">
      <c r="A503" s="3"/>
    </row>
    <row r="504" spans="1:6">
      <c r="A504" s="3"/>
    </row>
    <row r="505" spans="1:6">
      <c r="A505" s="3"/>
    </row>
    <row r="506" spans="1:6">
      <c r="A506" s="3"/>
    </row>
    <row r="507" spans="1:6">
      <c r="A507" s="3"/>
    </row>
    <row r="508" spans="1:6">
      <c r="A508" s="3"/>
    </row>
    <row r="509" spans="1:6">
      <c r="A509" s="3"/>
    </row>
    <row r="510" spans="1:6">
      <c r="A510" s="3"/>
    </row>
    <row r="511" spans="1:6">
      <c r="A511" s="3"/>
    </row>
    <row r="512" spans="1:6">
      <c r="A512" s="3"/>
    </row>
    <row r="513" spans="1:6">
      <c r="A513" s="3"/>
    </row>
    <row r="514" spans="1:6">
      <c r="A514" s="3"/>
    </row>
    <row r="515" spans="1:6">
      <c r="A515" s="3"/>
    </row>
    <row r="516" spans="1:6">
      <c r="A516" s="3"/>
    </row>
    <row r="517" spans="1:6">
      <c r="A517" s="3"/>
    </row>
    <row r="518" spans="1:6">
      <c r="A518" s="3"/>
    </row>
    <row r="519" spans="1:6">
      <c r="A519" s="3"/>
    </row>
    <row r="520" spans="1:6">
      <c r="A520" s="3"/>
    </row>
    <row r="521" spans="1:6">
      <c r="A521" s="3"/>
    </row>
    <row r="522" spans="1:6">
      <c r="A522" s="3"/>
    </row>
    <row r="523" spans="1:6">
      <c r="A523" s="3"/>
    </row>
    <row r="524" spans="1:6">
      <c r="A524" s="3"/>
    </row>
    <row r="525" spans="1:6">
      <c r="A525" s="3"/>
    </row>
    <row r="526" spans="1:6">
      <c r="A526" s="3"/>
    </row>
    <row r="527" spans="1:6">
      <c r="A527" s="3"/>
    </row>
    <row r="528" spans="1:6">
      <c r="A528" s="3"/>
    </row>
    <row r="529" spans="1:6">
      <c r="A529" s="3"/>
    </row>
    <row r="530" spans="1:6">
      <c r="A530" s="3"/>
    </row>
    <row r="531" spans="1:6">
      <c r="A531" s="3"/>
    </row>
    <row r="532" spans="1:6">
      <c r="A532" s="3"/>
    </row>
    <row r="533" spans="1:6">
      <c r="A533" s="3"/>
    </row>
    <row r="534" spans="1:6">
      <c r="A534" s="3"/>
    </row>
    <row r="535" spans="1:6">
      <c r="A535" s="3"/>
    </row>
    <row r="536" spans="1:6">
      <c r="A536" s="3"/>
    </row>
    <row r="537" spans="1:6">
      <c r="A537" s="3"/>
    </row>
    <row r="538" spans="1:6">
      <c r="A538" s="3"/>
    </row>
    <row r="539" spans="1:6">
      <c r="A539" s="3"/>
    </row>
    <row r="540" spans="1:6">
      <c r="A540" s="3"/>
    </row>
    <row r="541" spans="1:6">
      <c r="A541" s="3"/>
    </row>
    <row r="542" spans="1:6">
      <c r="A542" s="3"/>
    </row>
    <row r="543" spans="1:6">
      <c r="A543" s="3"/>
    </row>
    <row r="544" spans="1:6">
      <c r="A544" s="3"/>
    </row>
    <row r="545" spans="1:6">
      <c r="A545" s="3"/>
    </row>
    <row r="546" spans="1:6">
      <c r="A546" s="3"/>
    </row>
    <row r="547" spans="1:6">
      <c r="A547" s="3"/>
    </row>
    <row r="548" spans="1:6">
      <c r="A548" s="3"/>
    </row>
    <row r="549" spans="1:6">
      <c r="A549" s="3"/>
    </row>
    <row r="550" spans="1:6">
      <c r="A550" s="3"/>
    </row>
    <row r="551" spans="1:6">
      <c r="A551" s="3"/>
    </row>
    <row r="552" spans="1:6">
      <c r="A552" s="3"/>
    </row>
    <row r="553" spans="1:6">
      <c r="A553" s="3"/>
    </row>
    <row r="554" spans="1:6">
      <c r="A554" s="3"/>
    </row>
    <row r="555" spans="1:6">
      <c r="A555" s="3"/>
    </row>
    <row r="556" spans="1:6">
      <c r="A556" s="3"/>
    </row>
    <row r="557" spans="1:6">
      <c r="A557" s="3"/>
    </row>
    <row r="558" spans="1:6">
      <c r="A558" s="3"/>
    </row>
    <row r="559" spans="1:6">
      <c r="A559" s="3"/>
    </row>
    <row r="560" spans="1:6">
      <c r="A560" s="3"/>
    </row>
    <row r="561" spans="1:6">
      <c r="A561" s="3"/>
    </row>
    <row r="562" spans="1:6">
      <c r="A562" s="3"/>
    </row>
    <row r="563" spans="1:6">
      <c r="A563" s="3"/>
    </row>
    <row r="564" spans="1:6">
      <c r="A564" s="3"/>
    </row>
    <row r="565" spans="1:6">
      <c r="A565" s="3"/>
    </row>
    <row r="566" spans="1:6">
      <c r="A566" s="3"/>
    </row>
    <row r="567" spans="1:6">
      <c r="A567" s="3"/>
    </row>
    <row r="568" spans="1:6">
      <c r="A568" s="3"/>
    </row>
    <row r="569" spans="1:6">
      <c r="A569" s="3"/>
    </row>
    <row r="570" spans="1:6">
      <c r="A570" s="3"/>
    </row>
    <row r="571" spans="1:6">
      <c r="A571" s="3"/>
    </row>
    <row r="572" spans="1:6">
      <c r="A572" s="3"/>
    </row>
    <row r="573" spans="1:6">
      <c r="A573" s="3"/>
    </row>
    <row r="574" spans="1:6">
      <c r="A574" s="3"/>
    </row>
    <row r="575" spans="1:6">
      <c r="A575" s="3"/>
    </row>
    <row r="576" spans="1:6">
      <c r="A576" s="3"/>
    </row>
    <row r="577" spans="1:6">
      <c r="A577" s="3"/>
    </row>
    <row r="578" spans="1:6">
      <c r="A578" s="3"/>
    </row>
    <row r="579" spans="1:6">
      <c r="A579" s="3"/>
    </row>
    <row r="580" spans="1:6">
      <c r="A580" s="3"/>
    </row>
    <row r="581" spans="1:6">
      <c r="A581" s="3"/>
    </row>
    <row r="582" spans="1:6">
      <c r="A582" s="3"/>
    </row>
    <row r="583" spans="1:6">
      <c r="A583" s="3"/>
    </row>
    <row r="584" spans="1:6">
      <c r="A584" s="3"/>
    </row>
    <row r="585" spans="1:6">
      <c r="A585" s="3"/>
    </row>
    <row r="586" spans="1:6">
      <c r="A586" s="3"/>
    </row>
    <row r="587" spans="1:6">
      <c r="A587" s="3"/>
    </row>
    <row r="588" spans="1:6">
      <c r="A588" s="3"/>
    </row>
    <row r="589" spans="1:6">
      <c r="A589" s="3"/>
    </row>
    <row r="590" spans="1:6">
      <c r="A590" s="3"/>
    </row>
    <row r="591" spans="1:6">
      <c r="A591" s="3"/>
    </row>
    <row r="592" spans="1:6">
      <c r="A592" s="3"/>
    </row>
    <row r="593" spans="1:6">
      <c r="A593" s="3"/>
    </row>
    <row r="594" spans="1:6">
      <c r="A594" s="3"/>
    </row>
    <row r="595" spans="1:6">
      <c r="A595" s="3"/>
    </row>
    <row r="596" spans="1:6">
      <c r="A596" s="3"/>
    </row>
    <row r="597" spans="1:6">
      <c r="A597" s="3"/>
    </row>
    <row r="598" spans="1:6">
      <c r="A598" s="3"/>
    </row>
    <row r="599" spans="1:6">
      <c r="A599" s="3"/>
    </row>
    <row r="600" spans="1:6">
      <c r="A600" s="3"/>
    </row>
    <row r="601" spans="1:6">
      <c r="A601" s="3"/>
    </row>
    <row r="602" spans="1:6">
      <c r="A602" s="3"/>
    </row>
    <row r="603" spans="1:6">
      <c r="A603" s="3"/>
    </row>
    <row r="604" spans="1:6">
      <c r="A604" s="3"/>
    </row>
    <row r="605" spans="1:6">
      <c r="A605" s="3"/>
    </row>
    <row r="606" spans="1:6">
      <c r="A606" s="3"/>
    </row>
    <row r="607" spans="1:6">
      <c r="A607" s="3"/>
    </row>
    <row r="608" spans="1:6">
      <c r="A608" s="3"/>
    </row>
    <row r="609" spans="1:6">
      <c r="A609" s="3"/>
    </row>
    <row r="610" spans="1:6">
      <c r="A610" s="3"/>
    </row>
    <row r="611" spans="1:6">
      <c r="A611" s="3"/>
    </row>
    <row r="612" spans="1:6">
      <c r="A612" s="3"/>
    </row>
    <row r="613" spans="1:6">
      <c r="A613" s="3"/>
    </row>
    <row r="614" spans="1:6">
      <c r="A614" s="3"/>
    </row>
    <row r="615" spans="1:6">
      <c r="A615" s="3"/>
    </row>
    <row r="616" spans="1:6">
      <c r="A616" s="3"/>
    </row>
    <row r="617" spans="1:6">
      <c r="A617" s="3"/>
    </row>
    <row r="618" spans="1:6">
      <c r="A618" s="3"/>
    </row>
    <row r="619" spans="1:6">
      <c r="A619" s="3"/>
    </row>
    <row r="620" spans="1:6">
      <c r="A620" s="3"/>
    </row>
    <row r="621" spans="1:6">
      <c r="A621" s="3"/>
    </row>
    <row r="622" spans="1:6">
      <c r="A622" s="3"/>
    </row>
    <row r="623" spans="1:6">
      <c r="A623" s="3"/>
    </row>
    <row r="624" spans="1:6">
      <c r="A624" s="3"/>
    </row>
    <row r="625" spans="1:6">
      <c r="A625" s="3"/>
    </row>
    <row r="626" spans="1:6">
      <c r="A626" s="3"/>
    </row>
    <row r="627" spans="1:6">
      <c r="A627" s="3"/>
    </row>
    <row r="628" spans="1:6">
      <c r="A628" s="3"/>
    </row>
    <row r="629" spans="1:6">
      <c r="A629" s="3"/>
    </row>
    <row r="630" spans="1:6">
      <c r="A630" s="3"/>
    </row>
    <row r="631" spans="1:6">
      <c r="A631" s="3"/>
    </row>
    <row r="632" spans="1:6">
      <c r="A632" s="3"/>
    </row>
    <row r="633" spans="1:6">
      <c r="A633" s="3"/>
    </row>
    <row r="634" spans="1:6">
      <c r="A634" s="3"/>
    </row>
    <row r="635" spans="1:6">
      <c r="A635" s="3"/>
    </row>
    <row r="636" spans="1:6">
      <c r="A636" s="3"/>
    </row>
    <row r="637" spans="1:6">
      <c r="A637" s="3"/>
    </row>
    <row r="638" spans="1:6">
      <c r="A638" s="3"/>
    </row>
    <row r="639" spans="1:6">
      <c r="A639" s="3"/>
    </row>
    <row r="640" spans="1:6">
      <c r="A640" s="3"/>
    </row>
    <row r="641" spans="1:6">
      <c r="A641" s="3"/>
    </row>
    <row r="642" spans="1:6">
      <c r="A642" s="3"/>
    </row>
    <row r="643" spans="1:6">
      <c r="A643" s="3"/>
    </row>
    <row r="644" spans="1:6">
      <c r="A644" s="3"/>
    </row>
    <row r="645" spans="1:6">
      <c r="A645" s="3"/>
    </row>
    <row r="646" spans="1:6">
      <c r="A646" s="3"/>
    </row>
    <row r="647" spans="1:6">
      <c r="A647" s="3"/>
    </row>
    <row r="648" spans="1:6">
      <c r="A648" s="3"/>
    </row>
    <row r="649" spans="1:6">
      <c r="A649" s="3"/>
    </row>
    <row r="650" spans="1:6">
      <c r="A650" s="3"/>
    </row>
    <row r="651" spans="1:6">
      <c r="A651" s="3"/>
    </row>
    <row r="652" spans="1:6">
      <c r="A652" s="3"/>
    </row>
    <row r="653" spans="1:6">
      <c r="A653" s="3"/>
    </row>
    <row r="654" spans="1:6">
      <c r="A654" s="3"/>
    </row>
    <row r="655" spans="1:6">
      <c r="A655" s="3"/>
    </row>
    <row r="656" spans="1:6">
      <c r="A656" s="3"/>
    </row>
    <row r="657" spans="1:6">
      <c r="A657" s="3"/>
    </row>
    <row r="658" spans="1:6">
      <c r="A658" s="3"/>
    </row>
    <row r="659" spans="1:6">
      <c r="A659" s="3"/>
    </row>
    <row r="660" spans="1:6">
      <c r="A660" s="3"/>
    </row>
    <row r="661" spans="1:6">
      <c r="A661" s="3"/>
    </row>
    <row r="662" spans="1:6">
      <c r="A662" s="3"/>
    </row>
    <row r="663" spans="1:6">
      <c r="A663" s="3"/>
    </row>
    <row r="664" spans="1:6">
      <c r="A664" s="3"/>
    </row>
    <row r="665" spans="1:6">
      <c r="A665" s="3"/>
    </row>
    <row r="666" spans="1:6">
      <c r="A666" s="3"/>
    </row>
    <row r="667" spans="1:6">
      <c r="A667" s="3"/>
    </row>
    <row r="668" spans="1:6">
      <c r="A668" s="3"/>
    </row>
    <row r="669" spans="1:6">
      <c r="A669" s="3"/>
    </row>
    <row r="670" spans="1:6">
      <c r="A670" s="3"/>
    </row>
    <row r="671" spans="1:6">
      <c r="A671" s="3"/>
    </row>
    <row r="672" spans="1:6">
      <c r="A672" s="3"/>
    </row>
    <row r="673" spans="1:6">
      <c r="A673" s="3"/>
    </row>
    <row r="674" spans="1:6">
      <c r="A674" s="3"/>
    </row>
    <row r="675" spans="1:6">
      <c r="A675" s="3"/>
    </row>
    <row r="676" spans="1:6">
      <c r="A676" s="3"/>
    </row>
    <row r="677" spans="1:6">
      <c r="A677" s="3"/>
    </row>
    <row r="678" spans="1:6">
      <c r="A678" s="3"/>
    </row>
    <row r="679" spans="1:6">
      <c r="A679" s="3"/>
    </row>
    <row r="680" spans="1:6">
      <c r="A680" s="3"/>
    </row>
    <row r="681" spans="1:6">
      <c r="A681" s="3"/>
    </row>
    <row r="682" spans="1:6">
      <c r="A682" s="3"/>
    </row>
    <row r="683" spans="1:6">
      <c r="A683" s="3"/>
    </row>
    <row r="684" spans="1:6">
      <c r="A684" s="3"/>
    </row>
    <row r="685" spans="1:6">
      <c r="A685" s="3"/>
    </row>
    <row r="686" spans="1:6">
      <c r="A686" s="3"/>
    </row>
    <row r="687" spans="1:6">
      <c r="A687" s="3"/>
    </row>
    <row r="688" spans="1:6">
      <c r="A688" s="3"/>
    </row>
    <row r="689" spans="1:6">
      <c r="A689" s="3"/>
    </row>
    <row r="690" spans="1:6">
      <c r="A690" s="3"/>
    </row>
    <row r="691" spans="1:6">
      <c r="A691" s="3"/>
    </row>
    <row r="692" spans="1:6">
      <c r="A692" s="3"/>
    </row>
    <row r="693" spans="1:6">
      <c r="A693" s="3"/>
    </row>
    <row r="694" spans="1:6">
      <c r="A694" s="3"/>
    </row>
    <row r="695" spans="1:6">
      <c r="A695" s="3"/>
    </row>
    <row r="696" spans="1:6">
      <c r="A696" s="3"/>
    </row>
    <row r="697" spans="1:6">
      <c r="A697" s="3"/>
    </row>
    <row r="698" spans="1:6">
      <c r="A698" s="3"/>
    </row>
    <row r="699" spans="1:6">
      <c r="A699" s="3"/>
    </row>
    <row r="700" spans="1:6">
      <c r="A700" s="3"/>
    </row>
    <row r="701" spans="1:6">
      <c r="A701" s="3"/>
    </row>
    <row r="702" spans="1:6">
      <c r="A702" s="3"/>
    </row>
    <row r="703" spans="1:6">
      <c r="A703" s="3"/>
    </row>
    <row r="704" spans="1:6">
      <c r="A704" s="3"/>
    </row>
    <row r="705" spans="1:6">
      <c r="A705" s="3"/>
    </row>
    <row r="706" spans="1:6">
      <c r="A706" s="3"/>
    </row>
    <row r="707" spans="1:6">
      <c r="A707" s="3"/>
    </row>
    <row r="708" spans="1:6">
      <c r="A708" s="3"/>
    </row>
    <row r="709" spans="1:6">
      <c r="A709" s="3"/>
    </row>
    <row r="710" spans="1:6">
      <c r="A710" s="3"/>
    </row>
    <row r="711" spans="1:6">
      <c r="A711" s="3"/>
    </row>
    <row r="712" spans="1:6">
      <c r="A712" s="3"/>
    </row>
    <row r="713" spans="1:6">
      <c r="A713" s="3"/>
    </row>
    <row r="714" spans="1:6">
      <c r="A714" s="3"/>
    </row>
    <row r="715" spans="1:6">
      <c r="A715" s="3"/>
    </row>
    <row r="716" spans="1:6">
      <c r="A716" s="3"/>
    </row>
    <row r="717" spans="1:6">
      <c r="A717" s="3"/>
    </row>
    <row r="718" spans="1:6">
      <c r="A718" s="3"/>
    </row>
    <row r="719" spans="1:6">
      <c r="A719" s="3"/>
    </row>
    <row r="720" spans="1:6">
      <c r="A720" s="3"/>
    </row>
    <row r="721" spans="1:6">
      <c r="A721" s="3"/>
    </row>
    <row r="722" spans="1:6">
      <c r="A722" s="3"/>
    </row>
    <row r="723" spans="1:6">
      <c r="A723" s="3"/>
    </row>
    <row r="724" spans="1:6">
      <c r="A724" s="3"/>
    </row>
    <row r="725" spans="1:6">
      <c r="A725" s="3"/>
    </row>
    <row r="726" spans="1:6">
      <c r="A726" s="3"/>
    </row>
    <row r="727" spans="1:6">
      <c r="A727" s="3"/>
    </row>
    <row r="728" spans="1:6">
      <c r="A728" s="3"/>
    </row>
    <row r="729" spans="1:6">
      <c r="A729" s="3"/>
    </row>
    <row r="730" spans="1:6">
      <c r="A730" s="3"/>
    </row>
    <row r="731" spans="1:6">
      <c r="A731" s="3"/>
    </row>
    <row r="732" spans="1:6">
      <c r="A732" s="3"/>
    </row>
    <row r="733" spans="1:6">
      <c r="A733" s="3"/>
    </row>
    <row r="734" spans="1:6">
      <c r="A734" s="3"/>
    </row>
    <row r="735" spans="1:6">
      <c r="A735" s="3"/>
    </row>
    <row r="736" spans="1:6">
      <c r="A736" s="3"/>
    </row>
    <row r="737" spans="1:6">
      <c r="A737" s="3"/>
    </row>
    <row r="738" spans="1:6">
      <c r="A738" s="3"/>
    </row>
    <row r="739" spans="1:6">
      <c r="A739" s="3"/>
    </row>
    <row r="740" spans="1:6">
      <c r="A740" s="3"/>
    </row>
    <row r="741" spans="1:6">
      <c r="A741" s="3"/>
    </row>
    <row r="742" spans="1:6">
      <c r="A742" s="3"/>
    </row>
    <row r="743" spans="1:6">
      <c r="A743" s="3"/>
    </row>
    <row r="744" spans="1:6">
      <c r="A744" s="3"/>
    </row>
    <row r="745" spans="1:6">
      <c r="A745" s="3"/>
    </row>
    <row r="746" spans="1:6">
      <c r="A746" s="3"/>
    </row>
    <row r="747" spans="1:6">
      <c r="A747" s="3"/>
    </row>
    <row r="748" spans="1:6">
      <c r="A748" s="3"/>
    </row>
    <row r="749" spans="1:6">
      <c r="A749" s="3"/>
    </row>
    <row r="750" spans="1:6">
      <c r="A750" s="3"/>
    </row>
    <row r="751" spans="1:6">
      <c r="A751" s="3"/>
    </row>
    <row r="752" spans="1:6">
      <c r="A752" s="3"/>
    </row>
    <row r="753" spans="1:6">
      <c r="A753" s="3"/>
    </row>
    <row r="754" spans="1:6">
      <c r="A754" s="3"/>
    </row>
    <row r="755" spans="1:6">
      <c r="A755" s="3"/>
    </row>
    <row r="756" spans="1:6">
      <c r="A756" s="3"/>
    </row>
    <row r="757" spans="1:6">
      <c r="A757" s="3"/>
    </row>
    <row r="758" spans="1:6">
      <c r="A758" s="3"/>
    </row>
    <row r="759" spans="1:6">
      <c r="A759" s="3"/>
    </row>
    <row r="760" spans="1:6">
      <c r="A760" s="3"/>
    </row>
    <row r="761" spans="1:6">
      <c r="A761" s="3"/>
    </row>
    <row r="762" spans="1:6">
      <c r="A762" s="3"/>
    </row>
    <row r="763" spans="1:6">
      <c r="A763" s="3"/>
    </row>
    <row r="764" spans="1:6">
      <c r="A764" s="3"/>
    </row>
    <row r="765" spans="1:6">
      <c r="A765" s="3"/>
    </row>
    <row r="766" spans="1:6">
      <c r="A766" s="3"/>
    </row>
    <row r="767" spans="1:6">
      <c r="A767" s="3"/>
    </row>
    <row r="768" spans="1:6">
      <c r="A768" s="3"/>
    </row>
    <row r="769" spans="1:6">
      <c r="A769" s="3"/>
    </row>
    <row r="770" spans="1:6">
      <c r="A770" s="3"/>
    </row>
    <row r="771" spans="1:6">
      <c r="A771" s="3"/>
    </row>
    <row r="772" spans="1:6">
      <c r="A772" s="3"/>
    </row>
    <row r="773" spans="1:6">
      <c r="A773" s="3"/>
    </row>
    <row r="774" spans="1:6">
      <c r="A774" s="3"/>
    </row>
    <row r="775" spans="1:6">
      <c r="A775" s="3"/>
    </row>
    <row r="776" spans="1:6">
      <c r="A776" s="3"/>
    </row>
    <row r="777" spans="1:6">
      <c r="A777" s="3"/>
    </row>
    <row r="778" spans="1:6">
      <c r="A778" s="3"/>
    </row>
    <row r="779" spans="1:6">
      <c r="A779" s="3"/>
    </row>
    <row r="780" spans="1:6">
      <c r="A780" s="3"/>
    </row>
    <row r="781" spans="1:6">
      <c r="A781" s="3"/>
    </row>
    <row r="782" spans="1:6">
      <c r="A782" s="3"/>
    </row>
    <row r="783" spans="1:6">
      <c r="A783" s="3"/>
    </row>
    <row r="784" spans="1:6">
      <c r="A784" s="3"/>
    </row>
    <row r="785" spans="1:6">
      <c r="A785" s="3"/>
    </row>
    <row r="786" spans="1:6">
      <c r="A786" s="3"/>
    </row>
    <row r="787" spans="1:6">
      <c r="A787" s="3"/>
    </row>
    <row r="788" spans="1:6">
      <c r="A788" s="3"/>
    </row>
    <row r="789" spans="1:6">
      <c r="A789" s="3"/>
    </row>
    <row r="790" spans="1:6">
      <c r="A790" s="3"/>
    </row>
    <row r="791" spans="1:6">
      <c r="A791" s="3"/>
    </row>
    <row r="792" spans="1:6">
      <c r="A792" s="3"/>
    </row>
    <row r="793" spans="1:6">
      <c r="A793" s="3"/>
    </row>
    <row r="794" spans="1:6">
      <c r="A794" s="3"/>
    </row>
    <row r="795" spans="1:6">
      <c r="A795" s="3"/>
    </row>
    <row r="796" spans="1:6">
      <c r="A796" s="3"/>
    </row>
    <row r="797" spans="1:6">
      <c r="A797" s="3"/>
    </row>
    <row r="798" spans="1:6">
      <c r="A798" s="3"/>
    </row>
    <row r="799" spans="1:6">
      <c r="A799" s="3"/>
    </row>
    <row r="800" spans="1:6">
      <c r="A800" s="3"/>
    </row>
    <row r="801" spans="1:6">
      <c r="A801" s="3"/>
    </row>
    <row r="802" spans="1:6">
      <c r="A802" s="3"/>
    </row>
    <row r="803" spans="1:6">
      <c r="A803" s="3"/>
    </row>
    <row r="804" spans="1:6">
      <c r="A804" s="3"/>
    </row>
    <row r="805" spans="1:6">
      <c r="A805" s="3"/>
    </row>
    <row r="806" spans="1:6">
      <c r="A806" s="3"/>
    </row>
    <row r="807" spans="1:6">
      <c r="A807" s="3"/>
    </row>
    <row r="808" spans="1:6">
      <c r="A808" s="3"/>
    </row>
    <row r="809" spans="1:6">
      <c r="A809" s="3"/>
    </row>
    <row r="810" spans="1:6">
      <c r="A810" s="3"/>
    </row>
    <row r="811" spans="1:6">
      <c r="A811" s="3"/>
    </row>
    <row r="812" spans="1:6">
      <c r="A812" s="3"/>
    </row>
    <row r="813" spans="1:6">
      <c r="A813" s="3"/>
    </row>
    <row r="814" spans="1:6">
      <c r="A814" s="3"/>
    </row>
    <row r="815" spans="1:6">
      <c r="A815" s="3"/>
    </row>
    <row r="816" spans="1:6">
      <c r="A816" s="3"/>
    </row>
    <row r="817" spans="1:6">
      <c r="A817" s="3"/>
    </row>
    <row r="818" spans="1:6">
      <c r="A818" s="3"/>
    </row>
    <row r="819" spans="1:6">
      <c r="A819" s="3"/>
    </row>
    <row r="820" spans="1:6">
      <c r="A820" s="3"/>
    </row>
    <row r="821" spans="1:6">
      <c r="A821" s="3"/>
    </row>
    <row r="822" spans="1:6">
      <c r="A822" s="3"/>
    </row>
    <row r="823" spans="1:6">
      <c r="A823" s="3"/>
    </row>
    <row r="824" spans="1:6">
      <c r="A824" s="3"/>
    </row>
    <row r="825" spans="1:6">
      <c r="A825" s="3"/>
    </row>
    <row r="826" spans="1:6">
      <c r="A826" s="3"/>
    </row>
    <row r="827" spans="1:6">
      <c r="A827" s="3"/>
    </row>
    <row r="828" spans="1:6">
      <c r="A828" s="3"/>
    </row>
    <row r="829" spans="1:6">
      <c r="A829" s="3"/>
    </row>
    <row r="830" spans="1:6">
      <c r="A830" s="3"/>
    </row>
    <row r="831" spans="1:6">
      <c r="A831" s="3"/>
    </row>
    <row r="832" spans="1:6">
      <c r="A832" s="3"/>
    </row>
    <row r="833" spans="1:6">
      <c r="A833" s="3"/>
    </row>
    <row r="834" spans="1:6">
      <c r="A834" s="3"/>
    </row>
    <row r="835" spans="1:6">
      <c r="A835" s="3"/>
    </row>
    <row r="836" spans="1:6">
      <c r="A836" s="3"/>
    </row>
    <row r="837" spans="1:6">
      <c r="A837" s="3"/>
    </row>
    <row r="838" spans="1:6">
      <c r="A838" s="3"/>
    </row>
    <row r="839" spans="1:6">
      <c r="A839" s="3"/>
    </row>
    <row r="840" spans="1:6">
      <c r="A840" s="3"/>
    </row>
    <row r="841" spans="1:6">
      <c r="A841" s="3"/>
    </row>
    <row r="842" spans="1:6">
      <c r="A842" s="3"/>
    </row>
    <row r="843" spans="1:6">
      <c r="A843" s="3"/>
    </row>
    <row r="844" spans="1:6">
      <c r="A844" s="3"/>
    </row>
    <row r="845" spans="1:6">
      <c r="A845" s="3"/>
    </row>
    <row r="846" spans="1:6">
      <c r="A846" s="3"/>
    </row>
    <row r="847" spans="1:6">
      <c r="A847" s="3"/>
    </row>
    <row r="848" spans="1:6">
      <c r="A848" s="3"/>
    </row>
    <row r="849" spans="1:6">
      <c r="A849" s="3"/>
    </row>
    <row r="850" spans="1:6">
      <c r="A850" s="3"/>
    </row>
    <row r="851" spans="1:6">
      <c r="A851" s="3"/>
    </row>
    <row r="852" spans="1:6">
      <c r="A852" s="3"/>
    </row>
    <row r="853" spans="1:6">
      <c r="A853" s="3"/>
    </row>
    <row r="854" spans="1:6">
      <c r="A854" s="3"/>
    </row>
    <row r="855" spans="1:6">
      <c r="A855" s="3"/>
    </row>
    <row r="856" spans="1:6">
      <c r="A856" s="3"/>
    </row>
    <row r="857" spans="1:6">
      <c r="A857" s="3"/>
    </row>
    <row r="858" spans="1:6">
      <c r="A858" s="3"/>
    </row>
    <row r="859" spans="1:6">
      <c r="A859" s="3"/>
    </row>
    <row r="860" spans="1:6">
      <c r="A860" s="3"/>
    </row>
    <row r="861" spans="1:6">
      <c r="A861" s="3"/>
    </row>
    <row r="862" spans="1:6">
      <c r="A862" s="3"/>
    </row>
    <row r="863" spans="1:6">
      <c r="A863" s="3"/>
    </row>
    <row r="864" spans="1:6">
      <c r="A864" s="3"/>
    </row>
    <row r="865" spans="1:6">
      <c r="A865" s="3"/>
    </row>
    <row r="866" spans="1:6">
      <c r="A866" s="3"/>
    </row>
    <row r="867" spans="1:6">
      <c r="A867" s="3"/>
    </row>
    <row r="868" spans="1:6">
      <c r="A868" s="3"/>
    </row>
    <row r="869" spans="1:6">
      <c r="A869" s="3"/>
    </row>
    <row r="870" spans="1:6">
      <c r="A870" s="3"/>
    </row>
    <row r="871" spans="1:6">
      <c r="A871" s="3"/>
    </row>
    <row r="872" spans="1:6">
      <c r="A872" s="3"/>
    </row>
    <row r="873" spans="1:6">
      <c r="A873" s="3"/>
    </row>
    <row r="874" spans="1:6">
      <c r="A874" s="3"/>
    </row>
    <row r="875" spans="1:6">
      <c r="A875" s="3"/>
    </row>
    <row r="876" spans="1:6">
      <c r="A876" s="3"/>
    </row>
    <row r="877" spans="1:6">
      <c r="A877" s="3"/>
    </row>
    <row r="878" spans="1:6">
      <c r="A878" s="3"/>
    </row>
    <row r="879" spans="1:6">
      <c r="A879" s="3"/>
    </row>
    <row r="880" spans="1:6">
      <c r="A880" s="3"/>
    </row>
    <row r="881" spans="1:6">
      <c r="A881" s="3"/>
    </row>
    <row r="882" spans="1:6">
      <c r="A882" s="3"/>
    </row>
    <row r="883" spans="1:6">
      <c r="A883" s="3"/>
    </row>
    <row r="884" spans="1:6">
      <c r="A884" s="3"/>
    </row>
    <row r="885" spans="1:6">
      <c r="A885" s="3"/>
    </row>
    <row r="886" spans="1:6">
      <c r="A886" s="3"/>
    </row>
    <row r="887" spans="1:6">
      <c r="A887" s="3"/>
    </row>
    <row r="888" spans="1:6">
      <c r="A888" s="3"/>
    </row>
    <row r="889" spans="1:6">
      <c r="A889" s="3"/>
    </row>
    <row r="890" spans="1:6">
      <c r="A890" s="3"/>
    </row>
    <row r="891" spans="1:6">
      <c r="A891" s="3"/>
    </row>
    <row r="892" spans="1:6">
      <c r="A892" s="3"/>
    </row>
    <row r="893" spans="1:6">
      <c r="A893" s="3"/>
    </row>
    <row r="894" spans="1:6">
      <c r="A894" s="3"/>
    </row>
    <row r="895" spans="1:6">
      <c r="A895" s="3"/>
    </row>
    <row r="896" spans="1:6">
      <c r="A896" s="3"/>
    </row>
    <row r="897" spans="1:6">
      <c r="A897" s="3"/>
    </row>
    <row r="898" spans="1:6">
      <c r="A898" s="3"/>
    </row>
    <row r="899" spans="1:6">
      <c r="A899" s="3"/>
    </row>
    <row r="900" spans="1:6">
      <c r="A900" s="3"/>
    </row>
    <row r="901" spans="1:6">
      <c r="A901" s="3"/>
    </row>
    <row r="902" spans="1:6">
      <c r="A902" s="3"/>
    </row>
    <row r="903" spans="1:6">
      <c r="A903" s="3"/>
    </row>
    <row r="904" spans="1:6">
      <c r="A904" s="3"/>
    </row>
    <row r="905" spans="1:6">
      <c r="A905" s="3"/>
    </row>
    <row r="906" spans="1:6">
      <c r="A906" s="3"/>
    </row>
    <row r="907" spans="1:6">
      <c r="A907" s="3"/>
    </row>
    <row r="908" spans="1:6">
      <c r="A908" s="3"/>
    </row>
    <row r="909" spans="1:6">
      <c r="A909" s="3"/>
    </row>
    <row r="910" spans="1:6">
      <c r="A910" s="3"/>
    </row>
    <row r="911" spans="1:6">
      <c r="A911" s="3"/>
    </row>
    <row r="912" spans="1:6">
      <c r="A912" s="3"/>
    </row>
    <row r="913" spans="1:6">
      <c r="A913" s="3"/>
    </row>
    <row r="914" spans="1:6">
      <c r="A914" s="3"/>
    </row>
    <row r="915" spans="1:6">
      <c r="A915" s="3"/>
    </row>
    <row r="916" spans="1:6">
      <c r="A916" s="3"/>
    </row>
    <row r="917" spans="1:6">
      <c r="A917" s="3"/>
    </row>
    <row r="918" spans="1:6">
      <c r="A918" s="3"/>
    </row>
    <row r="919" spans="1:6">
      <c r="A919" s="3"/>
    </row>
    <row r="920" spans="1:6">
      <c r="A920" s="3"/>
    </row>
    <row r="921" spans="1:6">
      <c r="A921" s="3"/>
    </row>
    <row r="922" spans="1:6">
      <c r="A922" s="3"/>
    </row>
    <row r="923" spans="1:6">
      <c r="A923" s="3"/>
    </row>
    <row r="924" spans="1:6">
      <c r="A924" s="3"/>
    </row>
    <row r="925" spans="1:6">
      <c r="A925" s="3"/>
    </row>
    <row r="926" spans="1:6">
      <c r="A926" s="3"/>
    </row>
    <row r="927" spans="1:6">
      <c r="A927" s="3"/>
    </row>
    <row r="928" spans="1:6">
      <c r="A928" s="3"/>
    </row>
    <row r="929" spans="1:6">
      <c r="A929" s="3"/>
    </row>
    <row r="930" spans="1:6">
      <c r="A930" s="3"/>
    </row>
    <row r="931" spans="1:6">
      <c r="A931" s="3"/>
    </row>
    <row r="932" spans="1:6">
      <c r="A932" s="3"/>
    </row>
    <row r="933" spans="1:6">
      <c r="A933" s="3"/>
    </row>
    <row r="934" spans="1:6">
      <c r="A934" s="3"/>
    </row>
    <row r="935" spans="1:6">
      <c r="A935" s="3"/>
    </row>
    <row r="936" spans="1:6">
      <c r="A936" s="3"/>
    </row>
    <row r="937" spans="1:6">
      <c r="A937" s="3"/>
    </row>
    <row r="938" spans="1:6">
      <c r="A938" s="3"/>
    </row>
    <row r="939" spans="1:6">
      <c r="A939" s="3"/>
    </row>
    <row r="940" spans="1:6">
      <c r="A940" s="3"/>
    </row>
    <row r="941" spans="1:6">
      <c r="A941" s="3"/>
    </row>
    <row r="942" spans="1:6">
      <c r="A942" s="3"/>
    </row>
    <row r="943" spans="1:6">
      <c r="A943" s="3"/>
    </row>
    <row r="944" spans="1:6">
      <c r="A944" s="3"/>
    </row>
    <row r="945" spans="1:6">
      <c r="A945" s="3"/>
    </row>
    <row r="946" spans="1:6">
      <c r="A946" s="3"/>
    </row>
    <row r="947" spans="1:6">
      <c r="A947" s="3"/>
    </row>
    <row r="948" spans="1:6">
      <c r="A948" s="3"/>
    </row>
    <row r="949" spans="1:6">
      <c r="A949" s="3"/>
    </row>
    <row r="950" spans="1:6">
      <c r="A950" s="3"/>
    </row>
    <row r="951" spans="1:6">
      <c r="A951" s="3"/>
    </row>
    <row r="952" spans="1:6">
      <c r="A952" s="3"/>
    </row>
    <row r="953" spans="1:6">
      <c r="A953" s="3"/>
    </row>
    <row r="954" spans="1:6">
      <c r="A954" s="3"/>
    </row>
    <row r="955" spans="1:6">
      <c r="A955" s="3"/>
    </row>
    <row r="956" spans="1:6">
      <c r="A956" s="3"/>
    </row>
    <row r="957" spans="1:6">
      <c r="A957" s="3"/>
    </row>
    <row r="958" spans="1:6">
      <c r="A958" s="3"/>
    </row>
    <row r="959" spans="1:6">
      <c r="A959" s="3"/>
    </row>
    <row r="960" spans="1:6">
      <c r="A960" s="3"/>
    </row>
    <row r="961" spans="1:6">
      <c r="A961" s="3"/>
    </row>
    <row r="962" spans="1:6">
      <c r="A962" s="3"/>
    </row>
    <row r="963" spans="1:6">
      <c r="A963" s="3"/>
    </row>
    <row r="964" spans="1:6">
      <c r="A964" s="3"/>
    </row>
    <row r="965" spans="1:6">
      <c r="A965" s="3"/>
    </row>
    <row r="966" spans="1:6">
      <c r="A966" s="3"/>
    </row>
    <row r="967" spans="1:6">
      <c r="A967" s="3"/>
    </row>
    <row r="968" spans="1:6">
      <c r="A968" s="3"/>
    </row>
    <row r="969" spans="1:6">
      <c r="A969" s="3"/>
    </row>
    <row r="970" spans="1:6">
      <c r="A970" s="3"/>
    </row>
    <row r="971" spans="1:6">
      <c r="A971" s="3"/>
    </row>
    <row r="972" spans="1:6">
      <c r="A972" s="3"/>
    </row>
    <row r="973" spans="1:6">
      <c r="A973" s="3"/>
    </row>
    <row r="974" spans="1:6">
      <c r="A974" s="3"/>
    </row>
    <row r="975" spans="1:6">
      <c r="A975" s="3"/>
    </row>
    <row r="976" spans="1:6">
      <c r="A976" s="3"/>
    </row>
    <row r="977" spans="1:6">
      <c r="A977" s="3"/>
    </row>
    <row r="978" spans="1:6">
      <c r="A978" s="3"/>
    </row>
    <row r="979" spans="1:6">
      <c r="A979" s="3"/>
    </row>
    <row r="980" spans="1:6">
      <c r="A980" s="3"/>
    </row>
    <row r="981" spans="1:6">
      <c r="A981" s="3"/>
    </row>
    <row r="982" spans="1:6">
      <c r="A982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2025-12-28T11:18:13Z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